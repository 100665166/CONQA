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7.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31"/>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QualityAssuranceTeam/Team Documents/Checklists/"/>
    </mc:Choice>
  </mc:AlternateContent>
  <xr:revisionPtr revIDLastSave="0" documentId="8_{8556F5BE-03A7-4A56-9A02-6560BA0A4E85}" xr6:coauthVersionLast="47" xr6:coauthVersionMax="47" xr10:uidLastSave="{00000000-0000-0000-0000-000000000000}"/>
  <bookViews>
    <workbookView xWindow="-98" yWindow="-98" windowWidth="21795" windowHeight="14145" firstSheet="1" activeTab="1" xr2:uid="{828E9C50-7471-4843-832A-6E34B822D3D5}"/>
  </bookViews>
  <sheets>
    <sheet name="Ref" sheetId="8" r:id="rId1"/>
    <sheet name="Checklists" sheetId="10" r:id="rId2"/>
    <sheet name="Changelog" sheetId="6" state="hidden" r:id="rId3"/>
  </sheets>
  <definedNames>
    <definedName name="ExternalData_1" localSheetId="1" hidden="1">'Checklists'!$B$2:$M$3883</definedName>
    <definedName name="pivotChanges">#REF!,#REF!</definedName>
    <definedName name="sitelist">Ref!$P$1:$P$15</definedName>
    <definedName name="Slicer_Checklist1">#N/A</definedName>
    <definedName name="Slicer_Discipline1">#N/A</definedName>
    <definedName name="Slicer_Site">#N/A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B4" i="6" l="1"/>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B2566" i="6" l="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45" i="8" l="1"/>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A2" i="8" l="1" a="1"/>
  <c r="A2" i="8" l="1"/>
  <c r="B2" i="8" l="1"/>
  <c r="B3" i="8" l="1"/>
  <c r="B4" i="8" l="1"/>
  <c r="B5" i="8" l="1"/>
  <c r="B6" i="8" l="1"/>
  <c r="B7" i="8" l="1"/>
  <c r="B8" i="8" l="1"/>
  <c r="B9" i="8" l="1"/>
  <c r="B10" i="8" l="1"/>
  <c r="B11" i="8" l="1"/>
  <c r="B12" i="8" l="1"/>
  <c r="B13" i="8" l="1"/>
  <c r="B14" i="8" l="1"/>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B42" i="8" l="1"/>
  <c r="B43" i="8" l="1"/>
  <c r="B44" i="8" l="1"/>
  <c r="B45" i="8" l="1"/>
  <c r="B46" i="8" l="1"/>
  <c r="B47" i="8" l="1"/>
  <c r="B48" i="8" l="1"/>
  <c r="B49" i="8" l="1"/>
  <c r="B50" i="8" l="1"/>
  <c r="B51" i="8" l="1"/>
  <c r="B52" i="8" l="1"/>
  <c r="B53" i="8" l="1"/>
  <c r="B54" i="8" l="1"/>
  <c r="B55" i="8" l="1"/>
  <c r="B56" i="8" l="1"/>
  <c r="B57" i="8" l="1"/>
  <c r="B58" i="8" l="1"/>
  <c r="B59" i="8" l="1"/>
  <c r="B60" i="8" l="1"/>
  <c r="B61" i="8" l="1"/>
  <c r="B62" i="8" l="1"/>
  <c r="B63" i="8" l="1"/>
  <c r="B64" i="8" l="1"/>
  <c r="B65" i="8" l="1"/>
  <c r="B66" i="8" l="1"/>
  <c r="B67" i="8" l="1"/>
  <c r="B68" i="8" l="1"/>
  <c r="B69" i="8" l="1"/>
  <c r="B70" i="8" l="1"/>
  <c r="B71" i="8" l="1"/>
  <c r="B72" i="8" l="1"/>
  <c r="B73" i="8" l="1"/>
  <c r="B74" i="8" l="1"/>
  <c r="B75" i="8" l="1"/>
  <c r="B76" i="8" l="1"/>
  <c r="B77" i="8" l="1"/>
  <c r="B78" i="8" l="1"/>
  <c r="B79" i="8" l="1"/>
  <c r="B80" i="8" l="1"/>
  <c r="B81" i="8" l="1"/>
  <c r="B82" i="8" l="1"/>
  <c r="B83" i="8" l="1"/>
  <c r="B84" i="8" l="1"/>
  <c r="B85" i="8" l="1"/>
  <c r="B86" i="8" l="1"/>
  <c r="B87" i="8" l="1"/>
  <c r="B88" i="8" l="1"/>
  <c r="B89" i="8" l="1"/>
  <c r="B90" i="8" l="1"/>
  <c r="B91" i="8" l="1"/>
  <c r="B92" i="8" l="1"/>
  <c r="B93" i="8" l="1"/>
  <c r="B94" i="8" l="1"/>
  <c r="B95" i="8" l="1"/>
  <c r="B96" i="8" l="1"/>
  <c r="B97" i="8" l="1"/>
  <c r="B98" i="8" l="1"/>
  <c r="B99" i="8" l="1"/>
  <c r="B100" i="8" l="1"/>
  <c r="B101" i="8" l="1"/>
  <c r="B102" i="8" l="1"/>
  <c r="B103" i="8" l="1"/>
  <c r="B104" i="8" l="1"/>
  <c r="B105" i="8" l="1"/>
  <c r="B106" i="8" l="1"/>
  <c r="B107" i="8" l="1"/>
  <c r="B108" i="8" l="1"/>
  <c r="B109" i="8" l="1"/>
  <c r="B110" i="8" l="1"/>
  <c r="B111" i="8" l="1"/>
  <c r="B112" i="8" l="1"/>
  <c r="B113" i="8" l="1"/>
  <c r="B114" i="8" l="1"/>
  <c r="B115" i="8" l="1"/>
  <c r="B116" i="8" l="1"/>
  <c r="B117" i="8" l="1"/>
  <c r="B118" i="8" l="1"/>
  <c r="B119" i="8" l="1"/>
  <c r="B120" i="8" l="1"/>
  <c r="B121" i="8" l="1"/>
  <c r="B122" i="8" l="1"/>
  <c r="B123" i="8" l="1"/>
  <c r="B124" i="8" l="1"/>
  <c r="B125" i="8" l="1"/>
  <c r="B126" i="8" l="1"/>
  <c r="B127" i="8" l="1"/>
  <c r="B128" i="8" l="1"/>
  <c r="B129" i="8" l="1"/>
  <c r="B130" i="8" l="1"/>
  <c r="B131" i="8" l="1"/>
  <c r="B132" i="8" l="1"/>
  <c r="B133" i="8" l="1"/>
  <c r="B134" i="8" l="1"/>
  <c r="B135" i="8" l="1"/>
  <c r="B136" i="8" l="1"/>
  <c r="B137" i="8" l="1"/>
  <c r="B138" i="8" l="1"/>
  <c r="B139" i="8" l="1"/>
  <c r="B140" i="8" l="1"/>
  <c r="B141" i="8" l="1"/>
  <c r="B142" i="8" l="1"/>
  <c r="B143" i="8" l="1"/>
  <c r="B144" i="8" l="1"/>
  <c r="B145" i="8" l="1"/>
  <c r="B146" i="8" l="1"/>
  <c r="B147" i="8" l="1"/>
  <c r="B148" i="8" l="1"/>
  <c r="B149" i="8" l="1"/>
  <c r="B150" i="8" l="1"/>
  <c r="B151" i="8" l="1"/>
  <c r="B152" i="8" l="1"/>
  <c r="B153" i="8" l="1"/>
  <c r="B154" i="8" l="1"/>
  <c r="B155" i="8" l="1"/>
  <c r="B156" i="8" l="1"/>
  <c r="B157" i="8" l="1"/>
  <c r="B158" i="8" l="1"/>
  <c r="B159" i="8" l="1"/>
  <c r="B160" i="8" l="1"/>
  <c r="B161" i="8" l="1"/>
  <c r="B162" i="8" l="1"/>
  <c r="B163" i="8" l="1"/>
  <c r="B164" i="8" l="1"/>
  <c r="B165" i="8" l="1"/>
  <c r="B166" i="8" l="1"/>
  <c r="B167" i="8" l="1"/>
  <c r="B168" i="8" l="1"/>
  <c r="B169" i="8" l="1"/>
  <c r="B170" i="8" l="1"/>
  <c r="B171" i="8" l="1"/>
  <c r="B172" i="8" l="1"/>
  <c r="B173" i="8" l="1"/>
  <c r="B174" i="8" l="1"/>
  <c r="B175" i="8" l="1"/>
  <c r="B176" i="8" l="1"/>
  <c r="B177" i="8" l="1"/>
  <c r="B178" i="8" l="1"/>
  <c r="B179" i="8" l="1"/>
  <c r="B180" i="8" l="1"/>
  <c r="B181" i="8" l="1"/>
  <c r="B182" i="8" l="1"/>
  <c r="B183" i="8" l="1"/>
  <c r="B184" i="8" l="1"/>
  <c r="B185" i="8" l="1"/>
  <c r="B186" i="8" l="1"/>
  <c r="B187" i="8" l="1"/>
  <c r="B188" i="8" l="1"/>
  <c r="B189" i="8" l="1"/>
  <c r="B190" i="8" l="1"/>
  <c r="B191" i="8" l="1"/>
  <c r="B192" i="8" l="1"/>
  <c r="B193" i="8" l="1"/>
  <c r="B194" i="8" l="1"/>
  <c r="B195" i="8" l="1"/>
  <c r="B196" i="8" l="1"/>
  <c r="B197" i="8" l="1"/>
  <c r="B198" i="8" l="1"/>
  <c r="B199" i="8" l="1"/>
  <c r="B200" i="8" l="1"/>
  <c r="B201" i="8" l="1"/>
  <c r="B202" i="8" l="1"/>
  <c r="B203" i="8" l="1"/>
  <c r="B204" i="8" l="1"/>
  <c r="B205" i="8" l="1"/>
  <c r="B206" i="8" l="1"/>
  <c r="B207" i="8" l="1"/>
  <c r="B208" i="8" l="1"/>
  <c r="B209" i="8" l="1"/>
  <c r="B210" i="8" l="1"/>
  <c r="B211" i="8" l="1"/>
  <c r="B212" i="8" l="1"/>
  <c r="B213" i="8" l="1"/>
  <c r="B214" i="8" l="1"/>
  <c r="B215" i="8" l="1"/>
  <c r="B216" i="8" l="1"/>
  <c r="B217" i="8" l="1"/>
  <c r="B218" i="8" l="1"/>
  <c r="B219" i="8" l="1"/>
  <c r="B220" i="8" l="1"/>
  <c r="B221" i="8" l="1"/>
  <c r="B222" i="8" l="1"/>
  <c r="B223" i="8" l="1"/>
  <c r="B224" i="8" l="1"/>
  <c r="B225" i="8" l="1"/>
  <c r="B226" i="8" l="1"/>
  <c r="B227" i="8" l="1"/>
  <c r="B228" i="8" l="1"/>
  <c r="B229" i="8" l="1"/>
  <c r="B230" i="8" l="1"/>
  <c r="B231" i="8" l="1"/>
  <c r="B232" i="8" l="1"/>
  <c r="B233" i="8" l="1"/>
  <c r="B234" i="8" l="1"/>
  <c r="B235" i="8" l="1"/>
  <c r="B236" i="8" l="1"/>
  <c r="B237" i="8" l="1"/>
  <c r="B238" i="8" l="1"/>
  <c r="B239" i="8" l="1"/>
  <c r="B240" i="8" l="1"/>
  <c r="B241" i="8" l="1"/>
  <c r="B242" i="8" l="1"/>
  <c r="B243" i="8" l="1"/>
  <c r="B24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36"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<sst xmlns="http://schemas.openxmlformats.org/spreadsheetml/2006/main" count="44127" uniqueCount="2965">
  <si>
    <t>Checklist Names</t>
  </si>
  <si>
    <t>Sites</t>
  </si>
  <si>
    <t>Discipline</t>
  </si>
  <si>
    <t>User</t>
  </si>
  <si>
    <t>Change Type</t>
  </si>
  <si>
    <t>Status</t>
  </si>
  <si>
    <t>All</t>
  </si>
  <si>
    <t>William Sanders</t>
  </si>
  <si>
    <t>Civil</t>
  </si>
  <si>
    <t>Subcontractor</t>
  </si>
  <si>
    <t>Addition</t>
  </si>
  <si>
    <t>Denied</t>
  </si>
  <si>
    <t>Murray Halberg</t>
  </si>
  <si>
    <t>Foundation</t>
  </si>
  <si>
    <t>Main Contractor</t>
  </si>
  <si>
    <t>Edit</t>
  </si>
  <si>
    <t>Processing</t>
  </si>
  <si>
    <t>Linda Jones</t>
  </si>
  <si>
    <t>Structure</t>
  </si>
  <si>
    <t>Deletion</t>
  </si>
  <si>
    <t>Approved</t>
  </si>
  <si>
    <t>Keith Park</t>
  </si>
  <si>
    <t>Façade</t>
  </si>
  <si>
    <t>Site Specific</t>
  </si>
  <si>
    <t>Updated in ConQA</t>
  </si>
  <si>
    <t>Miriam Corban</t>
  </si>
  <si>
    <t>Postline</t>
  </si>
  <si>
    <t>New Checklist</t>
  </si>
  <si>
    <t>Implemented</t>
  </si>
  <si>
    <t>James Wattie</t>
  </si>
  <si>
    <t>Preline</t>
  </si>
  <si>
    <t>Kevin Hickman</t>
  </si>
  <si>
    <t>Services</t>
  </si>
  <si>
    <t>Newtown</t>
  </si>
  <si>
    <t>Handover</t>
  </si>
  <si>
    <t>Park Terrace</t>
  </si>
  <si>
    <t>Completion Documents</t>
  </si>
  <si>
    <t>Karori</t>
  </si>
  <si>
    <t>Northwood/Radcliffe Rd</t>
  </si>
  <si>
    <t>Takapuna</t>
  </si>
  <si>
    <t>Cambridge</t>
  </si>
  <si>
    <t>Karaka</t>
  </si>
  <si>
    <t>ID</t>
  </si>
  <si>
    <t>ChecklistID</t>
  </si>
  <si>
    <t>Order</t>
  </si>
  <si>
    <t>ChecklistOrder</t>
  </si>
  <si>
    <t>Version</t>
  </si>
  <si>
    <t>Checklist</t>
  </si>
  <si>
    <t>Type</t>
  </si>
  <si>
    <t>Name</t>
  </si>
  <si>
    <t>Value</t>
  </si>
  <si>
    <t>Site</t>
  </si>
  <si>
    <t>Ryman</t>
  </si>
  <si>
    <t>C - R - Asbestos Removal</t>
  </si>
  <si>
    <t>checklist-flat</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</si>
  <si>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</si>
  <si>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</si>
  <si>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</si>
  <si>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</si>
  <si>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</si>
  <si>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</si>
  <si>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</si>
  <si>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</si>
  <si>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</si>
  <si>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</si>
  <si>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</si>
  <si>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</si>
  <si>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</si>
  <si>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</si>
  <si>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</si>
  <si>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</si>
  <si>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</si>
  <si>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</si>
  <si>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</si>
  <si>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</si>
  <si>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 xml:space="preserve">Lift Pit installation completed and acceptable </t>
  </si>
  <si>
    <t>C - R - Manhole Installation</t>
  </si>
  <si>
    <t>Manhole Installation completed as per the specifications</t>
  </si>
  <si>
    <t>C - R - Pipe Laying</t>
  </si>
  <si>
    <t>Stormwater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</si>
  <si>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</si>
  <si>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</si>
  <si>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</si>
  <si>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</si>
  <si>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</si>
  <si>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</si>
  <si>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</si>
  <si>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</si>
  <si>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</si>
  <si>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</si>
  <si>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</si>
  <si>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</si>
  <si>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</si>
  <si>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</si>
  <si>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</si>
  <si>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</si>
  <si>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</si>
  <si>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</si>
  <si>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</si>
  <si>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</si>
  <si>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</si>
  <si>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</si>
  <si>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</si>
  <si>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</si>
  <si>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</si>
  <si>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</si>
  <si>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</si>
  <si>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</si>
  <si>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</si>
  <si>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identified,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</si>
  <si>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</si>
  <si>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</si>
  <si>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</si>
  <si>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</si>
  <si>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</si>
  <si>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</si>
  <si>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</si>
  <si>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</si>
  <si>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</si>
  <si>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</si>
  <si>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</si>
  <si>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</si>
  <si>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</si>
  <si>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</si>
  <si>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</si>
  <si>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</si>
  <si>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</si>
  <si>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</si>
  <si>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</si>
  <si>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</si>
  <si>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</si>
  <si>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</si>
  <si>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</si>
  <si>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</si>
  <si>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</si>
  <si>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</si>
  <si>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</si>
  <si>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</si>
  <si>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</si>
  <si>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</si>
  <si>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</si>
  <si>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</si>
  <si>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</si>
  <si>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</si>
  <si>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</si>
  <si>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</si>
  <si>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</si>
  <si>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</si>
  <si>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</si>
  <si>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</si>
  <si>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</si>
  <si>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</si>
  <si>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</si>
  <si>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</si>
  <si>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</si>
  <si>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</si>
  <si>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</si>
  <si>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</si>
  <si>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</si>
  <si>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</si>
  <si>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</si>
  <si>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</si>
  <si>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</si>
  <si>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</si>
  <si>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</si>
  <si>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</si>
  <si>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Correct pipe (size, material &amp; class) laid to specified level, grade and jointed as specified</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</si>
  <si>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</si>
  <si>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</si>
  <si>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</si>
  <si>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</si>
  <si>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</si>
  <si>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</si>
  <si>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</si>
  <si>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 xml:space="preserve">Connections to manholes completed and approved </t>
  </si>
  <si>
    <t>Angular stone laid as specified post installation of M22 chambers</t>
  </si>
  <si>
    <t>Pipe laying completed as per the specifications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</si>
  <si>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</si>
  <si>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</si>
  <si>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</si>
  <si>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</si>
  <si>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</si>
  <si>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</si>
  <si>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Completion Docs</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</si>
  <si>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</si>
  <si>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</si>
  <si>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</si>
  <si>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</si>
  <si>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</si>
  <si>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</si>
  <si>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</si>
  <si>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</si>
  <si>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</si>
  <si>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</si>
  <si>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</si>
  <si>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</si>
  <si>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</si>
  <si>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</si>
  <si>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</si>
  <si>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</si>
  <si>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</si>
  <si>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</si>
  <si>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</si>
  <si>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</si>
  <si>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</si>
  <si>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</si>
  <si>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</si>
  <si>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</si>
  <si>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</si>
  <si>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</si>
  <si>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</si>
  <si>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</si>
  <si>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</si>
  <si>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</si>
  <si>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</si>
  <si>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</si>
  <si>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</si>
  <si>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</si>
  <si>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</si>
  <si>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</si>
  <si>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</si>
  <si>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</si>
  <si>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</si>
  <si>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</si>
  <si>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</si>
  <si>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</si>
  <si>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</si>
  <si>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</si>
  <si>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</si>
  <si>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</si>
  <si>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</si>
  <si>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</si>
  <si>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</si>
  <si>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</si>
  <si>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</si>
  <si>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</si>
  <si>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</si>
  <si>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</si>
  <si>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</si>
  <si>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</si>
  <si>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</si>
  <si>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</si>
  <si>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</si>
  <si>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</si>
  <si>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</si>
  <si>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</si>
  <si>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</si>
  <si>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</si>
  <si>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</si>
  <si>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</si>
  <si>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</si>
  <si>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</si>
  <si>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</si>
  <si>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</si>
  <si>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</si>
  <si>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</si>
  <si>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</si>
  <si>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</si>
  <si>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</si>
  <si>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</si>
  <si>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</si>
  <si>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</si>
  <si>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</si>
  <si>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</si>
  <si>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</si>
  <si>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</si>
  <si>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</si>
  <si>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</si>
  <si>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</si>
  <si>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</si>
  <si>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</si>
  <si>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</si>
  <si>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</si>
  <si>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</si>
  <si>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</si>
  <si>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</si>
  <si>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</si>
  <si>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</si>
  <si>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</si>
  <si>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</si>
  <si>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</si>
  <si>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</si>
  <si>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</si>
  <si>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</si>
  <si>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</si>
  <si>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</si>
  <si>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</si>
  <si>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</si>
  <si>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</si>
  <si>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</si>
  <si>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</si>
  <si>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</si>
  <si>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</si>
  <si>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</si>
  <si>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</si>
  <si>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</si>
  <si>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</si>
  <si>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</si>
  <si>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</si>
  <si>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</si>
  <si>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</si>
  <si>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</si>
  <si>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</si>
  <si>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</si>
  <si>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</si>
  <si>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</si>
  <si>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</si>
  <si>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</si>
  <si>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</si>
  <si>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</si>
  <si>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</si>
  <si>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</si>
  <si>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</si>
  <si>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</si>
  <si>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</si>
  <si>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</si>
  <si>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</si>
  <si>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</si>
  <si>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</si>
  <si>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</si>
  <si>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</si>
  <si>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</si>
  <si>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</si>
  <si>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</si>
  <si>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</si>
  <si>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</si>
  <si>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</si>
  <si>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</si>
  <si>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</si>
  <si>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</si>
  <si>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</si>
  <si>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</si>
  <si>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</si>
  <si>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</si>
  <si>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</si>
  <si>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</si>
  <si>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</si>
  <si>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</si>
  <si>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</si>
  <si>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</si>
  <si>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</si>
  <si>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</si>
  <si>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</si>
  <si>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</si>
  <si>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</si>
  <si>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</si>
  <si>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</si>
  <si>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</si>
  <si>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</si>
  <si>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</si>
  <si>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</si>
  <si>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</si>
  <si>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</si>
  <si>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</si>
  <si>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</si>
  <si>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</si>
  <si>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</si>
  <si>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</si>
  <si>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</si>
  <si>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</si>
  <si>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</si>
  <si>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</si>
  <si>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</si>
  <si>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</si>
  <si>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</si>
  <si>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</si>
  <si>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</si>
  <si>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</si>
  <si>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</si>
  <si>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</si>
  <si>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</si>
  <si>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</si>
  <si>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</si>
  <si>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</si>
  <si>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</si>
  <si>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</si>
  <si>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</si>
  <si>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</si>
  <si>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</si>
  <si>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</si>
  <si>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</si>
  <si>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</si>
  <si>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</si>
  <si>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</si>
  <si>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</si>
  <si>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</si>
  <si>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</si>
  <si>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</si>
  <si>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</si>
  <si>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</si>
  <si>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</si>
  <si>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</si>
  <si>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</si>
  <si>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</si>
  <si>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</si>
  <si>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</si>
  <si>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</si>
  <si>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</si>
  <si>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</si>
  <si>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</si>
  <si>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</si>
  <si>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</si>
  <si>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</si>
  <si>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</si>
  <si>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</si>
  <si>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</si>
  <si>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</si>
  <si>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</si>
  <si>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</si>
  <si>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</si>
  <si>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</si>
  <si>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</si>
  <si>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</si>
  <si>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</si>
  <si>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</si>
  <si>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</si>
  <si>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</si>
  <si>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</si>
  <si>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</si>
  <si>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</si>
  <si>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</si>
  <si>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</si>
  <si>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</si>
  <si>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</si>
  <si>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</si>
  <si>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</si>
  <si>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</si>
  <si>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</si>
  <si>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</si>
  <si>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PASS to confirm work has started.</t>
  </si>
  <si>
    <t>PASS to confirm expectations have been set for all contractors.</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</si>
  <si>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</si>
  <si>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</si>
  <si>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</si>
  <si>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</si>
  <si>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</si>
  <si>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</si>
  <si>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button</t>
  </si>
  <si>
    <t>Note remedial work needed</t>
  </si>
  <si>
    <t>None, Minor, Major</t>
  </si>
  <si>
    <t>Raise remedial as required.</t>
  </si>
  <si>
    <t>Council inspection completed and approved</t>
  </si>
  <si>
    <t>Confirm CANs implemented as directed, including external sign off as required.  (n/a response if blank above)</t>
  </si>
  <si>
    <t>Record details of Consultant Advice Notices issued relating to this work (CAN Ref numbers and Consultant)</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</si>
  <si>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</si>
  <si>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</si>
  <si>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</si>
  <si>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</si>
  <si>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</si>
  <si>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</si>
  <si>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</si>
  <si>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</si>
  <si>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</si>
  <si>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</si>
  <si>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</si>
  <si>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</si>
  <si>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</si>
  <si>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</si>
  <si>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</si>
  <si>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</si>
  <si>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</si>
  <si>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</si>
  <si>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</si>
  <si>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</si>
  <si>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</si>
  <si>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</si>
  <si>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</si>
  <si>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</si>
  <si>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</si>
  <si>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</si>
  <si>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</si>
  <si>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</si>
  <si>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</si>
  <si>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</si>
  <si>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</si>
  <si>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</si>
  <si>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</si>
  <si>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F - S - Piling</t>
  </si>
  <si>
    <t>checklist</t>
  </si>
  <si>
    <t>section</t>
  </si>
  <si>
    <t>Pile Details</t>
  </si>
  <si>
    <t> </t>
  </si>
  <si>
    <t>Pile details identified</t>
  </si>
  <si>
    <t>Pile type</t>
  </si>
  <si>
    <t>Pile Diameter</t>
  </si>
  <si>
    <t>Weather Conditions</t>
  </si>
  <si>
    <t>Heavy Rain, Light Showers, Overcast, Fine</t>
  </si>
  <si>
    <t>Date Started:</t>
  </si>
  <si>
    <t>Casing identified</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</si>
  <si>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</si>
  <si>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</si>
  <si>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</si>
  <si>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</si>
  <si>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</si>
  <si>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</si>
  <si>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</si>
  <si>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</si>
  <si>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</si>
  <si>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</si>
  <si>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</si>
  <si>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</si>
  <si>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</si>
  <si>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</si>
  <si>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</si>
  <si>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</si>
  <si>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</si>
  <si>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</si>
  <si>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</si>
  <si>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</si>
  <si>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</si>
  <si>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</si>
  <si>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</si>
  <si>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</si>
  <si>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</si>
  <si>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</si>
  <si>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</si>
  <si>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</si>
  <si>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</si>
  <si>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</si>
  <si>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</si>
  <si>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</si>
  <si>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</si>
  <si>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</si>
  <si>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</si>
  <si>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</si>
  <si>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</si>
  <si>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</si>
  <si>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</si>
  <si>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</si>
  <si>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</si>
  <si>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</si>
  <si>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</si>
  <si>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</si>
  <si>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</si>
  <si>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</si>
  <si>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</si>
  <si>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</si>
  <si>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</si>
  <si>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</si>
  <si>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</si>
  <si>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</si>
  <si>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</si>
  <si>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</si>
  <si>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</si>
  <si>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</si>
  <si>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</si>
  <si>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</si>
  <si>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</si>
  <si>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</si>
  <si>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</si>
  <si>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</si>
  <si>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</si>
  <si>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</si>
  <si>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</si>
  <si>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</si>
  <si>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</si>
  <si>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</si>
  <si>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</si>
  <si>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</si>
  <si>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</si>
  <si>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</si>
  <si>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</si>
  <si>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</si>
  <si>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</si>
  <si>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</si>
  <si>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</si>
  <si>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</si>
  <si>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</si>
  <si>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</si>
  <si>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</si>
  <si>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</si>
  <si>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</si>
  <si>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</si>
  <si>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</si>
  <si>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</si>
  <si>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</si>
  <si>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</si>
  <si>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</si>
  <si>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</si>
  <si>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</si>
  <si>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</si>
  <si>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</si>
  <si>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</si>
  <si>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</si>
  <si>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</si>
  <si>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</si>
  <si>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</si>
  <si>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</si>
  <si>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</si>
  <si>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</si>
  <si>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</si>
  <si>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</si>
  <si>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</si>
  <si>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</si>
  <si>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</si>
  <si>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</si>
  <si>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</si>
  <si>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</si>
  <si>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</si>
  <si>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</si>
  <si>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</si>
  <si>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</si>
  <si>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</si>
  <si>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</si>
  <si>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</si>
  <si>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</si>
  <si>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</si>
  <si>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</si>
  <si>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</si>
  <si>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</si>
  <si>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</si>
  <si>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</si>
  <si>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</si>
  <si>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</si>
  <si>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</si>
  <si>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</si>
  <si>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</si>
  <si>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</si>
  <si>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</si>
  <si>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</si>
  <si>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</si>
  <si>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</si>
  <si>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</si>
  <si>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</si>
  <si>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</si>
  <si>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</si>
  <si>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</si>
  <si>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</si>
  <si>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</si>
  <si>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</si>
  <si>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</si>
  <si>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</si>
  <si>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</si>
  <si>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</si>
  <si>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</si>
  <si>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FC - R - Brick Works</t>
  </si>
  <si>
    <t xml:space="preserve">Brick works completed and acceptable </t>
  </si>
  <si>
    <t>FC - R - Cladding Sealant</t>
  </si>
  <si>
    <t xml:space="preserve">Cladding sealant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</si>
  <si>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</si>
  <si>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</si>
  <si>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</si>
  <si>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</si>
  <si>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</si>
  <si>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</si>
  <si>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</si>
  <si>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</si>
  <si>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</si>
  <si>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</si>
  <si>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</si>
  <si>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</si>
  <si>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</si>
  <si>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</si>
  <si>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</si>
  <si>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</si>
  <si>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</si>
  <si>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</si>
  <si>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</si>
  <si>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</si>
  <si>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</si>
  <si>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</si>
  <si>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</si>
  <si>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</si>
  <si>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</si>
  <si>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</si>
  <si>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</si>
  <si>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</si>
  <si>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</si>
  <si>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</si>
  <si>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</si>
  <si>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</si>
  <si>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</si>
  <si>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</si>
  <si>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</si>
  <si>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</si>
  <si>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</si>
  <si>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</si>
  <si>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</si>
  <si>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</si>
  <si>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</si>
  <si>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</si>
  <si>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</si>
  <si>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</si>
  <si>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</si>
  <si>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</si>
  <si>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</si>
  <si>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</si>
  <si>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</si>
  <si>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</si>
  <si>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</si>
  <si>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</si>
  <si>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</si>
  <si>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</si>
  <si>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</si>
  <si>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</si>
  <si>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</si>
  <si>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</si>
  <si>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</si>
  <si>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</si>
  <si>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</si>
  <si>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</si>
  <si>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</si>
  <si>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</si>
  <si>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</si>
  <si>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</si>
  <si>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</si>
  <si>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</si>
  <si>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</si>
  <si>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</si>
  <si>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</si>
  <si>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</si>
  <si>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</si>
  <si>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</si>
  <si>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</si>
  <si>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</si>
  <si>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</si>
  <si>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</si>
  <si>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</si>
  <si>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</si>
  <si>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</si>
  <si>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</si>
  <si>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</si>
  <si>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</si>
  <si>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</si>
  <si>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</si>
  <si>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</si>
  <si>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</si>
  <si>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</si>
  <si>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</si>
  <si>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</si>
  <si>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</si>
  <si>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</si>
  <si>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</si>
  <si>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</si>
  <si>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</si>
  <si>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</si>
  <si>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</si>
  <si>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Services, cavity &amp; waterproofing requirements achieved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</si>
  <si>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</si>
  <si>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</si>
  <si>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</si>
  <si>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</si>
  <si>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</si>
  <si>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positioned and installed correctly.  Correct size</t>
  </si>
  <si>
    <t xml:space="preserve">Mortar Joints installed within tolerances (7-13mm) </t>
  </si>
  <si>
    <t xml:space="preserve">Wall ties installed and aligning with specification (spacing, spans, length etc) </t>
  </si>
  <si>
    <t>Horizontal shelf angles &amp; lintel bars installed and correctly fixed where required</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</si>
  <si>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</si>
  <si>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</si>
  <si>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</si>
  <si>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</si>
  <si>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</si>
  <si>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</si>
  <si>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</si>
  <si>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</si>
  <si>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</si>
  <si>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</si>
  <si>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</si>
  <si>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</si>
  <si>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</si>
  <si>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</si>
  <si>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</si>
  <si>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(ensure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</si>
  <si>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</si>
  <si>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</si>
  <si>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</si>
  <si>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</si>
  <si>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</si>
  <si>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</si>
  <si>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</si>
  <si>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</si>
  <si>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</si>
  <si>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</si>
  <si>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</si>
  <si>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</si>
  <si>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</si>
  <si>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</si>
  <si>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</si>
  <si>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</si>
  <si>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</si>
  <si>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</si>
  <si>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</si>
  <si>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</si>
  <si>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</si>
  <si>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</si>
  <si>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</si>
  <si>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</si>
  <si>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</si>
  <si>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</si>
  <si>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</si>
  <si>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</si>
  <si>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</si>
  <si>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</si>
  <si>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</si>
  <si>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</si>
  <si>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</si>
  <si>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</si>
  <si>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</si>
  <si>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</si>
  <si>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</si>
  <si>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</si>
  <si>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</si>
  <si>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</si>
  <si>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</si>
  <si>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</si>
  <si>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</si>
  <si>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</si>
  <si>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</si>
  <si>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</si>
  <si>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</si>
  <si>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</si>
  <si>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</si>
  <si>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</si>
  <si>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</si>
  <si>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</si>
  <si>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</si>
  <si>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</si>
  <si>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</si>
  <si>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</si>
  <si>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</si>
  <si>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</si>
  <si>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</si>
  <si>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</si>
  <si>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</si>
  <si>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</si>
  <si>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</si>
  <si>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</si>
  <si>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</si>
  <si>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</si>
  <si>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</si>
  <si>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</si>
  <si>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</si>
  <si>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</si>
  <si>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</si>
  <si>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</si>
  <si>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</si>
  <si>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</si>
  <si>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</si>
  <si>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</si>
  <si>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</si>
  <si>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</si>
  <si>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</si>
  <si>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</si>
  <si>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</si>
  <si>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</si>
  <si>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</si>
  <si>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</si>
  <si>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</si>
  <si>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</si>
  <si>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</si>
  <si>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</si>
  <si>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</si>
  <si>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</si>
  <si>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</si>
  <si>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</si>
  <si>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</si>
  <si>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</si>
  <si>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</si>
  <si>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</si>
  <si>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</si>
  <si>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</si>
  <si>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</si>
  <si>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</si>
  <si>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</si>
  <si>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</si>
  <si>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</si>
  <si>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</si>
  <si>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</si>
  <si>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</si>
  <si>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</si>
  <si>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</si>
  <si>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Products</t>
  </si>
  <si>
    <t>Type of Product used</t>
  </si>
  <si>
    <t>STO Poly Plaster, STO Poly Panel</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</si>
  <si>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</si>
  <si>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</si>
  <si>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</si>
  <si>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</si>
  <si>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</si>
  <si>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</si>
  <si>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</si>
  <si>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</si>
  <si>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</si>
  <si>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</si>
  <si>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</si>
  <si>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</si>
  <si>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</si>
  <si>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</si>
  <si>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</si>
  <si>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</si>
  <si>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</si>
  <si>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</si>
  <si>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</si>
  <si>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</si>
  <si>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</si>
  <si>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</si>
  <si>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</si>
  <si>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</si>
  <si>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</si>
  <si>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</si>
  <si>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</si>
  <si>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</si>
  <si>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Bathroom completed and signed off.</t>
  </si>
  <si>
    <t>Open living room area completed and signed off.</t>
  </si>
  <si>
    <t>Kitchen area completed and signed off.</t>
  </si>
  <si>
    <t>Toilet completed and signed off.</t>
  </si>
  <si>
    <t>Bedroom 1 (1st clockwise from front door) completed and signed off.</t>
  </si>
  <si>
    <t>Bedroom 2 (2nd clockwise from front door) completed and signed off.</t>
  </si>
  <si>
    <t>Bedroom 3 (3rd clockwise from front door) completed and signed off.</t>
  </si>
  <si>
    <t>Walk in/through wardrobe area completed and signed off.</t>
  </si>
  <si>
    <t>Hall (and closets) completed and signed off.</t>
  </si>
  <si>
    <t>Laundry area completed and signed off.</t>
  </si>
  <si>
    <t>Garage completed and signed off.</t>
  </si>
  <si>
    <t>Cleanliness and general items completed and signed off.</t>
  </si>
  <si>
    <t>External and Hardscape completed and signed off.</t>
  </si>
  <si>
    <t>Client extras / other unit specific items completed and signed off.</t>
  </si>
  <si>
    <t>Upload Related Ryman Fitout quality inspection record (QT-012)</t>
  </si>
  <si>
    <t>Inspection</t>
  </si>
  <si>
    <t>Consultant</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</si>
  <si>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</si>
  <si>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</si>
  <si>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</si>
  <si>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</si>
  <si>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</si>
  <si>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</si>
  <si>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</si>
  <si>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</si>
  <si>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</si>
  <si>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</si>
  <si>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</si>
  <si>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</si>
  <si>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</si>
  <si>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</si>
  <si>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</si>
  <si>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</si>
  <si>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</si>
  <si>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</si>
  <si>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</si>
  <si>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</si>
  <si>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</si>
  <si>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</si>
  <si>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</si>
  <si>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</si>
  <si>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</si>
  <si>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</si>
  <si>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</si>
  <si>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</si>
  <si>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</si>
  <si>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</si>
  <si>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</si>
  <si>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</si>
  <si>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</si>
  <si>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</si>
  <si>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</si>
  <si>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</si>
  <si>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</si>
  <si>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</si>
  <si>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</si>
  <si>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</si>
  <si>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</si>
  <si>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</si>
  <si>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</si>
  <si>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</si>
  <si>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</si>
  <si>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</si>
  <si>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</si>
  <si>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</si>
  <si>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</si>
  <si>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</si>
  <si>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</si>
  <si>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</si>
  <si>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</si>
  <si>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</si>
  <si>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</si>
  <si>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</si>
  <si>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</si>
  <si>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</si>
  <si>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</si>
  <si>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</si>
  <si>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</si>
  <si>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</si>
  <si>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</si>
  <si>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</si>
  <si>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</si>
  <si>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</si>
  <si>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</si>
  <si>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</si>
  <si>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</si>
  <si>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</si>
  <si>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</si>
  <si>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</si>
  <si>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</si>
  <si>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</si>
  <si>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</si>
  <si>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</si>
  <si>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</si>
  <si>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</si>
  <si>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</si>
  <si>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</si>
  <si>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</si>
  <si>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</si>
  <si>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</si>
  <si>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</si>
  <si>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</si>
  <si>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</si>
  <si>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</si>
  <si>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</si>
  <si>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</si>
  <si>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</si>
  <si>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</si>
  <si>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</si>
  <si>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</si>
  <si>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</si>
  <si>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</si>
  <si>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</si>
  <si>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</si>
  <si>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</si>
  <si>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</si>
  <si>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</si>
  <si>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</si>
  <si>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</si>
  <si>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</si>
  <si>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</si>
  <si>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</si>
  <si>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</si>
  <si>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</si>
  <si>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</si>
  <si>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</si>
  <si>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</si>
  <si>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</si>
  <si>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</si>
  <si>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</si>
  <si>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</si>
  <si>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</si>
  <si>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</si>
  <si>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</si>
  <si>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</si>
  <si>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</si>
  <si>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</si>
  <si>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</si>
  <si>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</si>
  <si>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</si>
  <si>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</si>
  <si>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</si>
  <si>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</si>
  <si>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</si>
  <si>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</si>
  <si>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</si>
  <si>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</si>
  <si>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</si>
  <si>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</si>
  <si>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</si>
  <si>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</si>
  <si>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</si>
  <si>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</si>
  <si>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</si>
  <si>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</si>
  <si>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</si>
  <si>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</si>
  <si>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</si>
  <si>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</si>
  <si>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</si>
  <si>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</si>
  <si>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</si>
  <si>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</si>
  <si>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</si>
  <si>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</si>
  <si>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Post-Line</t>
  </si>
  <si>
    <t>POST - R - Fire door installation</t>
  </si>
  <si>
    <t>POST - S - Carpet /Rubber Installation</t>
  </si>
  <si>
    <t>Flooring prep/ levelling compound completed if required</t>
  </si>
  <si>
    <t>Substrate/ Underlay installed to meet required specification</t>
  </si>
  <si>
    <t xml:space="preserve">Carpet/Rubber Installation work completed - specified level of finish achieved </t>
  </si>
  <si>
    <t xml:space="preserve">Carpet/Rubber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</si>
  <si>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</si>
  <si>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</si>
  <si>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</si>
  <si>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</si>
  <si>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</si>
  <si>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</si>
  <si>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</si>
  <si>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achieved</t>
  </si>
  <si>
    <t>Fixings - Jamb/Hinges, all installed &amp; secure (Size &amp; type)</t>
  </si>
  <si>
    <t>Door leaf to jamb gaps parallel &amp; correct</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</si>
  <si>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</si>
  <si>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</si>
  <si>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</si>
  <si>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</si>
  <si>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</si>
  <si>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</si>
  <si>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</si>
  <si>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</si>
  <si>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</si>
  <si>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</si>
  <si>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</si>
  <si>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</si>
  <si>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</si>
  <si>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Vinyl skirting laps 150mm onto the wall lining</t>
  </si>
  <si>
    <t>Minimum 10mm perimeter gap between flooring and wall</t>
  </si>
  <si>
    <t>Coving bead and capping installed to vinyl coving</t>
  </si>
  <si>
    <t>Trim bar finish applied to carpet to vinyl transition areas</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</si>
  <si>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</si>
  <si>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</si>
  <si>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</si>
  <si>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</si>
  <si>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</si>
  <si>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</si>
  <si>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</si>
  <si>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</si>
  <si>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</si>
  <si>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POST - S - Internal Lining - Ceilings</t>
  </si>
  <si>
    <t>All preline services &amp; passive fire (where required) completed, area accessible and substrate acceptable</t>
  </si>
  <si>
    <t>Bracing, adhesive/sealant &amp; lining layer(s) requirements achieved</t>
  </si>
  <si>
    <t>Services/penetrations, correctly formed &amp; located</t>
  </si>
  <si>
    <t>Correct fixing pattern/sealant/adhesive/layers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</si>
  <si>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</si>
  <si>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</si>
  <si>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</si>
  <si>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</si>
  <si>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</si>
  <si>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</si>
  <si>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</si>
  <si>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</si>
  <si>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</si>
  <si>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</si>
  <si>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</si>
  <si>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</si>
  <si>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</si>
  <si>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</si>
  <si>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</si>
  <si>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</si>
  <si>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</si>
  <si>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</si>
  <si>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</si>
  <si>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</si>
  <si>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</si>
  <si>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</si>
  <si>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</si>
  <si>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</si>
  <si>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</si>
  <si>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</si>
  <si>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</si>
  <si>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</si>
  <si>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</si>
  <si>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</si>
  <si>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</si>
  <si>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</si>
  <si>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</si>
  <si>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</si>
  <si>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</si>
  <si>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</si>
  <si>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</si>
  <si>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</si>
  <si>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</si>
  <si>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</si>
  <si>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</si>
  <si>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</si>
  <si>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</si>
  <si>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</si>
  <si>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</si>
  <si>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</si>
  <si>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</si>
  <si>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</si>
  <si>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</si>
  <si>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</si>
  <si>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</si>
  <si>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</si>
  <si>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</si>
  <si>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</si>
  <si>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</si>
  <si>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</si>
  <si>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</si>
  <si>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</si>
  <si>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</si>
  <si>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</si>
  <si>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</si>
  <si>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</si>
  <si>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</si>
  <si>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</si>
  <si>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</si>
  <si>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</si>
  <si>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</si>
  <si>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</si>
  <si>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</si>
  <si>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</si>
  <si>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</si>
  <si>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</si>
  <si>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</si>
  <si>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</si>
  <si>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</si>
  <si>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</si>
  <si>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</si>
  <si>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</si>
  <si>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</si>
  <si>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</si>
  <si>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</si>
  <si>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</si>
  <si>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</si>
  <si>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</si>
  <si>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</si>
  <si>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</si>
  <si>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</si>
  <si>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</si>
  <si>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</si>
  <si>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</si>
  <si>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</si>
  <si>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</si>
  <si>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</si>
  <si>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</si>
  <si>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</si>
  <si>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</si>
  <si>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</si>
  <si>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</si>
  <si>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</si>
  <si>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</si>
  <si>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</si>
  <si>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</si>
  <si>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Complete fire stopping between layers of lining &amp; apply compound(s) as specified </t>
  </si>
  <si>
    <t>Openings/penetrations/corners &amp; bulkheads, correctly formed</t>
  </si>
  <si>
    <t>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</si>
  <si>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</si>
  <si>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</si>
  <si>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</si>
  <si>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</si>
  <si>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</si>
  <si>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</si>
  <si>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</si>
  <si>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</si>
  <si>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</si>
  <si>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</si>
  <si>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</si>
  <si>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</si>
  <si>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</si>
  <si>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</si>
  <si>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</si>
  <si>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</si>
  <si>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</si>
  <si>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</si>
  <si>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</si>
  <si>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</si>
  <si>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</si>
  <si>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</si>
  <si>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Pre-Line</t>
  </si>
  <si>
    <t>PRE - R - Fire Penetration</t>
  </si>
  <si>
    <t>PRE - R - PRE-line</t>
  </si>
  <si>
    <t>PRE-line works completed and acceptable. Trades QA received, reviewed, attached and approved for all pre-line trades. Approved to line the area.</t>
  </si>
  <si>
    <t>Timber frame installation completed and acceptable</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</si>
  <si>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</si>
  <si>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</si>
  <si>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</si>
  <si>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</si>
  <si>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</si>
  <si>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</si>
  <si>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</si>
  <si>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</si>
  <si>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</si>
  <si>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</si>
  <si>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</si>
  <si>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</si>
  <si>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</si>
  <si>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</si>
  <si>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</si>
  <si>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</si>
  <si>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</si>
  <si>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</si>
  <si>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</si>
  <si>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</si>
  <si>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</si>
  <si>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</si>
  <si>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</si>
  <si>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</si>
  <si>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</si>
  <si>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</si>
  <si>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</si>
  <si>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</si>
  <si>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</si>
  <si>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</si>
  <si>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</si>
  <si>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</si>
  <si>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</si>
  <si>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</si>
  <si>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</si>
  <si>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</si>
  <si>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</si>
  <si>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</si>
  <si>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</si>
  <si>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</si>
  <si>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</si>
  <si>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</si>
  <si>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</si>
  <si>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</si>
  <si>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</si>
  <si>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</si>
  <si>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</si>
  <si>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</si>
  <si>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</si>
  <si>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</si>
  <si>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</si>
  <si>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</si>
  <si>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</si>
  <si>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</si>
  <si>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</si>
  <si>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</si>
  <si>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</si>
  <si>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</si>
  <si>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</si>
  <si>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</si>
  <si>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</si>
  <si>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</si>
  <si>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</si>
  <si>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</si>
  <si>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</si>
  <si>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</si>
  <si>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</si>
  <si>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</si>
  <si>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</si>
  <si>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</si>
  <si>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</si>
  <si>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</si>
  <si>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</si>
  <si>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</si>
  <si>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</si>
  <si>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</si>
  <si>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</si>
  <si>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</si>
  <si>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</si>
  <si>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</si>
  <si>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</si>
  <si>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</si>
  <si>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</si>
  <si>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</si>
  <si>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</si>
  <si>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</si>
  <si>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</si>
  <si>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</si>
  <si>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</si>
  <si>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</si>
  <si>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</si>
  <si>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</si>
  <si>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</si>
  <si>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</si>
  <si>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</si>
  <si>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</si>
  <si>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</si>
  <si>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</si>
  <si>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</si>
  <si>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</si>
  <si>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</si>
  <si>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</si>
  <si>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</si>
  <si>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</si>
  <si>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</si>
  <si>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</si>
  <si>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t>
  </si>
  <si>
    <t xml:space="preserve">Steel Studs have been installed square, straight and plumb </t>
  </si>
  <si>
    <t>Fixings are correct to specification including any seismic/bracing requirements</t>
  </si>
  <si>
    <t>All Nogs (Service/Specialty) &amp; penetrations - installed, checked &amp; correct (ensure acoustic &amp; fire rating requirements achieved)</t>
  </si>
  <si>
    <t xml:space="preserve">All Steel Stud framing completed correctly to specification &amp; within tolerance in respective area(s) </t>
  </si>
  <si>
    <t>Door Timber studs and lintels installed and level</t>
  </si>
  <si>
    <t>Window Timber studs, lintels and still installed and level</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</si>
  <si>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</si>
  <si>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</si>
  <si>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</si>
  <si>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</si>
  <si>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</si>
  <si>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</si>
  <si>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</si>
  <si>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</si>
  <si>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</si>
  <si>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</si>
  <si>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</si>
  <si>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</si>
  <si>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</si>
  <si>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</si>
  <si>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</si>
  <si>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</si>
  <si>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</si>
  <si>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</si>
  <si>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</si>
  <si>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</si>
  <si>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</si>
  <si>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</si>
  <si>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</si>
  <si>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</si>
  <si>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</si>
  <si>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</si>
  <si>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</si>
  <si>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</si>
  <si>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</si>
  <si>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</si>
  <si>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</si>
  <si>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</si>
  <si>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</si>
  <si>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</si>
  <si>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</si>
  <si>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</si>
  <si>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</si>
  <si>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</si>
  <si>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</si>
  <si>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</si>
  <si>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</si>
  <si>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</si>
  <si>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</si>
  <si>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</si>
  <si>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</si>
  <si>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</si>
  <si>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</si>
  <si>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</si>
  <si>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</si>
  <si>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</si>
  <si>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</si>
  <si>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</si>
  <si>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</si>
  <si>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</si>
  <si>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</si>
  <si>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</si>
  <si>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</si>
  <si>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</si>
  <si>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</si>
  <si>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</si>
  <si>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</si>
  <si>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</si>
  <si>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</si>
  <si>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</si>
  <si>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</si>
  <si>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</si>
  <si>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</si>
  <si>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</si>
  <si>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</si>
  <si>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</si>
  <si>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</si>
  <si>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</si>
  <si>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</si>
  <si>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</si>
  <si>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</si>
  <si>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</si>
  <si>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</si>
  <si>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</si>
  <si>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</si>
  <si>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</si>
  <si>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</si>
  <si>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</si>
  <si>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</si>
  <si>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</si>
  <si>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</si>
  <si>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</si>
  <si>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</si>
  <si>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</si>
  <si>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</si>
  <si>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</si>
  <si>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</si>
  <si>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</si>
  <si>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</si>
  <si>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</si>
  <si>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</si>
  <si>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</si>
  <si>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</si>
  <si>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</si>
  <si>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</si>
  <si>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</si>
  <si>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</si>
  <si>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</si>
  <si>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</si>
  <si>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</si>
  <si>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</si>
  <si>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</si>
  <si>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</si>
  <si>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</si>
  <si>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</si>
  <si>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</si>
  <si>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</si>
  <si>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</si>
  <si>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</si>
  <si>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</si>
  <si>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</si>
  <si>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</si>
  <si>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</si>
  <si>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</si>
  <si>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</si>
  <si>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</si>
  <si>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</si>
  <si>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</si>
  <si>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</si>
  <si>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</si>
  <si>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</si>
  <si>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</si>
  <si>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</si>
  <si>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</si>
  <si>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</si>
  <si>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</si>
  <si>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</si>
  <si>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</si>
  <si>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</si>
  <si>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</si>
  <si>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</si>
  <si>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</si>
  <si>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</si>
  <si>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</si>
  <si>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</si>
  <si>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</si>
  <si>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</si>
  <si>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</si>
  <si>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</si>
  <si>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</si>
  <si>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</si>
  <si>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</si>
  <si>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</si>
  <si>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</si>
  <si>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</si>
  <si>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</si>
  <si>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</si>
  <si>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</si>
  <si>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</si>
  <si>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</si>
  <si>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</si>
  <si>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</si>
  <si>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</si>
  <si>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</si>
  <si>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</si>
  <si>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</si>
  <si>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</si>
  <si>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</si>
  <si>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</si>
  <si>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</si>
  <si>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</si>
  <si>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</si>
  <si>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</si>
  <si>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</si>
  <si>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</si>
  <si>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</si>
  <si>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</si>
  <si>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</si>
  <si>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</si>
  <si>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</si>
  <si>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</si>
  <si>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</si>
  <si>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</si>
  <si>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</si>
  <si>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</si>
  <si>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</si>
  <si>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</si>
  <si>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</si>
  <si>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</si>
  <si>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</si>
  <si>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</si>
  <si>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</si>
  <si>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</si>
  <si>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</si>
  <si>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</si>
  <si>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</si>
  <si>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</si>
  <si>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</si>
  <si>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</si>
  <si>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</si>
  <si>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</si>
  <si>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</si>
  <si>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</si>
  <si>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</si>
  <si>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</si>
  <si>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</si>
  <si>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</si>
  <si>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</si>
  <si>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</si>
  <si>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</si>
  <si>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</si>
  <si>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</si>
  <si>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</si>
  <si>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</si>
  <si>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</si>
  <si>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</si>
  <si>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</si>
  <si>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</si>
  <si>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</si>
  <si>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</si>
  <si>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</si>
  <si>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</si>
  <si>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</si>
  <si>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Correct size and grade of the propping timbers</t>
  </si>
  <si>
    <t>Correct size and grade of the props</t>
  </si>
  <si>
    <t>Props placed in the correct location as indicated on the propping plan</t>
  </si>
  <si>
    <t>Temporary anchors and fixings installed</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</si>
  <si>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</si>
  <si>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</si>
  <si>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</si>
  <si>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</si>
  <si>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</si>
  <si>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</si>
  <si>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</si>
  <si>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</si>
  <si>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</si>
  <si>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</si>
  <si>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</si>
  <si>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</si>
  <si>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</si>
  <si>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</si>
  <si>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</si>
  <si>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</si>
  <si>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</si>
  <si>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</si>
  <si>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</si>
  <si>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</si>
  <si>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</si>
  <si>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</si>
  <si>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</si>
  <si>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</si>
  <si>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</si>
  <si>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</si>
  <si>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</si>
  <si>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</si>
  <si>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</si>
  <si>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</si>
  <si>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</si>
  <si>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</si>
  <si>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</si>
  <si>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</si>
  <si>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</si>
  <si>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</si>
  <si>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</si>
  <si>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</si>
  <si>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</si>
  <si>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</si>
  <si>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</si>
  <si>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</si>
  <si>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</si>
  <si>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</si>
  <si>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</si>
  <si>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</si>
  <si>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</si>
  <si>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</si>
  <si>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</si>
  <si>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</si>
  <si>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</si>
  <si>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</si>
  <si>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</si>
  <si>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</si>
  <si>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</si>
  <si>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</si>
  <si>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</si>
  <si>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</si>
  <si>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</si>
  <si>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</si>
  <si>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</si>
  <si>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</si>
  <si>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</si>
  <si>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</si>
  <si>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</si>
  <si>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</si>
  <si>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</si>
  <si>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</si>
  <si>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</si>
  <si>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</si>
  <si>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</si>
  <si>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</si>
  <si>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</si>
  <si>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</si>
  <si>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</si>
  <si>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</si>
  <si>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</si>
  <si>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</si>
  <si>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</si>
  <si>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</si>
  <si>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</si>
  <si>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</si>
  <si>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</si>
  <si>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</si>
  <si>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</si>
  <si>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</si>
  <si>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</si>
  <si>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</si>
  <si>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</si>
  <si>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</si>
  <si>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</si>
  <si>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</si>
  <si>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</si>
  <si>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</si>
  <si>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</si>
  <si>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</si>
  <si>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</si>
  <si>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</si>
  <si>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</si>
  <si>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</si>
  <si>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</si>
  <si>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</si>
  <si>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</si>
  <si>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</si>
  <si>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</si>
  <si>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</si>
  <si>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</si>
  <si>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</si>
  <si>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</si>
  <si>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</si>
  <si>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</si>
  <si>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</si>
  <si>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</si>
  <si>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</si>
  <si>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</si>
  <si>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</si>
  <si>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</si>
  <si>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</si>
  <si>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</si>
  <si>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</si>
  <si>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</si>
  <si>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</si>
  <si>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</si>
  <si>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</si>
  <si>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</si>
  <si>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</si>
  <si>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</si>
  <si>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</si>
  <si>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</si>
  <si>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</si>
  <si>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</si>
  <si>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</si>
  <si>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</si>
  <si>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</si>
  <si>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</si>
  <si>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</si>
  <si>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</si>
  <si>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</si>
  <si>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</si>
  <si>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</si>
  <si>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</si>
  <si>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</si>
  <si>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</si>
  <si>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</si>
  <si>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</si>
  <si>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</si>
  <si>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</si>
  <si>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</si>
  <si>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</si>
  <si>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</si>
  <si>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</si>
  <si>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</si>
  <si>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</si>
  <si>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</si>
  <si>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</si>
  <si>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</si>
  <si>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</si>
  <si>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</si>
  <si>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</si>
  <si>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</si>
  <si>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</si>
  <si>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</si>
  <si>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</si>
  <si>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</si>
  <si>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</si>
  <si>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</si>
  <si>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</si>
  <si>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</si>
  <si>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</si>
  <si>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</si>
  <si>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</si>
  <si>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</si>
  <si>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</si>
  <si>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</si>
  <si>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</si>
  <si>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</si>
  <si>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</si>
  <si>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</si>
  <si>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</si>
  <si>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</si>
  <si>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</si>
  <si>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</si>
  <si>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</si>
  <si>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</si>
  <si>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</si>
  <si>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</si>
  <si>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</si>
  <si>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</si>
  <si>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</si>
  <si>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</si>
  <si>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</si>
  <si>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</si>
  <si>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</si>
  <si>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</si>
  <si>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</si>
  <si>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</si>
  <si>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</si>
  <si>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</si>
  <si>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</si>
  <si>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</si>
  <si>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</si>
  <si>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</si>
  <si>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</si>
  <si>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</si>
  <si>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</si>
  <si>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</si>
  <si>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</si>
  <si>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</si>
  <si>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</si>
  <si>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</si>
  <si>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</si>
  <si>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</si>
  <si>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</si>
  <si>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</si>
  <si>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</si>
  <si>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</si>
  <si>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</si>
  <si>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</si>
  <si>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</si>
  <si>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</si>
  <si>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</si>
  <si>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</si>
  <si>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</si>
  <si>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</si>
  <si>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</si>
  <si>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</si>
  <si>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</si>
  <si>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</si>
  <si>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</si>
  <si>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</si>
  <si>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</si>
  <si>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</si>
  <si>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</si>
  <si>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</si>
  <si>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</si>
  <si>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</si>
  <si>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</si>
  <si>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</si>
  <si>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</si>
  <si>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</si>
  <si>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</si>
  <si>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</si>
  <si>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</si>
  <si>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</si>
  <si>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</si>
  <si>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</si>
  <si>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</si>
  <si>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</si>
  <si>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</si>
  <si>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</si>
  <si>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</si>
  <si>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</si>
  <si>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</si>
  <si>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</si>
  <si>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</si>
  <si>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</si>
  <si>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</si>
  <si>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</si>
  <si>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</si>
  <si>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</si>
  <si>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</si>
  <si>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</si>
  <si>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</si>
  <si>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</si>
  <si>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</si>
  <si>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</si>
  <si>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</si>
  <si>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</si>
  <si>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</si>
  <si>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</si>
  <si>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</si>
  <si>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</si>
  <si>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</si>
  <si>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Infill Panel SWMS compiled and provided to Ryman for review prior to work starting on site</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</si>
  <si>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</si>
  <si>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</si>
  <si>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</si>
  <si>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Area cleared for propping to be erected in place.</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</si>
  <si>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</si>
  <si>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</si>
  <si>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</si>
  <si>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</si>
  <si>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</si>
  <si>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</si>
  <si>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</si>
  <si>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SWMS implemented and followed.</t>
  </si>
  <si>
    <t>Ryman 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</si>
  <si>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</si>
  <si>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</si>
  <si>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</si>
  <si>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</si>
  <si>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</si>
  <si>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</si>
  <si>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</si>
  <si>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</si>
  <si>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</si>
  <si>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</si>
  <si>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</si>
  <si>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</si>
  <si>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</si>
  <si>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</si>
  <si>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</si>
  <si>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</si>
  <si>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</si>
  <si>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</si>
  <si>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</si>
  <si>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</si>
  <si>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</si>
  <si>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</si>
  <si>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</si>
  <si>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</si>
  <si>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</si>
  <si>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</si>
  <si>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</si>
  <si>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</si>
  <si>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</si>
  <si>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</si>
  <si>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</si>
  <si>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</si>
  <si>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</si>
  <si>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</si>
  <si>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</si>
  <si>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</si>
  <si>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</si>
  <si>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</si>
  <si>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</si>
  <si>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</si>
  <si>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</si>
  <si>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</si>
  <si>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</si>
  <si>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</si>
  <si>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</si>
  <si>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</si>
  <si>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</si>
  <si>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</si>
  <si>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</si>
  <si>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</si>
  <si>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</si>
  <si>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</si>
  <si>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</si>
  <si>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</si>
  <si>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</si>
  <si>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</si>
  <si>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</si>
  <si>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</si>
  <si>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</si>
  <si>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</si>
  <si>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</si>
  <si>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</si>
  <si>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</si>
  <si>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</si>
  <si>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</si>
  <si>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</si>
  <si>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</si>
  <si>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</si>
  <si>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</si>
  <si>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</si>
  <si>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</si>
  <si>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</si>
  <si>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</si>
  <si>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</si>
  <si>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</si>
  <si>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</si>
  <si>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</si>
  <si>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</si>
  <si>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</si>
  <si>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</si>
  <si>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</si>
  <si>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</si>
  <si>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</si>
  <si>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</si>
  <si>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</si>
  <si>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</si>
  <si>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</si>
  <si>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</si>
  <si>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</si>
  <si>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</si>
  <si>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</si>
  <si>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</si>
  <si>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</si>
  <si>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</si>
  <si>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</si>
  <si>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</si>
  <si>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</si>
  <si>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</si>
  <si>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</si>
  <si>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</si>
  <si>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</si>
  <si>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</si>
  <si>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</si>
  <si>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</si>
  <si>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</si>
  <si>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</si>
  <si>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</si>
  <si>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</si>
  <si>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</si>
  <si>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</si>
  <si>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</si>
  <si>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</si>
  <si>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</si>
  <si>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</si>
  <si>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</si>
  <si>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</si>
  <si>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</si>
  <si>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</si>
  <si>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</si>
  <si>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</si>
  <si>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</si>
  <si>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</si>
  <si>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</si>
  <si>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</si>
  <si>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</si>
  <si>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</si>
  <si>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</si>
  <si>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</si>
  <si>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</si>
  <si>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</si>
  <si>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</si>
  <si>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</si>
  <si>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</si>
  <si>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</si>
  <si>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</si>
  <si>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</si>
  <si>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</si>
  <si>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</si>
  <si>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</si>
  <si>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</si>
  <si>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</si>
  <si>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</si>
  <si>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</si>
  <si>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</si>
  <si>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</si>
  <si>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</si>
  <si>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</si>
  <si>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</si>
  <si>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</si>
  <si>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</si>
  <si>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</si>
  <si>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</si>
  <si>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</si>
  <si>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</si>
  <si>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</si>
  <si>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Inspection Test Plan</t>
  </si>
  <si>
    <t>ITP - R - On Grade Slab Foundation Construction (per area)</t>
  </si>
  <si>
    <t>All subcontractor QA uploaded, attached, and meets ITP requirements.</t>
  </si>
  <si>
    <t>Survey set out (height, location, setout) - confirmation attached.</t>
  </si>
  <si>
    <t>Backfilling completed</t>
  </si>
  <si>
    <t>Waterproofing completed</t>
  </si>
  <si>
    <t>DPM overlapping/taping with no tears or perforations.  Council requirement</t>
  </si>
  <si>
    <t>Reinforcing completed</t>
  </si>
  <si>
    <t>Engineer sign off completed and approved for pour</t>
  </si>
  <si>
    <t>Council inspection completed and approved for pour</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</si>
  <si>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</si>
  <si>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</si>
  <si>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</si>
  <si>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</si>
  <si>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</si>
  <si>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</si>
  <si>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</si>
  <si>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</si>
  <si>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</si>
  <si>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</si>
  <si>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</si>
  <si>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</si>
  <si>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</si>
  <si>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</si>
  <si>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Documentation</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</si>
  <si>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</si>
  <si>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</si>
  <si>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</si>
  <si>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</si>
  <si>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</si>
  <si>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</si>
  <si>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</si>
  <si>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</si>
  <si>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</si>
  <si>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</si>
  <si>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</si>
  <si>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</si>
  <si>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</si>
  <si>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</si>
  <si>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</si>
  <si>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</si>
  <si>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</si>
  <si>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</si>
  <si>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</si>
  <si>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</si>
  <si>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</si>
  <si>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</si>
  <si>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</si>
  <si>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</si>
  <si>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</si>
  <si>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</si>
  <si>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</si>
  <si>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</si>
  <si>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</si>
  <si>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</si>
  <si>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</si>
  <si>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</si>
  <si>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</si>
  <si>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</si>
  <si>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</si>
  <si>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</si>
  <si>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</si>
  <si>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</si>
  <si>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</si>
  <si>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</si>
  <si>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</si>
  <si>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</si>
  <si>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</si>
  <si>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</si>
  <si>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</si>
  <si>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</si>
  <si>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</si>
  <si>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</si>
  <si>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</si>
  <si>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</si>
  <si>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</si>
  <si>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</si>
  <si>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</si>
  <si>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</si>
  <si>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</si>
  <si>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</si>
  <si>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</si>
  <si>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</si>
  <si>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</si>
  <si>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</si>
  <si>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</si>
  <si>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</si>
  <si>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</si>
  <si>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</si>
  <si>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</si>
  <si>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</si>
  <si>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</si>
  <si>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</si>
  <si>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</si>
  <si>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</si>
  <si>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</si>
  <si>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</si>
  <si>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</si>
  <si>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</si>
  <si>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</si>
  <si>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</si>
  <si>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</si>
  <si>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</si>
  <si>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</si>
  <si>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Ground conditions checked and acceptable</t>
  </si>
  <si>
    <t>Upstream &amp; downstream manhole invert levels and gradient of the pipe line checked and acceptable</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</si>
  <si>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</si>
  <si>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</si>
  <si>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</si>
  <si>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</si>
  <si>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</si>
  <si>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</si>
  <si>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</si>
  <si>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</si>
  <si>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</si>
  <si>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</si>
  <si>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</si>
  <si>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</si>
  <si>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</si>
  <si>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</si>
  <si>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</si>
  <si>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</si>
  <si>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</si>
  <si>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</si>
  <si>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</si>
  <si>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</si>
  <si>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</si>
  <si>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</si>
  <si>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</si>
  <si>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</si>
  <si>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</si>
  <si>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ITP - R - Services</t>
  </si>
  <si>
    <t>Residential Apartment/Townhouse Unit</t>
  </si>
  <si>
    <t>Fire - Alarm, Hydrant &amp; Sprinkler completed and acceptable.  PS3 and As Builts supplied.</t>
  </si>
  <si>
    <t>Nurse Call, Security, Data and Communications completed and acceptable.  PS3 and As Builts supplied.</t>
  </si>
  <si>
    <t>Hydraulic completed and acceptable.  PS3 and As Builts supplied.</t>
  </si>
  <si>
    <t>Electrical completed and acceptable.  PS3 and As Builts supplied.</t>
  </si>
  <si>
    <t>Mechanical completed and acceptable.  PS3 and As Builts supplied.</t>
  </si>
  <si>
    <t>Common, Recreational &amp; Service Areas</t>
  </si>
  <si>
    <t>Specified Systems - Hydrant, Fire Alarms, Sprinklers completed and acceptable.  PS3 and As Builts supplied.</t>
  </si>
  <si>
    <t>Specified Systems - Alarms, Manual/Automatic completed and acceptable.  PS3 and As Builts supplied.</t>
  </si>
  <si>
    <t>Specified Systems - Gas Detection completed and acceptable.  PS3 and As Builts supplied.</t>
  </si>
  <si>
    <t>Specified Systems - Nurse Call completed and acceptable.  PS3 and As Builts supplied.</t>
  </si>
  <si>
    <t>Specified Systems - Access Controlled Doors completed and acceptable.  PS3 and As Builts supplied.</t>
  </si>
  <si>
    <t>Specified Systems - Interfaced Fire/Smoke Doors/Windows/Security completed and acceptable.  PS3 and As Builts supplied.</t>
  </si>
  <si>
    <t>Specified Systems - Hydraulic completed and acceptable.  PS3 and As Builts supplied.</t>
  </si>
  <si>
    <t>Specified Systems - Lifts completed and acceptable.  PS3 and As Builts supplied.</t>
  </si>
  <si>
    <t>Specified Systems - Mechanical, fresh air and duct extrac system completed and acceptable.  PS3 and As Builts supplied.</t>
  </si>
  <si>
    <t>Specified Systems - Mechanical, kitchen extract + air conditioning system completed and acceptable.  PS3 and As Builts supplied.</t>
  </si>
  <si>
    <t>Specified Systems - Smoke Curtains completed and acceptable.  PS3 and As Builts supplied.</t>
  </si>
  <si>
    <t>Specified Systems - Essential Power Supply completed and acceptable.  PS3 and As Builts supplied.</t>
  </si>
  <si>
    <t>Specified Systems - Emergency Signage + Exits &amp; Emergency Lighting completed and acceptable.  PS3 and As Builts supplied.</t>
  </si>
  <si>
    <t>Swimming Pool - Plant completed and acceptable.  PS3 and As Builts supplied.</t>
  </si>
  <si>
    <t>Fire Engineer inspection completed and approved</t>
  </si>
  <si>
    <t>Electrical Engineer inspection completed and approved</t>
  </si>
  <si>
    <t>Mechanical / Hydraulic Engineer inspection completed and approved</t>
  </si>
  <si>
    <t>ITP - R - Foundation Piling</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</si>
  <si>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</si>
  <si>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</si>
  <si>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</si>
  <si>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</si>
  <si>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</si>
  <si>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</si>
  <si>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</si>
  <si>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</si>
  <si>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</si>
  <si>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</si>
  <si>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Services (overhead / below ground) considered and isolated where required before excavation commences</t>
  </si>
  <si>
    <t>Placement of Geo-grid (2 photos)</t>
  </si>
  <si>
    <t>ITP - R - Pipe Laying (Mains Water, Storm and Waste)</t>
  </si>
  <si>
    <t>Main Water</t>
  </si>
  <si>
    <t>Set-out completed</t>
  </si>
  <si>
    <t>Excavation</t>
  </si>
  <si>
    <t>Ground conditions</t>
  </si>
  <si>
    <t>Bedding</t>
  </si>
  <si>
    <t>Pipework</t>
  </si>
  <si>
    <t>Levels and Gradients</t>
  </si>
  <si>
    <t>Backfill</t>
  </si>
  <si>
    <t>Storm Water</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</si>
  <si>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</si>
  <si>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</si>
  <si>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</si>
  <si>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</si>
  <si>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</si>
  <si>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</si>
  <si>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</si>
  <si>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</si>
  <si>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Timber, Insuti , Blockwork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</si>
  <si>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</si>
  <si>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</si>
  <si>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</si>
  <si>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</si>
  <si>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</si>
  <si>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</si>
  <si>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</si>
  <si>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</si>
  <si>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</si>
  <si>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</si>
  <si>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</si>
  <si>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</si>
  <si>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</si>
  <si>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</si>
  <si>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Reinforced Blockwork Elements</t>
  </si>
  <si>
    <t>Blockwork - meets specification</t>
  </si>
  <si>
    <t>Reinforcing - meets specification</t>
  </si>
  <si>
    <t>Testing</t>
  </si>
  <si>
    <t>Chemical anchor testing completed.  Upload report</t>
  </si>
  <si>
    <t>Record sample size</t>
  </si>
  <si>
    <t>Concrete Documentation</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</si>
  <si>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</si>
  <si>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</si>
  <si>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</si>
  <si>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</si>
  <si>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</si>
  <si>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</si>
  <si>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</si>
  <si>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Yes, N/A</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</si>
  <si>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</si>
  <si>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</si>
  <si>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</si>
  <si>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</si>
  <si>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</si>
  <si>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</si>
  <si>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</si>
  <si>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</si>
  <si>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</si>
  <si>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</si>
  <si>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</si>
  <si>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</si>
  <si>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</si>
  <si>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</si>
  <si>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</si>
  <si>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</si>
  <si>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</si>
  <si>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</si>
  <si>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</si>
  <si>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</si>
  <si>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</si>
  <si>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</si>
  <si>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</si>
  <si>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</si>
  <si>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</si>
  <si>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</si>
  <si>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</si>
  <si>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</si>
  <si>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</si>
  <si>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</si>
  <si>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</si>
  <si>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Pre &amp; Post Line (per area/grid/Location)</t>
  </si>
  <si>
    <t>Framing system installation completed and acceptable</t>
  </si>
  <si>
    <t>Nogs Installed and comply</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</si>
  <si>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</si>
  <si>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</si>
  <si>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</si>
  <si>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</si>
  <si>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</si>
  <si>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</si>
  <si>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</si>
  <si>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</si>
  <si>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Consultant Inspections Completed and Passed</t>
  </si>
  <si>
    <t>ITP - R - Apartment Roofing (per area)</t>
  </si>
  <si>
    <t>ITP - R - Apartment Facade (per elevation/grid)</t>
  </si>
  <si>
    <t>Balcony waterproofing completed</t>
  </si>
  <si>
    <t>Water tightness test performed.  No leaks.  Witnessed by Ryman.  Record name of contractor who conducted the test in the comments section.</t>
  </si>
  <si>
    <t>Installed Boss Bulkhead Batt fire barriers as per sepecifications</t>
  </si>
  <si>
    <t>F - S - Piling (per pile)</t>
  </si>
  <si>
    <t>Pile Number</t>
  </si>
  <si>
    <t>300mm, 400mm, 600mm, 900mm</t>
  </si>
  <si>
    <t>Pile set out - Surveyed and marked - Upload photo of survey marker</t>
  </si>
  <si>
    <t>Cage Inspected by Structural engineer and approved</t>
  </si>
  <si>
    <t>Concrete Pour Start Date &amp; Time</t>
  </si>
  <si>
    <t>Concrete Pour CompleteTime</t>
  </si>
  <si>
    <t>Upload of all relevant concrete dockets</t>
  </si>
  <si>
    <t>Completed Pile card upload</t>
  </si>
  <si>
    <t>CLICK AND SEND EMAIL TO RYMAN FOREMAN TO CONFIRM ALL STEPS ABOVE COMPLETED</t>
  </si>
  <si>
    <t>Concrete Test Certificate Upload</t>
  </si>
  <si>
    <t>Upload of 7 day certificate</t>
  </si>
  <si>
    <t>Upload of 28 day certificate</t>
  </si>
  <si>
    <t>Pile QA Completed - Contractor Sign-Off</t>
  </si>
  <si>
    <t>ST - R - Double T Installation</t>
  </si>
  <si>
    <t>Inspected on arrival &amp; damage free</t>
  </si>
  <si>
    <t>Shoreload completed</t>
  </si>
  <si>
    <t>Double T install complete and acceptable (checked location and level)</t>
  </si>
  <si>
    <t>ITP - R - B01 Fitout/Services (per area/room)</t>
  </si>
  <si>
    <t>Sanitary areas completed and signed off</t>
  </si>
  <si>
    <t>Service areas completed and signed off.</t>
  </si>
  <si>
    <t>Public/personal areas completed and signed off.</t>
  </si>
  <si>
    <t>ALS/Care unit services</t>
  </si>
  <si>
    <t>Systems completed and acceptable.</t>
  </si>
  <si>
    <t>Fire - Alarm, Hydrant &amp; Sprinkler completed and acceptable.</t>
  </si>
  <si>
    <t>Nurse Call, Security, Data and Communications completed and acceptable.</t>
  </si>
  <si>
    <t>Hydraulic completed and acceptable.</t>
  </si>
  <si>
    <t>Electrical completed and acceptable.</t>
  </si>
  <si>
    <t>Mechanical completed and acceptable.</t>
  </si>
  <si>
    <t>Common, Recreational &amp; Service Areas services</t>
  </si>
  <si>
    <t>Specified systems completed and acceptable.</t>
  </si>
  <si>
    <t>Specified Systems - Hydrant, Fire Alarms, Sprinklers completed and acceptable.</t>
  </si>
  <si>
    <t>Specified Systems - Alarms, Manual/Automatic completed and acceptable.</t>
  </si>
  <si>
    <t>Specified Systems - Gas Detection completed and acceptable.</t>
  </si>
  <si>
    <t>Specified Systems - Nurse Call completed and acceptable.</t>
  </si>
  <si>
    <t>Specified Systems - Access Controlled Doors completed and acceptable.</t>
  </si>
  <si>
    <t>Specified Systems - Interfaced Fire/Smoke Doors/Windows/Security completed and acceptable.</t>
  </si>
  <si>
    <t>Specified Systems - Hydraulic completed and acceptable.</t>
  </si>
  <si>
    <t>Specified Systems - Lifts completed and acceptable.</t>
  </si>
  <si>
    <t>Specified Systems - Mechanical, fresh air and duct extrac system completed and acceptable.</t>
  </si>
  <si>
    <t>Specified Systems - Mechanical, kitchen extract + air conditioning system completed and acceptable.</t>
  </si>
  <si>
    <t>Specified Systems - Smoke Curtains completed and acceptable.</t>
  </si>
  <si>
    <t>ITP - R - CLT Structure (per structural cube)</t>
  </si>
  <si>
    <t>Pre-Delivery Activity</t>
  </si>
  <si>
    <t>Lifting schedule approved</t>
  </si>
  <si>
    <t>Truck Loading/Installation sequence approved</t>
  </si>
  <si>
    <t>Temporary works plan approved</t>
  </si>
  <si>
    <t>APPROVAL TO DELIVER.  CLICK TO SIGN OFF</t>
  </si>
  <si>
    <t>Post-Delivery Activity</t>
  </si>
  <si>
    <t>Panels delivered with panel protection drawings attached, correct version.</t>
  </si>
  <si>
    <t>Weather proofing product is applied correctly to meet drawing requirements.</t>
  </si>
  <si>
    <t>Construction</t>
  </si>
  <si>
    <t>Confirm all moisture tests for the panels in this structural cube have moisture tests conducted, documented, and passed.</t>
  </si>
  <si>
    <t>Wall panels installed</t>
  </si>
  <si>
    <t>LVL post and beams installed</t>
  </si>
  <si>
    <t>Corbels and other critical framing installed</t>
  </si>
  <si>
    <t>Balcony and floor panels installed</t>
  </si>
  <si>
    <t>Temporary works and initial fixings completed to plan</t>
  </si>
  <si>
    <t>Structural cube surveyed as installed to tolerance</t>
  </si>
  <si>
    <t>Removal of Temporary Works</t>
  </si>
  <si>
    <t xml:space="preserve">Components checked and align with design intent </t>
  </si>
  <si>
    <t>Temporary weathertightness in place</t>
  </si>
  <si>
    <t>Engineer inspection.  All fixings completed throughout structural cube</t>
  </si>
  <si>
    <t>APPROVAL TO REMOVE TEMPORARY WORKS.  CLICK TO SIGN OFF</t>
  </si>
  <si>
    <t>ITP - R - CLT Moisture Test (per test)</t>
  </si>
  <si>
    <t>Test conducted</t>
  </si>
  <si>
    <t>On Delivery, Surveillance</t>
  </si>
  <si>
    <t>Panel protection at time of test</t>
  </si>
  <si>
    <t>Applied, Not Applied</t>
  </si>
  <si>
    <t>If panel protection is applied, is it intact with no exposed areas.  "n/a" if not applied</t>
  </si>
  <si>
    <t>Panel number tested</t>
  </si>
  <si>
    <t>Date of test</t>
  </si>
  <si>
    <t>Number of test points taken</t>
  </si>
  <si>
    <t>Overall test result, take photo of each test result.</t>
  </si>
  <si>
    <t>ITP - R - B01 Area Inspection signoff</t>
  </si>
  <si>
    <t>Specified Systems - Hydrant, Fire Alarms, Sprinklers - PS3 and As Builts supplied.</t>
  </si>
  <si>
    <t>Specified Systems - Alarms, Manual/Automatic completed - PS3 and As Builts supplied.</t>
  </si>
  <si>
    <t>Specified Systems - Gas Detection - PS3 and As Builts supplied.</t>
  </si>
  <si>
    <t>Specified Systems - Nurse Call - As Builts supplied.</t>
  </si>
  <si>
    <t>Specified Systems - Access Controlled Doors - PS3 and As Builts supplied.</t>
  </si>
  <si>
    <t>Specified Systems - Interfaced Fire/Smoke Doors/Windows/Security - PS3 and As Builts supplied.</t>
  </si>
  <si>
    <t>Specified Systems - Hydraulic - PS3 and As Builts supplied.</t>
  </si>
  <si>
    <t>Specified Systems - Lifts - PS3 and As Builts supplied.</t>
  </si>
  <si>
    <t>Specified Systems - Mechanical, fresh air and duct extrac system - PS3 and As Builts supplied.</t>
  </si>
  <si>
    <t>Specified Systems - Mechanical, kitchen extract + air conditioning system - PS3 and As Builts supplied.</t>
  </si>
  <si>
    <t>Specified Systems - Smoke Curtains - PS3 and As Builts supplied.</t>
  </si>
  <si>
    <t>Specified Systems - Essential Power Supply - PS3 and As Builts supplied.</t>
  </si>
  <si>
    <t>Specified Systems - Emergency Signage + Exits &amp; Emergency Lighting - PS3 and As Builts supplied.</t>
  </si>
  <si>
    <t>Specified Systems - Electrical - PS3 and As Builts supplied</t>
  </si>
  <si>
    <t>services</t>
  </si>
  <si>
    <t>S - R - Firewalls (must be completed prior to internal wall commencement)</t>
  </si>
  <si>
    <t>POST - S - Hanging wallpaper</t>
  </si>
  <si>
    <t>Check batch number/s of wallpaper</t>
  </si>
  <si>
    <t>Check drop length (if applicable) and ensure quantity of paper is sufficient</t>
  </si>
  <si>
    <t>Size/sealer applied if required</t>
  </si>
  <si>
    <t>Hang first drop of paper aligning with plumb line</t>
  </si>
  <si>
    <t>Ensure edges/corners are trimmed and paper is smoothed out</t>
  </si>
  <si>
    <t>Paper hanging completed - specified level of finish achieved</t>
  </si>
  <si>
    <t>Date of Request</t>
  </si>
  <si>
    <t>Requested by</t>
  </si>
  <si>
    <t>Type of change</t>
  </si>
  <si>
    <t>Project</t>
  </si>
  <si>
    <t>Trade</t>
  </si>
  <si>
    <t>Edited Checklist Comments</t>
  </si>
  <si>
    <t>Rewiew Comments</t>
  </si>
  <si>
    <t>Colin Alderson</t>
  </si>
  <si>
    <t>Gayani Welikala</t>
  </si>
  <si>
    <t>Corrosion protection accepatble</t>
  </si>
  <si>
    <t>New checklist</t>
  </si>
  <si>
    <t xml:space="preserve">ST - S - Structural Steel Installation - Installation </t>
  </si>
  <si>
    <t>ST - S - Concrete Pour - Suspended Slab</t>
  </si>
  <si>
    <t>All surfaces correctly prepared (e.g joints to existing concrete, release agent to formwork etc)</t>
  </si>
  <si>
    <t>ST - R - Concrete Pour - Suspended Slab</t>
  </si>
  <si>
    <t>Michael Mitchelson</t>
  </si>
  <si>
    <t>C- S - Pipe Laying - Water</t>
  </si>
  <si>
    <t>Balastrades and handrails installed, checked and approved</t>
  </si>
  <si>
    <t xml:space="preserve">ST - S - Insitu Stitch Joints </t>
  </si>
  <si>
    <t>All surfaces correctly prepared (e.g joints to exisiting concrete, release agent to formwork etc)</t>
  </si>
  <si>
    <t>Ties / Controll joints installed as required</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</si>
  <si>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</si>
  <si>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</si>
  <si>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</si>
  <si>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</si>
  <si>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</si>
  <si>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</si>
  <si>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</si>
  <si>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 xml:space="preserve">ST - S - Precast Shell Beam Lintel Installation </t>
  </si>
  <si>
    <t>Precast Shell Beam Lintel Installation completed (checked location &amp; level) and no damages</t>
  </si>
  <si>
    <t>Panel starter bars installed correctly to specifications (locaion, size, length and spacing) and ready to place the precast panels</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</si>
  <si>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</si>
  <si>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</si>
  <si>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</si>
  <si>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</si>
  <si>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</si>
  <si>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</si>
  <si>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</si>
  <si>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</si>
  <si>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Concrete in acceptible condition</t>
  </si>
  <si>
    <t>Pracast Balcony install complete (checked location &amp; level)</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</si>
  <si>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</si>
  <si>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</si>
  <si>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</si>
  <si>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</si>
  <si>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</si>
  <si>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</si>
  <si>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</si>
  <si>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</si>
  <si>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</si>
  <si>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</si>
  <si>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</si>
  <si>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</si>
  <si>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</si>
  <si>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</si>
  <si>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</si>
  <si>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</si>
  <si>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</si>
  <si>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</si>
  <si>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</si>
  <si>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</si>
  <si>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FC - R - Down Pipes</t>
  </si>
  <si>
    <t>Need to check if it has matching sub check</t>
  </si>
  <si>
    <t>Raise remedial / RequeFC Signoff</t>
  </si>
  <si>
    <t xml:space="preserve">Downpipe installation completed and acceptable </t>
  </si>
  <si>
    <t xml:space="preserve">Evelope Penetrations completed and acceptable </t>
  </si>
  <si>
    <t>Marcela Salazar</t>
  </si>
  <si>
    <t>Highly specific - though can add in in case it comes up again.</t>
  </si>
  <si>
    <t>Framing Dimensions / locations checked &amp; accurate (openings considered where applicable)</t>
  </si>
  <si>
    <t>All Nogs (Service/Specialty) &amp; penetrations - installed, checked &amp; correct (consider acoustic &amp; fire rating requirements)</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</si>
  <si>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</si>
  <si>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</si>
  <si>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</si>
  <si>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</si>
  <si>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</si>
  <si>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</si>
  <si>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</si>
  <si>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</si>
  <si>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</si>
  <si>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 xml:space="preserve">All door stopperst installation completed to specification &amp; within tolerance in respective area(s) </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</si>
  <si>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</si>
  <si>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</si>
  <si>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</si>
  <si>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</si>
  <si>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</si>
  <si>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</si>
  <si>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</si>
  <si>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</si>
  <si>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</si>
  <si>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</si>
  <si>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</si>
  <si>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</si>
  <si>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</si>
  <si>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</si>
  <si>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</si>
  <si>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</si>
  <si>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</si>
  <si>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</si>
  <si>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</si>
  <si>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</si>
  <si>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</si>
  <si>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</si>
  <si>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</si>
  <si>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</si>
  <si>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</si>
  <si>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</si>
  <si>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</si>
  <si>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</si>
  <si>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</si>
  <si>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</si>
  <si>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</si>
  <si>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</si>
  <si>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</si>
  <si>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</si>
  <si>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</si>
  <si>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</si>
  <si>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</si>
  <si>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</si>
  <si>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</si>
  <si>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</si>
  <si>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</si>
  <si>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</si>
  <si>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Water tested to 1500kpa and loop not effect lining</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</si>
  <si>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</si>
  <si>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</si>
  <si>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</si>
  <si>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</si>
  <si>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</si>
  <si>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</si>
  <si>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</si>
  <si>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</si>
  <si>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</si>
  <si>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</si>
  <si>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</si>
  <si>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</si>
  <si>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</si>
  <si>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</si>
  <si>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</si>
  <si>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Correct drawing revision checked,referenced and attached</t>
  </si>
  <si>
    <t>Area Accessable, Substrate Acceptable &amp; Approval to start work</t>
  </si>
  <si>
    <t>Iron laid fixed correctly/checked and accurate (2-3 photos attached)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</si>
  <si>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</si>
  <si>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</si>
  <si>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</si>
  <si>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</si>
  <si>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</si>
  <si>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</si>
  <si>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</si>
  <si>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</si>
  <si>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</si>
  <si>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</si>
  <si>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</si>
  <si>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</si>
  <si>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</si>
  <si>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</si>
  <si>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</si>
  <si>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Batterns level checked and accurate</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</si>
  <si>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</si>
  <si>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</si>
  <si>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</si>
  <si>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</si>
  <si>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</si>
  <si>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</si>
  <si>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</si>
  <si>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</si>
  <si>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</si>
  <si>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</si>
  <si>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</si>
  <si>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</si>
  <si>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</si>
  <si>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</si>
  <si>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</si>
  <si>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Plumbing Second Fix</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</si>
  <si>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</si>
  <si>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</si>
  <si>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</si>
  <si>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</si>
  <si>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</si>
  <si>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</si>
  <si>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</si>
  <si>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</si>
  <si>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</si>
  <si>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</si>
  <si>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</si>
  <si>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</si>
  <si>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</si>
  <si>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</si>
  <si>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</si>
  <si>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</si>
  <si>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</si>
  <si>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</si>
  <si>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</si>
  <si>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</si>
  <si>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</si>
  <si>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Hardware/Fittings</t>
  </si>
  <si>
    <t>Joinery/Doors</t>
  </si>
  <si>
    <t>Decorating</t>
  </si>
  <si>
    <t>Flooring</t>
  </si>
  <si>
    <t>Other</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</si>
  <si>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</si>
  <si>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</si>
  <si>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</si>
  <si>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</si>
  <si>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</si>
  <si>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</si>
  <si>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</si>
  <si>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</si>
  <si>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</si>
  <si>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</si>
  <si>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</si>
  <si>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</si>
  <si>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</si>
  <si>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</si>
  <si>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</si>
  <si>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</si>
  <si>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</si>
  <si>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</si>
  <si>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</si>
  <si>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</si>
  <si>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</si>
  <si>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</si>
  <si>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</si>
  <si>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</si>
  <si>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</si>
  <si>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</si>
  <si>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</si>
  <si>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</si>
  <si>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</si>
  <si>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</si>
  <si>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</si>
  <si>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</si>
  <si>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</si>
  <si>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</si>
  <si>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</si>
  <si>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</si>
  <si>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</si>
  <si>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</si>
  <si>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</si>
  <si>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</si>
  <si>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</si>
  <si>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</si>
  <si>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</si>
  <si>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</si>
  <si>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</si>
  <si>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</si>
  <si>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</si>
  <si>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</si>
  <si>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</si>
  <si>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</si>
  <si>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</si>
  <si>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</si>
  <si>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</si>
  <si>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</si>
  <si>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</si>
  <si>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</si>
  <si>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</si>
  <si>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</si>
  <si>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</si>
  <si>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</si>
  <si>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</si>
  <si>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</si>
  <si>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</si>
  <si>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</si>
  <si>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</si>
  <si>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</si>
  <si>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</si>
  <si>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</si>
  <si>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</si>
  <si>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</si>
  <si>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</si>
  <si>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</si>
  <si>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</si>
  <si>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</si>
  <si>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</si>
  <si>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</si>
  <si>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</si>
  <si>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</si>
  <si>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</si>
  <si>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</si>
  <si>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</si>
  <si>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</si>
  <si>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</si>
  <si>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</si>
  <si>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</si>
  <si>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</si>
  <si>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</si>
  <si>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</si>
  <si>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</si>
  <si>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</si>
  <si>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</si>
  <si>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</si>
  <si>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</si>
  <si>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</si>
  <si>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</si>
  <si>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</si>
  <si>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</si>
  <si>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</si>
  <si>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</si>
  <si>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</si>
  <si>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</si>
  <si>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</si>
  <si>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</si>
  <si>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</si>
  <si>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</si>
  <si>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</si>
  <si>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</si>
  <si>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</si>
  <si>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</si>
  <si>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</si>
  <si>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</si>
  <si>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</si>
  <si>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</si>
  <si>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</si>
  <si>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</si>
  <si>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</si>
  <si>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</si>
  <si>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</si>
  <si>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</si>
  <si>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</si>
  <si>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</si>
  <si>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</si>
  <si>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</si>
  <si>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</si>
  <si>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</si>
  <si>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</si>
  <si>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</si>
  <si>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</si>
  <si>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</si>
  <si>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</si>
  <si>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</si>
  <si>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</si>
  <si>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</si>
  <si>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</si>
  <si>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</si>
  <si>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</si>
  <si>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</si>
  <si>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</si>
  <si>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</si>
  <si>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</si>
  <si>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</si>
  <si>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</si>
  <si>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</si>
  <si>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</si>
  <si>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</si>
  <si>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</si>
  <si>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</si>
  <si>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</si>
  <si>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</si>
  <si>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</si>
  <si>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</si>
  <si>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</si>
  <si>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</si>
  <si>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</si>
  <si>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</si>
  <si>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</si>
  <si>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</si>
  <si>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</si>
  <si>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</si>
  <si>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</si>
  <si>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</si>
  <si>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Check loop wires insatlled and acceptable</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</si>
  <si>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</si>
  <si>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</si>
  <si>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</si>
  <si>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</si>
  <si>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</si>
  <si>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</si>
  <si>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</si>
  <si>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</si>
  <si>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 xml:space="preserve">All cover plates in place &amp; fitted correctly and striaght </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</si>
  <si>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</si>
  <si>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</si>
  <si>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</si>
  <si>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</si>
  <si>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</si>
  <si>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</si>
  <si>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Membrane color and thickness confirmed correct</t>
  </si>
  <si>
    <t>Removed from FC - S - Roofing iin order to be it’s own checklist</t>
  </si>
  <si>
    <t>Fixings - Consider Jamb/Hinges/Door Packer, all installed &amp; secure (Size &amp; type)</t>
  </si>
  <si>
    <t>Included Door packer so the same checklist can be used for siding doors</t>
  </si>
  <si>
    <t>Door leaf to jamb gaps parallel &amp; correct (Consider paint thickness(s))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</si>
  <si>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</si>
  <si>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</si>
  <si>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</si>
  <si>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</si>
  <si>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</si>
  <si>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</si>
  <si>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</si>
  <si>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</si>
  <si>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Area clean and accessable</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</si>
  <si>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</si>
  <si>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</si>
  <si>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</si>
  <si>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</si>
  <si>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</si>
  <si>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</si>
  <si>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Backfill completed and commpacted as per specifications</t>
  </si>
  <si>
    <t>Waterproofing is vital to backfilling. Necessary check</t>
  </si>
  <si>
    <t>Removed LBP Memorandum check. Encompassed by check below</t>
  </si>
  <si>
    <t>Added bracketed point. Specifies all documents to be included</t>
  </si>
  <si>
    <t>Michael Ajero</t>
  </si>
  <si>
    <t>FC - S - STO Plastering</t>
  </si>
  <si>
    <t>FC - S - STO Poly Plaster</t>
  </si>
  <si>
    <t xml:space="preserve">Name change - to include Sto Poren and Sto Poly. </t>
  </si>
  <si>
    <t>Sikadur 31 number of units and last 6 digits of batch number</t>
  </si>
  <si>
    <t>F - S - Fire Joint Sealant</t>
  </si>
  <si>
    <t>F - S - Sealant</t>
  </si>
  <si>
    <t>Method of substrate preparation (e.g. grinding, abrading, drying etc</t>
  </si>
  <si>
    <t>Morgan Steel</t>
  </si>
  <si>
    <t>New Checkpoint Added</t>
  </si>
  <si>
    <t>Installed in corrct level, plumb, correct pitch and braced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</si>
  <si>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</si>
  <si>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</si>
  <si>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</si>
  <si>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</si>
  <si>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</si>
  <si>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</si>
  <si>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</si>
  <si>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</si>
  <si>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</si>
  <si>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</si>
  <si>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</si>
  <si>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</si>
  <si>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</si>
  <si>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</si>
  <si>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</si>
  <si>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</si>
  <si>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</si>
  <si>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</si>
  <si>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</si>
  <si>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</si>
  <si>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</si>
  <si>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</si>
  <si>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</si>
  <si>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</si>
  <si>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</si>
  <si>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</si>
  <si>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</si>
  <si>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</si>
  <si>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</si>
  <si>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</si>
  <si>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</si>
  <si>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</si>
  <si>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</si>
  <si>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</si>
  <si>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</si>
  <si>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</si>
  <si>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</si>
  <si>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</si>
  <si>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</si>
  <si>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</si>
  <si>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</si>
  <si>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</si>
  <si>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</si>
  <si>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</si>
  <si>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Area cleared for propping to be </t>
  </si>
  <si>
    <t>Foreman Sign off to receive Rib Installation inspection results.  Pass this checkpoint after sending the email.</t>
  </si>
  <si>
    <t>Foreman Sign off to receive Infill Panel Installation inspection results.  Pass this checkpoint after sending the email.</t>
  </si>
  <si>
    <t>Raise Remedial if failed</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</si>
  <si>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</si>
  <si>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</si>
  <si>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</si>
  <si>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</si>
  <si>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</si>
  <si>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</si>
  <si>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</si>
  <si>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</si>
  <si>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</si>
  <si>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</si>
  <si>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</si>
  <si>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</si>
  <si>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</si>
  <si>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</si>
  <si>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</si>
  <si>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</si>
  <si>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</si>
  <si>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</si>
  <si>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</si>
  <si>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</si>
  <si>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</si>
  <si>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</si>
  <si>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</si>
  <si>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</si>
  <si>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</si>
  <si>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</si>
  <si>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</si>
  <si>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</si>
  <si>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</si>
  <si>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</si>
  <si>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</si>
  <si>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</si>
  <si>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</si>
  <si>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</si>
  <si>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</si>
  <si>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</si>
  <si>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</si>
  <si>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</si>
  <si>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</si>
  <si>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</si>
  <si>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</si>
  <si>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</si>
  <si>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</si>
  <si>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</si>
  <si>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</si>
  <si>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</si>
  <si>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</si>
  <si>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</si>
  <si>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</si>
  <si>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</si>
  <si>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</si>
  <si>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</si>
  <si>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</si>
  <si>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</si>
  <si>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</si>
  <si>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</si>
  <si>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</si>
  <si>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</si>
  <si>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</si>
  <si>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</si>
  <si>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</si>
  <si>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</si>
  <si>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</si>
  <si>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</si>
  <si>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</si>
  <si>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</si>
  <si>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</si>
  <si>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</si>
  <si>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</si>
  <si>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</si>
  <si>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</si>
  <si>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</si>
  <si>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</si>
  <si>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</si>
  <si>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</si>
  <si>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</si>
  <si>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</si>
  <si>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</si>
  <si>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</si>
  <si>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</si>
  <si>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</si>
  <si>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</si>
  <si>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</si>
  <si>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</si>
  <si>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</si>
  <si>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</si>
  <si>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</si>
  <si>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</si>
  <si>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</si>
  <si>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</si>
  <si>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</si>
  <si>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</si>
  <si>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</si>
  <si>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On Grade Slab Pre-Pour (per townhouse block)</t>
  </si>
  <si>
    <t>Underground services installation completed</t>
  </si>
  <si>
    <t>ITP - R - Concrete - Planning and Pour (per townhouse block)</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</si>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</sst>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16">
    <font>
      <sz val="11"/>
      <color theme="1"/>
      <name val="Arial"/>
      <family val="2"/>
    </font>
    <font>
      <b/>
      <sz val="11"/>
      <color theme="0"/>
      <name val="Arial"/>
      <family val="2"/>
    </font>
    <font>
      <sz val="8"/>
      <name val="Arial"/>
      <family val="2"/>
    </font>
    <font>
      <sz val="11"/>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sz val="11"/>
      <color theme="1"/>
      <name val="Calibri"/>
      <family val="2"/>
      <scheme val="minor"/>
    </font>
    <font>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
      <sz val="11"/>
      <color rgb="FF000000"/>
      <name val="Arial"/>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0">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style="thin">
        <color rgb="FF00AA94"/>
      </right>
      <top style="thin">
        <color rgb="FF00AA94"/>
      </top>
      <bottom style="thin">
        <color rgb="FF00AA94"/>
      </bottom>
      <diagonal/>
    </border>
  </borders>
  <cellStyleXfs count="4">
    <xf numFmtId="0" fontId="0" fillId="0" borderId="0"/>
    <xf numFmtId="0" fontId="8" fillId="0" borderId="0"/>
    <xf numFmtId="0" fontId="9" fillId="0" borderId="0"/>
    <xf numFmtId="0" fontId="12" fillId="0" borderId="0"/>
  </cellStyleXfs>
  <cellXfs count="73">
    <xf numFmtId="0" fontId="0" fillId="0" borderId="0" xfId="0"/>
    <xf numFmtId="49" fontId="0" fillId="0" borderId="0" xfId="0" applyNumberFormat="1"/>
    <xf numFmtId="49" fontId="3" fillId="0" borderId="0" xfId="0" applyNumberFormat="1" applyFont="1"/>
    <xf numFmtId="0" fontId="0" fillId="0" borderId="1" xfId="0" applyBorder="1"/>
    <xf numFmtId="0" fontId="1" fillId="2" borderId="2" xfId="0" applyFont="1" applyFill="1" applyBorder="1"/>
    <xf numFmtId="0" fontId="1" fillId="0" borderId="0" xfId="0" applyFont="1"/>
    <xf numFmtId="0" fontId="7" fillId="0" borderId="4" xfId="0" applyFont="1" applyBorder="1" applyAlignment="1">
      <alignment vertical="center" wrapText="1"/>
    </xf>
    <xf numFmtId="0" fontId="7" fillId="0" borderId="5" xfId="0" applyFont="1" applyBorder="1" applyAlignment="1">
      <alignment vertical="center" wrapText="1"/>
    </xf>
    <xf numFmtId="0" fontId="7" fillId="0" borderId="0" xfId="0" applyFont="1" applyAlignment="1">
      <alignment vertical="center"/>
    </xf>
    <xf numFmtId="14" fontId="0" fillId="0" borderId="0" xfId="0" applyNumberFormat="1"/>
    <xf numFmtId="1" fontId="0" fillId="0" borderId="0" xfId="0" applyNumberFormat="1"/>
    <xf numFmtId="0" fontId="6" fillId="0" borderId="0" xfId="0" applyFont="1"/>
    <xf numFmtId="0" fontId="0" fillId="3" borderId="1" xfId="0" applyFill="1" applyBorder="1"/>
    <xf numFmtId="0" fontId="7" fillId="3" borderId="4" xfId="0" applyFont="1" applyFill="1" applyBorder="1" applyAlignment="1">
      <alignment vertical="center" wrapText="1"/>
    </xf>
    <xf numFmtId="0" fontId="7" fillId="3" borderId="7" xfId="0" applyFont="1" applyFill="1" applyBorder="1" applyAlignment="1">
      <alignment vertical="center" wrapText="1"/>
    </xf>
    <xf numFmtId="0" fontId="7" fillId="0" borderId="1" xfId="0" applyFont="1" applyBorder="1" applyAlignment="1">
      <alignment vertical="center"/>
    </xf>
    <xf numFmtId="164" fontId="0" fillId="0" borderId="0" xfId="0" applyNumberFormat="1"/>
    <xf numFmtId="0" fontId="3" fillId="0" borderId="0" xfId="0" applyFont="1"/>
    <xf numFmtId="49" fontId="5" fillId="0" borderId="0" xfId="0" applyNumberFormat="1" applyFont="1"/>
    <xf numFmtId="49" fontId="3" fillId="0" borderId="8" xfId="0" applyNumberFormat="1" applyFont="1" applyBorder="1"/>
    <xf numFmtId="0" fontId="0" fillId="0" borderId="8" xfId="0" applyBorder="1"/>
    <xf numFmtId="49" fontId="5" fillId="0" borderId="8" xfId="0" applyNumberFormat="1" applyFont="1" applyBorder="1"/>
    <xf numFmtId="49" fontId="3" fillId="0" borderId="9" xfId="0" applyNumberFormat="1" applyFont="1" applyBorder="1"/>
    <xf numFmtId="49" fontId="3" fillId="0" borderId="10" xfId="0" applyNumberFormat="1" applyFont="1" applyBorder="1"/>
    <xf numFmtId="0" fontId="0" fillId="0" borderId="6" xfId="0" applyBorder="1"/>
    <xf numFmtId="0" fontId="5" fillId="0" borderId="0" xfId="0" applyFont="1"/>
    <xf numFmtId="49" fontId="10" fillId="0" borderId="0" xfId="0" applyNumberFormat="1" applyFont="1"/>
    <xf numFmtId="0" fontId="10" fillId="0" borderId="0" xfId="0" applyFont="1"/>
    <xf numFmtId="0" fontId="4" fillId="0" borderId="0" xfId="0" applyFont="1"/>
    <xf numFmtId="0" fontId="0" fillId="0" borderId="11" xfId="0" applyBorder="1"/>
    <xf numFmtId="0" fontId="11" fillId="0" borderId="0" xfId="0" applyFont="1"/>
    <xf numFmtId="0" fontId="0" fillId="0" borderId="3" xfId="0" applyBorder="1"/>
    <xf numFmtId="0" fontId="11" fillId="0" borderId="0" xfId="0" applyFont="1" applyAlignment="1">
      <alignment vertical="center"/>
    </xf>
    <xf numFmtId="0" fontId="11" fillId="4" borderId="0" xfId="0" applyFont="1" applyFill="1"/>
    <xf numFmtId="0" fontId="11" fillId="0" borderId="0" xfId="0" applyFont="1" applyAlignment="1">
      <alignment vertical="center" wrapText="1"/>
    </xf>
    <xf numFmtId="0" fontId="11" fillId="0" borderId="8" xfId="0" applyFont="1" applyBorder="1"/>
    <xf numFmtId="0" fontId="9" fillId="0" borderId="0" xfId="0" applyFont="1"/>
    <xf numFmtId="0" fontId="9" fillId="0" borderId="0" xfId="0" applyFont="1" applyAlignment="1">
      <alignment vertical="center"/>
    </xf>
    <xf numFmtId="0" fontId="0" fillId="0" borderId="0" xfId="0" applyAlignment="1">
      <alignment vertical="center"/>
    </xf>
    <xf numFmtId="49" fontId="3" fillId="0" borderId="12" xfId="0" applyNumberFormat="1" applyFont="1" applyBorder="1"/>
    <xf numFmtId="0" fontId="0" fillId="0" borderId="0" xfId="2" applyFont="1"/>
    <xf numFmtId="0" fontId="7" fillId="0" borderId="0" xfId="0" applyFont="1"/>
    <xf numFmtId="49" fontId="3" fillId="5" borderId="0" xfId="0" applyNumberFormat="1" applyFont="1" applyFill="1"/>
    <xf numFmtId="49" fontId="3" fillId="5" borderId="0" xfId="0" quotePrefix="1" applyNumberFormat="1" applyFont="1" applyFill="1"/>
    <xf numFmtId="49" fontId="13" fillId="0" borderId="13" xfId="3" applyNumberFormat="1" applyFont="1" applyBorder="1"/>
    <xf numFmtId="49" fontId="13" fillId="0" borderId="0" xfId="3" applyNumberFormat="1" applyFont="1"/>
    <xf numFmtId="49" fontId="5" fillId="0" borderId="8" xfId="3" applyNumberFormat="1" applyFont="1" applyBorder="1"/>
    <xf numFmtId="49" fontId="5" fillId="0" borderId="0" xfId="3" applyNumberFormat="1" applyFont="1"/>
    <xf numFmtId="49" fontId="5" fillId="0" borderId="13" xfId="3" applyNumberFormat="1" applyFont="1" applyBorder="1"/>
    <xf numFmtId="49" fontId="5" fillId="0" borderId="14" xfId="3" applyNumberFormat="1" applyFont="1" applyBorder="1"/>
    <xf numFmtId="49" fontId="5" fillId="0" borderId="15" xfId="3" applyNumberFormat="1" applyFont="1" applyBorder="1"/>
    <xf numFmtId="49" fontId="3" fillId="0" borderId="8" xfId="3" applyNumberFormat="1" applyFont="1" applyBorder="1"/>
    <xf numFmtId="49" fontId="3" fillId="0" borderId="0" xfId="3" applyNumberFormat="1" applyFont="1"/>
    <xf numFmtId="49" fontId="3" fillId="0" borderId="14" xfId="3" applyNumberFormat="1" applyFont="1" applyBorder="1"/>
    <xf numFmtId="49" fontId="3" fillId="0" borderId="13" xfId="3" applyNumberFormat="1" applyFont="1" applyBorder="1"/>
    <xf numFmtId="49" fontId="3" fillId="0" borderId="15" xfId="3" applyNumberFormat="1" applyFont="1" applyBorder="1"/>
    <xf numFmtId="1" fontId="5" fillId="0" borderId="8" xfId="0" applyNumberFormat="1" applyFont="1" applyBorder="1"/>
    <xf numFmtId="49" fontId="5" fillId="0" borderId="16" xfId="0" applyNumberFormat="1" applyFont="1" applyBorder="1"/>
    <xf numFmtId="49" fontId="3" fillId="0" borderId="8" xfId="0" applyNumberFormat="1" applyFont="1" applyBorder="1" applyAlignment="1">
      <alignment vertical="center"/>
    </xf>
    <xf numFmtId="49" fontId="3" fillId="0" borderId="12" xfId="0" applyNumberFormat="1" applyFont="1" applyBorder="1" applyAlignment="1">
      <alignment vertical="center"/>
    </xf>
    <xf numFmtId="49" fontId="14" fillId="0" borderId="0" xfId="0" applyNumberFormat="1" applyFont="1"/>
    <xf numFmtId="49" fontId="14" fillId="0" borderId="10" xfId="0" applyNumberFormat="1" applyFont="1" applyBorder="1"/>
    <xf numFmtId="1" fontId="0" fillId="0" borderId="8" xfId="0" applyNumberFormat="1" applyBorder="1"/>
    <xf numFmtId="49" fontId="3" fillId="0" borderId="0" xfId="0" applyNumberFormat="1" applyFont="1" applyAlignment="1">
      <alignment vertical="center"/>
    </xf>
    <xf numFmtId="49" fontId="14" fillId="0" borderId="12" xfId="0" applyNumberFormat="1" applyFont="1" applyBorder="1"/>
    <xf numFmtId="1" fontId="0" fillId="0" borderId="10" xfId="0" applyNumberFormat="1" applyBorder="1"/>
    <xf numFmtId="49" fontId="0" fillId="0" borderId="10" xfId="0" applyNumberFormat="1" applyBorder="1"/>
    <xf numFmtId="49" fontId="5" fillId="0" borderId="17" xfId="0" applyNumberFormat="1" applyFont="1" applyBorder="1"/>
    <xf numFmtId="49" fontId="5" fillId="0" borderId="18" xfId="0" applyNumberFormat="1" applyFont="1" applyBorder="1"/>
    <xf numFmtId="0" fontId="0" fillId="0" borderId="19" xfId="0" applyBorder="1"/>
    <xf numFmtId="0" fontId="0" fillId="0" borderId="0" xfId="0" applyAlignment="1">
      <alignment wrapText="1"/>
    </xf>
    <xf numFmtId="0" fontId="0" fillId="0" borderId="0" xfId="0" applyAlignment="1">
      <alignment horizontal="left"/>
    </xf>
    <xf numFmtId="0" fontId="15" fillId="0" borderId="0" xfId="0" applyFont="1"/>
  </cellXfs>
  <cellStyles count="4">
    <cellStyle name="Normal" xfId="0" builtinId="0"/>
    <cellStyle name="Normal 2" xfId="1" xr:uid="{DADE988C-899F-4807-8E9F-5EC341BECFED}"/>
    <cellStyle name="Normal 2 2" xfId="2" xr:uid="{BF833CDB-6FEB-4C47-B6B5-A86A092A61ED}"/>
    <cellStyle name="Normal 3" xfId="3" xr:uid="{E38571DF-2F7F-42C8-8204-6F0D1167A853}"/>
  </cellStyles>
  <dxfs count="147">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fill>
        <patternFill>
          <bgColor theme="8"/>
        </patternFill>
      </fill>
    </dxf>
    <dxf>
      <fill>
        <patternFill>
          <bgColor theme="8"/>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146"/>
      <tableStyleElement type="headerRow" dxfId="145"/>
    </tableStyle>
    <tableStyle name="QualitySlicerTurq" pivot="0" table="0" count="10" xr9:uid="{57FC38C6-3BB5-44C9-93F4-094D247EE423}">
      <tableStyleElement type="wholeTable" dxfId="144"/>
      <tableStyleElement type="headerRow" dxfId="143"/>
    </tableStyle>
    <tableStyle name="QualitySlicerTurq 2" pivot="0" table="0" count="10" xr9:uid="{894AAD70-2734-4F45-94C9-37047C367A18}">
      <tableStyleElement type="wholeTable" dxfId="142"/>
      <tableStyleElement type="headerRow" dxfId="141"/>
    </tableStyle>
    <tableStyle name="TableQuality" pivot="0" count="9" xr9:uid="{E2195B2B-662B-453B-8CD6-FC8D7E271509}">
      <tableStyleElement type="wholeTable" dxfId="140"/>
      <tableStyleElement type="headerRow" dxfId="139"/>
      <tableStyleElement type="totalRow" dxfId="138"/>
      <tableStyleElement type="firstColumn" dxfId="137"/>
      <tableStyleElement type="lastColumn" dxfId="136"/>
      <tableStyleElement type="firstRowStripe" dxfId="135"/>
      <tableStyleElement type="secondRowStripe" dxfId="134"/>
      <tableStyleElement type="firstColumnStripe" dxfId="133"/>
      <tableStyleElement type="secondColumnStripe" dxfId="132"/>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4.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microsoft.com/office/2007/relationships/slicerCache" Target="slicerCaches/slicerCache1.xml"/><Relationship Id="rId9" Type="http://schemas.openxmlformats.org/officeDocument/2006/relationships/connections" Target="connections.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3961280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42414</xdr:row>
      <xdr:rowOff>9547</xdr:rowOff>
    </xdr:from>
    <xdr:to>
      <xdr:col>0</xdr:col>
      <xdr:colOff>3961280</xdr:colOff>
      <xdr:row>42630</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1221442</xdr:rowOff>
    </xdr:from>
    <xdr:to>
      <xdr:col>0</xdr:col>
      <xdr:colOff>3961280</xdr:colOff>
      <xdr:row>1143</xdr:row>
      <xdr:rowOff>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37801</xdr:row>
      <xdr:rowOff>77225</xdr:rowOff>
    </xdr:from>
    <xdr:to>
      <xdr:col>0</xdr:col>
      <xdr:colOff>3961280</xdr:colOff>
      <xdr:row>37882</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7732</xdr:row>
      <xdr:rowOff>102557</xdr:rowOff>
    </xdr:from>
    <xdr:to>
      <xdr:col>0</xdr:col>
      <xdr:colOff>3961280</xdr:colOff>
      <xdr:row>7781</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1143</xdr:row>
      <xdr:rowOff>0</xdr:rowOff>
    </xdr:from>
    <xdr:to>
      <xdr:col>0</xdr:col>
      <xdr:colOff>3961280</xdr:colOff>
      <xdr:row>3908</xdr:row>
      <xdr:rowOff>75077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3249706"/>
              <a:ext cx="3966882" cy="49496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883" tableId="8">
      <columnFilter colId="5" id="{3B36343B-F55C-415F-9A4A-3A9B89988ACC}">
        <filter colId="5">
          <x:filters>
            <x:filter val="Façade"/>
          </x:filters>
        </filter>
      </columnFilter>
      <columnFilter colId="6" id="{F1D86EFB-5862-4DB0-9DA0-5AFBE3CBACE6}">
        <filter colId="6">
          <x:filters>
            <x:filter val="Subcontractor"/>
          </x:filters>
        </filter>
      </columnFilter>
      <sortRules>
        <sortRule colId="0" id="{046C59FE-9EBA-4FEA-B087-BC470D8BA0D4}">
          <sortCondition ref="B2:B3883"/>
        </sortRule>
      </sortRules>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artItem="13" style="QualitySlicerTurq 2"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883" tableType="queryTable" totalsRowShown="0">
  <autoFilter ref="B2:M3883" xr:uid="{A9466BAB-6DFC-44DD-B47E-995263BB7360}">
    <filterColumn colId="5">
      <filters>
        <filter val="Façade"/>
      </filters>
    </filterColumn>
    <filterColumn colId="6">
      <filters>
        <filter val="Subcontractor"/>
      </filters>
    </filterColumn>
    <filterColumn colId="7">
      <filters>
        <filter val="FC - S - STO Poly Products"/>
      </filters>
    </filterColumn>
    <filterColumn colId="11">
      <filters>
        <filter val="All"/>
      </filters>
    </filterColumn>
  </autoFilter>
  <sortState xmlns:xlrd2="http://schemas.microsoft.com/office/spreadsheetml/2017/richdata2" ref="B2287:M2338">
    <sortCondition ref="B2:B3883"/>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127"/>
    <tableColumn id="19" xr3:uid="{F1D86EFB-5862-4DB0-9DA0-5AFBE3CBACE6}" uniqueName="19" name="User" queryTableFieldId="19" dataDxfId="126"/>
    <tableColumn id="20" xr3:uid="{5B1FEAD7-99B9-4074-8645-16E362AA0816}" uniqueName="20" name="Checklist" queryTableFieldId="20" dataDxfId="125"/>
    <tableColumn id="21" xr3:uid="{D3536977-DF20-48C9-A300-5CF7551A4DF2}" uniqueName="21" name="Type" queryTableFieldId="21" dataDxfId="124"/>
    <tableColumn id="22" xr3:uid="{E598DE7D-6994-45FE-B839-B06C7BD8D137}" uniqueName="22" name="Name" queryTableFieldId="22" dataDxfId="123"/>
    <tableColumn id="23" xr3:uid="{5341F0C7-3084-4EDB-BE3E-B89C3ED6123C}" uniqueName="23" name="Value" queryTableFieldId="23"/>
    <tableColumn id="24" xr3:uid="{6518A8EA-BDF5-49BC-82FB-EC963F3830E5}" uniqueName="24" name="Site" queryTableFieldId="24" dataDxfId="122"/>
  </tableColumns>
  <tableStyleInfo name="TableQualit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2.xml><?xml version="1.0" encoding="utf-8"?>
<ThreadedComments xmlns="http://schemas.microsoft.com/office/spreadsheetml/2018/threadedcomments" xmlns:x="http://schemas.openxmlformats.org/spreadsheetml/2006/main">
  <threadedComment ref="K2136" dT="2023-03-15T22:32:40.90" personId="{702CD7D8-F504-4DFF-9724-3C90DB4B3C54}" id="{B1B6FA7C-4BE8-4EFD-AC52-9E6726D590B2}">
    <text>Not on  ConQA</text>
  </threadedComment>
</ThreadedComments>
</file>

<file path=xl/threadedComments/threadedComment3.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xml"/><Relationship Id="rId7"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microsoft.com/office/2007/relationships/slicer" Target="../slicers/slicer1.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6" Type="http://schemas.microsoft.com/office/2019/04/relationships/namedSheetView" Target="../namedSheetViews/namedSheetView2.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4" t="s">
        <v>0</v>
      </c>
      <c r="B1" s="4">
        <v>0</v>
      </c>
      <c r="C1" s="5"/>
      <c r="D1" t="s">
        <v>1</v>
      </c>
      <c r="F1" t="s">
        <v>2</v>
      </c>
      <c r="H1" t="s">
        <v>3</v>
      </c>
      <c r="J1" t="s">
        <v>4</v>
      </c>
      <c r="L1" t="s">
        <v>5</v>
      </c>
      <c r="P1" t="s">
        <v>6</v>
      </c>
    </row>
    <row r="2" spans="1:16">
      <c r="A2" s="3" t="e" cm="1">
        <f t="array" ref="A2">_xlfn.UNIQUE(#REF!)</f>
        <v>#REF!</v>
      </c>
      <c r="B2">
        <f>IF(NOT(ISBLANK(A2)), B1+1,)</f>
        <v>1</v>
      </c>
      <c r="D2" t="s">
        <v>7</v>
      </c>
      <c r="F2" t="s">
        <v>8</v>
      </c>
      <c r="H2" t="s">
        <v>9</v>
      </c>
      <c r="J2" t="s">
        <v>10</v>
      </c>
      <c r="L2" t="s">
        <v>11</v>
      </c>
      <c r="P2" s="12" t="s">
        <v>7</v>
      </c>
    </row>
    <row r="3" spans="1:16" ht="13.9" thickBot="1">
      <c r="B3">
        <f t="shared" ref="B3:B66" si="0">IF(NOT(ISBLANK(A3)), B2+1,)</f>
        <v>0</v>
      </c>
      <c r="D3" t="s">
        <v>12</v>
      </c>
      <c r="F3" t="s">
        <v>13</v>
      </c>
      <c r="H3" t="s">
        <v>14</v>
      </c>
      <c r="J3" t="s">
        <v>15</v>
      </c>
      <c r="L3" t="s">
        <v>16</v>
      </c>
      <c r="P3" s="3" t="s">
        <v>12</v>
      </c>
    </row>
    <row r="4" spans="1:16" ht="14.65" thickBot="1">
      <c r="B4">
        <f t="shared" si="0"/>
        <v>0</v>
      </c>
      <c r="D4" s="6" t="s">
        <v>17</v>
      </c>
      <c r="F4" t="s">
        <v>18</v>
      </c>
      <c r="J4" t="s">
        <v>19</v>
      </c>
      <c r="L4" t="s">
        <v>20</v>
      </c>
      <c r="P4" s="13" t="s">
        <v>17</v>
      </c>
    </row>
    <row r="5" spans="1:16" ht="14.65" thickBot="1">
      <c r="B5">
        <f t="shared" si="0"/>
        <v>0</v>
      </c>
      <c r="D5" s="6" t="s">
        <v>21</v>
      </c>
      <c r="F5" t="s">
        <v>22</v>
      </c>
      <c r="J5" t="s">
        <v>23</v>
      </c>
      <c r="L5" t="s">
        <v>24</v>
      </c>
      <c r="P5" s="6" t="s">
        <v>21</v>
      </c>
    </row>
    <row r="6" spans="1:16" ht="14.65" thickBot="1">
      <c r="B6">
        <f t="shared" si="0"/>
        <v>0</v>
      </c>
      <c r="D6" s="6" t="s">
        <v>25</v>
      </c>
      <c r="F6" t="s">
        <v>26</v>
      </c>
      <c r="J6" t="s">
        <v>27</v>
      </c>
      <c r="L6" s="3" t="s">
        <v>28</v>
      </c>
      <c r="P6" s="13" t="s">
        <v>25</v>
      </c>
    </row>
    <row r="7" spans="1:16" ht="14.65" thickBot="1">
      <c r="B7">
        <f t="shared" si="0"/>
        <v>0</v>
      </c>
      <c r="D7" s="6" t="s">
        <v>29</v>
      </c>
      <c r="F7" t="s">
        <v>30</v>
      </c>
      <c r="P7" s="6" t="s">
        <v>29</v>
      </c>
    </row>
    <row r="8" spans="1:16" ht="14.65" thickBot="1">
      <c r="B8">
        <f t="shared" si="0"/>
        <v>0</v>
      </c>
      <c r="D8" s="7" t="s">
        <v>31</v>
      </c>
      <c r="F8" t="s">
        <v>32</v>
      </c>
      <c r="P8" s="14" t="s">
        <v>31</v>
      </c>
    </row>
    <row r="9" spans="1:16" ht="14.65" thickBot="1">
      <c r="B9">
        <f t="shared" si="0"/>
        <v>0</v>
      </c>
      <c r="D9" s="6" t="s">
        <v>33</v>
      </c>
      <c r="F9" t="s">
        <v>34</v>
      </c>
      <c r="P9" s="6" t="s">
        <v>33</v>
      </c>
    </row>
    <row r="10" spans="1:16" ht="14.65" thickBot="1">
      <c r="B10">
        <f t="shared" si="0"/>
        <v>0</v>
      </c>
      <c r="D10" s="6" t="s">
        <v>35</v>
      </c>
      <c r="F10" t="s">
        <v>36</v>
      </c>
      <c r="P10" s="13" t="s">
        <v>35</v>
      </c>
    </row>
    <row r="11" spans="1:16" ht="14.65" thickBot="1">
      <c r="B11">
        <f t="shared" si="0"/>
        <v>0</v>
      </c>
      <c r="D11" s="8" t="s">
        <v>37</v>
      </c>
      <c r="P11" s="15" t="s">
        <v>37</v>
      </c>
    </row>
    <row r="12" spans="1:16" ht="14.65" thickBot="1">
      <c r="B12">
        <f t="shared" si="0"/>
        <v>0</v>
      </c>
      <c r="D12" s="6" t="s">
        <v>38</v>
      </c>
      <c r="P12" s="13" t="s">
        <v>38</v>
      </c>
    </row>
    <row r="13" spans="1:16" ht="14.65" thickBot="1">
      <c r="B13">
        <f t="shared" si="0"/>
        <v>0</v>
      </c>
      <c r="D13" s="6" t="s">
        <v>39</v>
      </c>
      <c r="P13" s="6" t="s">
        <v>39</v>
      </c>
    </row>
    <row r="14" spans="1:16" ht="14.65" thickBot="1">
      <c r="B14">
        <f t="shared" si="0"/>
        <v>0</v>
      </c>
      <c r="D14" s="6" t="s">
        <v>40</v>
      </c>
      <c r="L14" s="3"/>
      <c r="P14" s="13" t="s">
        <v>40</v>
      </c>
    </row>
    <row r="15" spans="1:16" ht="14.65" thickBot="1">
      <c r="B15">
        <f t="shared" si="0"/>
        <v>0</v>
      </c>
      <c r="D15" s="6" t="s">
        <v>41</v>
      </c>
      <c r="P15" s="6" t="s">
        <v>41</v>
      </c>
    </row>
    <row r="16" spans="1:16">
      <c r="B16">
        <f t="shared" si="0"/>
        <v>0</v>
      </c>
      <c r="D16" t="s">
        <v>6</v>
      </c>
    </row>
    <row r="17" spans="2:2">
      <c r="B17">
        <f t="shared" si="0"/>
        <v>0</v>
      </c>
    </row>
    <row r="18" spans="2:2">
      <c r="B18">
        <f t="shared" si="0"/>
        <v>0</v>
      </c>
    </row>
    <row r="19" spans="2:2">
      <c r="B19">
        <f t="shared" si="0"/>
        <v>0</v>
      </c>
    </row>
    <row r="20" spans="2:2">
      <c r="B20">
        <f t="shared" si="0"/>
        <v>0</v>
      </c>
    </row>
    <row r="21" spans="2:2">
      <c r="B21">
        <f t="shared" si="0"/>
        <v>0</v>
      </c>
    </row>
    <row r="22" spans="2:2">
      <c r="B22">
        <f t="shared" si="0"/>
        <v>0</v>
      </c>
    </row>
    <row r="23" spans="2:2">
      <c r="B23">
        <f t="shared" si="0"/>
        <v>0</v>
      </c>
    </row>
    <row r="24" spans="2:2">
      <c r="B24">
        <f t="shared" si="0"/>
        <v>0</v>
      </c>
    </row>
    <row r="25" spans="2:2">
      <c r="B25">
        <f t="shared" si="0"/>
        <v>0</v>
      </c>
    </row>
    <row r="26" spans="2:2">
      <c r="B26">
        <f t="shared" si="0"/>
        <v>0</v>
      </c>
    </row>
    <row r="27" spans="2:2">
      <c r="B27">
        <f t="shared" si="0"/>
        <v>0</v>
      </c>
    </row>
    <row r="28" spans="2:2">
      <c r="B28">
        <f t="shared" si="0"/>
        <v>0</v>
      </c>
    </row>
    <row r="29" spans="2:2">
      <c r="B29">
        <f t="shared" si="0"/>
        <v>0</v>
      </c>
    </row>
    <row r="30" spans="2:2">
      <c r="B30">
        <f t="shared" si="0"/>
        <v>0</v>
      </c>
    </row>
    <row r="31" spans="2:2">
      <c r="B31">
        <f t="shared" si="0"/>
        <v>0</v>
      </c>
    </row>
    <row r="32" spans="2:2">
      <c r="B32">
        <f t="shared" si="0"/>
        <v>0</v>
      </c>
    </row>
    <row r="33" spans="2:2">
      <c r="B33">
        <f t="shared" si="0"/>
        <v>0</v>
      </c>
    </row>
    <row r="34" spans="2:2">
      <c r="B34">
        <f t="shared" si="0"/>
        <v>0</v>
      </c>
    </row>
    <row r="35" spans="2:2">
      <c r="B35">
        <f t="shared" si="0"/>
        <v>0</v>
      </c>
    </row>
    <row r="36" spans="2:2">
      <c r="B36">
        <f t="shared" si="0"/>
        <v>0</v>
      </c>
    </row>
    <row r="37" spans="2:2">
      <c r="B37">
        <f t="shared" si="0"/>
        <v>0</v>
      </c>
    </row>
    <row r="38" spans="2:2">
      <c r="B38">
        <f t="shared" si="0"/>
        <v>0</v>
      </c>
    </row>
    <row r="39" spans="2:2">
      <c r="B39">
        <f t="shared" si="0"/>
        <v>0</v>
      </c>
    </row>
    <row r="40" spans="2:2">
      <c r="B40">
        <f t="shared" si="0"/>
        <v>0</v>
      </c>
    </row>
    <row r="41" spans="2:2">
      <c r="B41">
        <f t="shared" si="0"/>
        <v>0</v>
      </c>
    </row>
    <row r="42" spans="2:2">
      <c r="B42">
        <f t="shared" si="0"/>
        <v>0</v>
      </c>
    </row>
    <row r="43" spans="2:2">
      <c r="B43">
        <f t="shared" si="0"/>
        <v>0</v>
      </c>
    </row>
    <row r="44" spans="2:2">
      <c r="B44">
        <f t="shared" si="0"/>
        <v>0</v>
      </c>
    </row>
    <row r="45" spans="2:2">
      <c r="B45">
        <f t="shared" si="0"/>
        <v>0</v>
      </c>
    </row>
    <row r="46" spans="2:2">
      <c r="B46">
        <f t="shared" si="0"/>
        <v>0</v>
      </c>
    </row>
    <row r="47" spans="2:2">
      <c r="B47">
        <f t="shared" si="0"/>
        <v>0</v>
      </c>
    </row>
    <row r="48" spans="2:2">
      <c r="B48">
        <f t="shared" si="0"/>
        <v>0</v>
      </c>
    </row>
    <row r="49" spans="2:2">
      <c r="B49">
        <f t="shared" si="0"/>
        <v>0</v>
      </c>
    </row>
    <row r="50" spans="2:2">
      <c r="B50">
        <f t="shared" si="0"/>
        <v>0</v>
      </c>
    </row>
    <row r="51" spans="2:2">
      <c r="B51">
        <f t="shared" si="0"/>
        <v>0</v>
      </c>
    </row>
    <row r="52" spans="2:2">
      <c r="B52">
        <f t="shared" si="0"/>
        <v>0</v>
      </c>
    </row>
    <row r="53" spans="2:2">
      <c r="B53">
        <f t="shared" si="0"/>
        <v>0</v>
      </c>
    </row>
    <row r="54" spans="2:2">
      <c r="B54">
        <f t="shared" si="0"/>
        <v>0</v>
      </c>
    </row>
    <row r="55" spans="2:2">
      <c r="B55">
        <f t="shared" si="0"/>
        <v>0</v>
      </c>
    </row>
    <row r="56" spans="2:2">
      <c r="B56">
        <f t="shared" si="0"/>
        <v>0</v>
      </c>
    </row>
    <row r="57" spans="2:2">
      <c r="B57">
        <f t="shared" si="0"/>
        <v>0</v>
      </c>
    </row>
    <row r="58" spans="2:2">
      <c r="B58">
        <f t="shared" si="0"/>
        <v>0</v>
      </c>
    </row>
    <row r="59" spans="2:2">
      <c r="B59">
        <f t="shared" si="0"/>
        <v>0</v>
      </c>
    </row>
    <row r="60" spans="2:2">
      <c r="B60">
        <f t="shared" si="0"/>
        <v>0</v>
      </c>
    </row>
    <row r="61" spans="2:2">
      <c r="B61">
        <f t="shared" si="0"/>
        <v>0</v>
      </c>
    </row>
    <row r="62" spans="2:2">
      <c r="B62">
        <f t="shared" si="0"/>
        <v>0</v>
      </c>
    </row>
    <row r="63" spans="2:2">
      <c r="B63">
        <f t="shared" si="0"/>
        <v>0</v>
      </c>
    </row>
    <row r="64" spans="2:2">
      <c r="B64">
        <f t="shared" si="0"/>
        <v>0</v>
      </c>
    </row>
    <row r="65" spans="2:2">
      <c r="B65">
        <f t="shared" si="0"/>
        <v>0</v>
      </c>
    </row>
    <row r="66" spans="2:2">
      <c r="B66">
        <f t="shared" si="0"/>
        <v>0</v>
      </c>
    </row>
    <row r="67" spans="2:2">
      <c r="B67">
        <f t="shared" ref="B67:B130" si="1">IF(NOT(ISBLANK(A67)), B66+1,)</f>
        <v>0</v>
      </c>
    </row>
    <row r="68" spans="2:2">
      <c r="B68">
        <f t="shared" si="1"/>
        <v>0</v>
      </c>
    </row>
    <row r="69" spans="2:2">
      <c r="B69">
        <f t="shared" si="1"/>
        <v>0</v>
      </c>
    </row>
    <row r="70" spans="2:2">
      <c r="B70">
        <f t="shared" si="1"/>
        <v>0</v>
      </c>
    </row>
    <row r="71" spans="2:2">
      <c r="B71">
        <f t="shared" si="1"/>
        <v>0</v>
      </c>
    </row>
    <row r="72" spans="2:2">
      <c r="B72">
        <f t="shared" si="1"/>
        <v>0</v>
      </c>
    </row>
    <row r="73" spans="2:2">
      <c r="B73">
        <f t="shared" si="1"/>
        <v>0</v>
      </c>
    </row>
    <row r="74" spans="2:2">
      <c r="B74">
        <f t="shared" si="1"/>
        <v>0</v>
      </c>
    </row>
    <row r="75" spans="2:2">
      <c r="B75">
        <f t="shared" si="1"/>
        <v>0</v>
      </c>
    </row>
    <row r="76" spans="2:2">
      <c r="B76">
        <f t="shared" si="1"/>
        <v>0</v>
      </c>
    </row>
    <row r="77" spans="2:2">
      <c r="B77">
        <f t="shared" si="1"/>
        <v>0</v>
      </c>
    </row>
    <row r="78" spans="2:2">
      <c r="B78">
        <f t="shared" si="1"/>
        <v>0</v>
      </c>
    </row>
    <row r="79" spans="2:2">
      <c r="B79">
        <f t="shared" si="1"/>
        <v>0</v>
      </c>
    </row>
    <row r="80" spans="2:2">
      <c r="B80">
        <f t="shared" si="1"/>
        <v>0</v>
      </c>
    </row>
    <row r="81" spans="2:2">
      <c r="B81">
        <f t="shared" si="1"/>
        <v>0</v>
      </c>
    </row>
    <row r="82" spans="2:2">
      <c r="B82">
        <f t="shared" si="1"/>
        <v>0</v>
      </c>
    </row>
    <row r="83" spans="2:2">
      <c r="B83">
        <f t="shared" si="1"/>
        <v>0</v>
      </c>
    </row>
    <row r="84" spans="2:2">
      <c r="B84">
        <f t="shared" si="1"/>
        <v>0</v>
      </c>
    </row>
    <row r="85" spans="2:2">
      <c r="B85">
        <f t="shared" si="1"/>
        <v>0</v>
      </c>
    </row>
    <row r="86" spans="2:2">
      <c r="B86">
        <f t="shared" si="1"/>
        <v>0</v>
      </c>
    </row>
    <row r="87" spans="2:2">
      <c r="B87">
        <f t="shared" si="1"/>
        <v>0</v>
      </c>
    </row>
    <row r="88" spans="2:2">
      <c r="B88">
        <f t="shared" si="1"/>
        <v>0</v>
      </c>
    </row>
    <row r="89" spans="2:2">
      <c r="B89">
        <f t="shared" si="1"/>
        <v>0</v>
      </c>
    </row>
    <row r="90" spans="2:2">
      <c r="B90">
        <f t="shared" si="1"/>
        <v>0</v>
      </c>
    </row>
    <row r="91" spans="2:2">
      <c r="B91">
        <f t="shared" si="1"/>
        <v>0</v>
      </c>
    </row>
    <row r="92" spans="2:2">
      <c r="B92">
        <f t="shared" si="1"/>
        <v>0</v>
      </c>
    </row>
    <row r="93" spans="2:2">
      <c r="B93">
        <f t="shared" si="1"/>
        <v>0</v>
      </c>
    </row>
    <row r="94" spans="2:2">
      <c r="B94">
        <f t="shared" si="1"/>
        <v>0</v>
      </c>
    </row>
    <row r="95" spans="2:2">
      <c r="B95">
        <f t="shared" si="1"/>
        <v>0</v>
      </c>
    </row>
    <row r="96" spans="2:2">
      <c r="B96">
        <f t="shared" si="1"/>
        <v>0</v>
      </c>
    </row>
    <row r="97" spans="2:2">
      <c r="B97">
        <f t="shared" si="1"/>
        <v>0</v>
      </c>
    </row>
    <row r="98" spans="2:2">
      <c r="B98">
        <f t="shared" si="1"/>
        <v>0</v>
      </c>
    </row>
    <row r="99" spans="2:2">
      <c r="B99">
        <f t="shared" si="1"/>
        <v>0</v>
      </c>
    </row>
    <row r="100" spans="2:2">
      <c r="B100">
        <f t="shared" si="1"/>
        <v>0</v>
      </c>
    </row>
    <row r="101" spans="2:2">
      <c r="B101">
        <f t="shared" si="1"/>
        <v>0</v>
      </c>
    </row>
    <row r="102" spans="2:2">
      <c r="B102">
        <f t="shared" si="1"/>
        <v>0</v>
      </c>
    </row>
    <row r="103" spans="2:2">
      <c r="B103">
        <f t="shared" si="1"/>
        <v>0</v>
      </c>
    </row>
    <row r="104" spans="2:2">
      <c r="B104">
        <f t="shared" si="1"/>
        <v>0</v>
      </c>
    </row>
    <row r="105" spans="2:2">
      <c r="B105">
        <f t="shared" si="1"/>
        <v>0</v>
      </c>
    </row>
    <row r="106" spans="2:2">
      <c r="B106">
        <f t="shared" si="1"/>
        <v>0</v>
      </c>
    </row>
    <row r="107" spans="2:2">
      <c r="B107">
        <f t="shared" si="1"/>
        <v>0</v>
      </c>
    </row>
    <row r="108" spans="2:2">
      <c r="B108">
        <f t="shared" si="1"/>
        <v>0</v>
      </c>
    </row>
    <row r="109" spans="2:2">
      <c r="B109">
        <f t="shared" si="1"/>
        <v>0</v>
      </c>
    </row>
    <row r="110" spans="2:2">
      <c r="B110">
        <f t="shared" si="1"/>
        <v>0</v>
      </c>
    </row>
    <row r="111" spans="2:2">
      <c r="B111">
        <f t="shared" si="1"/>
        <v>0</v>
      </c>
    </row>
    <row r="112" spans="2:2">
      <c r="B112">
        <f t="shared" si="1"/>
        <v>0</v>
      </c>
    </row>
    <row r="113" spans="2:2">
      <c r="B113">
        <f t="shared" si="1"/>
        <v>0</v>
      </c>
    </row>
    <row r="114" spans="2:2">
      <c r="B114">
        <f t="shared" si="1"/>
        <v>0</v>
      </c>
    </row>
    <row r="115" spans="2:2">
      <c r="B115">
        <f t="shared" si="1"/>
        <v>0</v>
      </c>
    </row>
    <row r="116" spans="2:2">
      <c r="B116">
        <f t="shared" si="1"/>
        <v>0</v>
      </c>
    </row>
    <row r="117" spans="2:2">
      <c r="B117">
        <f t="shared" si="1"/>
        <v>0</v>
      </c>
    </row>
    <row r="118" spans="2:2">
      <c r="B118">
        <f t="shared" si="1"/>
        <v>0</v>
      </c>
    </row>
    <row r="119" spans="2:2">
      <c r="B119">
        <f t="shared" si="1"/>
        <v>0</v>
      </c>
    </row>
    <row r="120" spans="2:2">
      <c r="B120">
        <f t="shared" si="1"/>
        <v>0</v>
      </c>
    </row>
    <row r="121" spans="2:2">
      <c r="B121">
        <f t="shared" si="1"/>
        <v>0</v>
      </c>
    </row>
    <row r="122" spans="2:2">
      <c r="B122">
        <f t="shared" si="1"/>
        <v>0</v>
      </c>
    </row>
    <row r="123" spans="2:2">
      <c r="B123">
        <f t="shared" si="1"/>
        <v>0</v>
      </c>
    </row>
    <row r="124" spans="2:2">
      <c r="B124">
        <f t="shared" si="1"/>
        <v>0</v>
      </c>
    </row>
    <row r="125" spans="2:2">
      <c r="B125">
        <f t="shared" si="1"/>
        <v>0</v>
      </c>
    </row>
    <row r="126" spans="2:2">
      <c r="B126">
        <f t="shared" si="1"/>
        <v>0</v>
      </c>
    </row>
    <row r="127" spans="2:2">
      <c r="B127">
        <f t="shared" si="1"/>
        <v>0</v>
      </c>
    </row>
    <row r="128" spans="2:2">
      <c r="B128">
        <f t="shared" si="1"/>
        <v>0</v>
      </c>
    </row>
    <row r="129" spans="2:2">
      <c r="B129">
        <f t="shared" si="1"/>
        <v>0</v>
      </c>
    </row>
    <row r="130" spans="2:2">
      <c r="B130">
        <f t="shared" si="1"/>
        <v>0</v>
      </c>
    </row>
    <row r="131" spans="2:2">
      <c r="B131">
        <f t="shared" ref="B131:B194" si="2">IF(NOT(ISBLANK(A131)), B130+1,)</f>
        <v>0</v>
      </c>
    </row>
    <row r="132" spans="2:2">
      <c r="B132">
        <f t="shared" si="2"/>
        <v>0</v>
      </c>
    </row>
    <row r="133" spans="2:2">
      <c r="B133">
        <f t="shared" si="2"/>
        <v>0</v>
      </c>
    </row>
    <row r="134" spans="2:2">
      <c r="B134">
        <f t="shared" si="2"/>
        <v>0</v>
      </c>
    </row>
    <row r="135" spans="2:2">
      <c r="B135">
        <f t="shared" si="2"/>
        <v>0</v>
      </c>
    </row>
    <row r="136" spans="2:2">
      <c r="B136">
        <f t="shared" si="2"/>
        <v>0</v>
      </c>
    </row>
    <row r="137" spans="2:2">
      <c r="B137">
        <f t="shared" si="2"/>
        <v>0</v>
      </c>
    </row>
    <row r="138" spans="2:2">
      <c r="B138">
        <f t="shared" si="2"/>
        <v>0</v>
      </c>
    </row>
    <row r="139" spans="2:2">
      <c r="B139">
        <f t="shared" si="2"/>
        <v>0</v>
      </c>
    </row>
    <row r="140" spans="2:2">
      <c r="B140">
        <f t="shared" si="2"/>
        <v>0</v>
      </c>
    </row>
    <row r="141" spans="2:2">
      <c r="B141">
        <f t="shared" si="2"/>
        <v>0</v>
      </c>
    </row>
    <row r="142" spans="2:2">
      <c r="B142">
        <f t="shared" si="2"/>
        <v>0</v>
      </c>
    </row>
    <row r="143" spans="2:2">
      <c r="B143">
        <f t="shared" si="2"/>
        <v>0</v>
      </c>
    </row>
    <row r="144" spans="2:2">
      <c r="B144">
        <f t="shared" si="2"/>
        <v>0</v>
      </c>
    </row>
    <row r="145" spans="2:2">
      <c r="B145">
        <f t="shared" si="2"/>
        <v>0</v>
      </c>
    </row>
    <row r="146" spans="2:2">
      <c r="B146">
        <f t="shared" si="2"/>
        <v>0</v>
      </c>
    </row>
    <row r="147" spans="2:2">
      <c r="B147">
        <f t="shared" si="2"/>
        <v>0</v>
      </c>
    </row>
    <row r="148" spans="2:2">
      <c r="B148">
        <f t="shared" si="2"/>
        <v>0</v>
      </c>
    </row>
    <row r="149" spans="2:2">
      <c r="B149">
        <f t="shared" si="2"/>
        <v>0</v>
      </c>
    </row>
    <row r="150" spans="2:2">
      <c r="B150">
        <f t="shared" si="2"/>
        <v>0</v>
      </c>
    </row>
    <row r="151" spans="2:2">
      <c r="B151">
        <f t="shared" si="2"/>
        <v>0</v>
      </c>
    </row>
    <row r="152" spans="2:2">
      <c r="B152">
        <f t="shared" si="2"/>
        <v>0</v>
      </c>
    </row>
    <row r="153" spans="2:2">
      <c r="B153">
        <f t="shared" si="2"/>
        <v>0</v>
      </c>
    </row>
    <row r="154" spans="2:2">
      <c r="B154">
        <f t="shared" si="2"/>
        <v>0</v>
      </c>
    </row>
    <row r="155" spans="2:2">
      <c r="B155">
        <f t="shared" si="2"/>
        <v>0</v>
      </c>
    </row>
    <row r="156" spans="2:2">
      <c r="B156">
        <f t="shared" si="2"/>
        <v>0</v>
      </c>
    </row>
    <row r="157" spans="2:2">
      <c r="B157">
        <f t="shared" si="2"/>
        <v>0</v>
      </c>
    </row>
    <row r="158" spans="2:2">
      <c r="B158">
        <f t="shared" si="2"/>
        <v>0</v>
      </c>
    </row>
    <row r="159" spans="2:2">
      <c r="B159">
        <f t="shared" si="2"/>
        <v>0</v>
      </c>
    </row>
    <row r="160" spans="2:2">
      <c r="B160">
        <f t="shared" si="2"/>
        <v>0</v>
      </c>
    </row>
    <row r="161" spans="2:2">
      <c r="B161">
        <f t="shared" si="2"/>
        <v>0</v>
      </c>
    </row>
    <row r="162" spans="2:2">
      <c r="B162">
        <f t="shared" si="2"/>
        <v>0</v>
      </c>
    </row>
    <row r="163" spans="2:2">
      <c r="B163">
        <f t="shared" si="2"/>
        <v>0</v>
      </c>
    </row>
    <row r="164" spans="2:2">
      <c r="B164">
        <f t="shared" si="2"/>
        <v>0</v>
      </c>
    </row>
    <row r="165" spans="2:2">
      <c r="B165">
        <f t="shared" si="2"/>
        <v>0</v>
      </c>
    </row>
    <row r="166" spans="2:2">
      <c r="B166">
        <f t="shared" si="2"/>
        <v>0</v>
      </c>
    </row>
    <row r="167" spans="2:2">
      <c r="B167">
        <f t="shared" si="2"/>
        <v>0</v>
      </c>
    </row>
    <row r="168" spans="2:2">
      <c r="B168">
        <f t="shared" si="2"/>
        <v>0</v>
      </c>
    </row>
    <row r="169" spans="2:2">
      <c r="B169">
        <f t="shared" si="2"/>
        <v>0</v>
      </c>
    </row>
    <row r="170" spans="2:2">
      <c r="B170">
        <f t="shared" si="2"/>
        <v>0</v>
      </c>
    </row>
    <row r="171" spans="2:2">
      <c r="B171">
        <f t="shared" si="2"/>
        <v>0</v>
      </c>
    </row>
    <row r="172" spans="2:2">
      <c r="B172">
        <f t="shared" si="2"/>
        <v>0</v>
      </c>
    </row>
    <row r="173" spans="2:2">
      <c r="B173">
        <f t="shared" si="2"/>
        <v>0</v>
      </c>
    </row>
    <row r="174" spans="2:2">
      <c r="B174">
        <f t="shared" si="2"/>
        <v>0</v>
      </c>
    </row>
    <row r="175" spans="2:2">
      <c r="B175">
        <f t="shared" si="2"/>
        <v>0</v>
      </c>
    </row>
    <row r="176" spans="2:2">
      <c r="B176">
        <f t="shared" si="2"/>
        <v>0</v>
      </c>
    </row>
    <row r="177" spans="2:2">
      <c r="B177">
        <f t="shared" si="2"/>
        <v>0</v>
      </c>
    </row>
    <row r="178" spans="2:2">
      <c r="B178">
        <f t="shared" si="2"/>
        <v>0</v>
      </c>
    </row>
    <row r="179" spans="2:2">
      <c r="B179">
        <f t="shared" si="2"/>
        <v>0</v>
      </c>
    </row>
    <row r="180" spans="2:2">
      <c r="B180">
        <f t="shared" si="2"/>
        <v>0</v>
      </c>
    </row>
    <row r="181" spans="2:2">
      <c r="B181">
        <f t="shared" si="2"/>
        <v>0</v>
      </c>
    </row>
    <row r="182" spans="2:2">
      <c r="B182">
        <f t="shared" si="2"/>
        <v>0</v>
      </c>
    </row>
    <row r="183" spans="2:2">
      <c r="B183">
        <f t="shared" si="2"/>
        <v>0</v>
      </c>
    </row>
    <row r="184" spans="2:2">
      <c r="B184">
        <f t="shared" si="2"/>
        <v>0</v>
      </c>
    </row>
    <row r="185" spans="2:2">
      <c r="B185">
        <f t="shared" si="2"/>
        <v>0</v>
      </c>
    </row>
    <row r="186" spans="2:2">
      <c r="B186">
        <f t="shared" si="2"/>
        <v>0</v>
      </c>
    </row>
    <row r="187" spans="2:2">
      <c r="B187">
        <f t="shared" si="2"/>
        <v>0</v>
      </c>
    </row>
    <row r="188" spans="2:2">
      <c r="B188">
        <f t="shared" si="2"/>
        <v>0</v>
      </c>
    </row>
    <row r="189" spans="2:2">
      <c r="B189">
        <f t="shared" si="2"/>
        <v>0</v>
      </c>
    </row>
    <row r="190" spans="2:2">
      <c r="B190">
        <f t="shared" si="2"/>
        <v>0</v>
      </c>
    </row>
    <row r="191" spans="2:2">
      <c r="B191">
        <f t="shared" si="2"/>
        <v>0</v>
      </c>
    </row>
    <row r="192" spans="2:2">
      <c r="B192">
        <f t="shared" si="2"/>
        <v>0</v>
      </c>
    </row>
    <row r="193" spans="2:2">
      <c r="B193">
        <f t="shared" si="2"/>
        <v>0</v>
      </c>
    </row>
    <row r="194" spans="2:2">
      <c r="B194">
        <f t="shared" si="2"/>
        <v>0</v>
      </c>
    </row>
    <row r="195" spans="2:2">
      <c r="B195">
        <f t="shared" ref="B195:B258" si="3">IF(NOT(ISBLANK(A195)), B194+1,)</f>
        <v>0</v>
      </c>
    </row>
    <row r="196" spans="2:2">
      <c r="B196">
        <f t="shared" si="3"/>
        <v>0</v>
      </c>
    </row>
    <row r="197" spans="2:2">
      <c r="B197">
        <f t="shared" si="3"/>
        <v>0</v>
      </c>
    </row>
    <row r="198" spans="2:2">
      <c r="B198">
        <f t="shared" si="3"/>
        <v>0</v>
      </c>
    </row>
    <row r="199" spans="2:2">
      <c r="B199">
        <f t="shared" si="3"/>
        <v>0</v>
      </c>
    </row>
    <row r="200" spans="2:2">
      <c r="B200">
        <f t="shared" si="3"/>
        <v>0</v>
      </c>
    </row>
    <row r="201" spans="2:2">
      <c r="B201">
        <f t="shared" si="3"/>
        <v>0</v>
      </c>
    </row>
    <row r="202" spans="2:2">
      <c r="B202">
        <f t="shared" si="3"/>
        <v>0</v>
      </c>
    </row>
    <row r="203" spans="2:2">
      <c r="B203">
        <f t="shared" si="3"/>
        <v>0</v>
      </c>
    </row>
    <row r="204" spans="2:2">
      <c r="B204">
        <f t="shared" si="3"/>
        <v>0</v>
      </c>
    </row>
    <row r="205" spans="2:2">
      <c r="B205">
        <f t="shared" si="3"/>
        <v>0</v>
      </c>
    </row>
    <row r="206" spans="2:2">
      <c r="B206">
        <f t="shared" si="3"/>
        <v>0</v>
      </c>
    </row>
    <row r="207" spans="2:2">
      <c r="B207">
        <f t="shared" si="3"/>
        <v>0</v>
      </c>
    </row>
    <row r="208" spans="2:2">
      <c r="B208">
        <f t="shared" si="3"/>
        <v>0</v>
      </c>
    </row>
    <row r="209" spans="2:2">
      <c r="B209">
        <f t="shared" si="3"/>
        <v>0</v>
      </c>
    </row>
    <row r="210" spans="2:2">
      <c r="B210">
        <f t="shared" si="3"/>
        <v>0</v>
      </c>
    </row>
    <row r="211" spans="2:2">
      <c r="B211">
        <f t="shared" si="3"/>
        <v>0</v>
      </c>
    </row>
    <row r="212" spans="2:2">
      <c r="B212">
        <f t="shared" si="3"/>
        <v>0</v>
      </c>
    </row>
    <row r="213" spans="2:2">
      <c r="B213">
        <f t="shared" si="3"/>
        <v>0</v>
      </c>
    </row>
    <row r="214" spans="2:2">
      <c r="B214">
        <f t="shared" si="3"/>
        <v>0</v>
      </c>
    </row>
    <row r="215" spans="2:2">
      <c r="B215">
        <f t="shared" si="3"/>
        <v>0</v>
      </c>
    </row>
    <row r="216" spans="2:2">
      <c r="B216">
        <f t="shared" si="3"/>
        <v>0</v>
      </c>
    </row>
    <row r="217" spans="2:2">
      <c r="B217">
        <f t="shared" si="3"/>
        <v>0</v>
      </c>
    </row>
    <row r="218" spans="2:2">
      <c r="B218">
        <f t="shared" si="3"/>
        <v>0</v>
      </c>
    </row>
    <row r="219" spans="2:2">
      <c r="B219">
        <f t="shared" si="3"/>
        <v>0</v>
      </c>
    </row>
    <row r="220" spans="2:2">
      <c r="B220">
        <f t="shared" si="3"/>
        <v>0</v>
      </c>
    </row>
    <row r="221" spans="2:2">
      <c r="B221">
        <f t="shared" si="3"/>
        <v>0</v>
      </c>
    </row>
    <row r="222" spans="2:2">
      <c r="B222">
        <f t="shared" si="3"/>
        <v>0</v>
      </c>
    </row>
    <row r="223" spans="2:2">
      <c r="B223">
        <f t="shared" si="3"/>
        <v>0</v>
      </c>
    </row>
    <row r="224" spans="2:2">
      <c r="B224">
        <f t="shared" si="3"/>
        <v>0</v>
      </c>
    </row>
    <row r="225" spans="2:2">
      <c r="B225">
        <f t="shared" si="3"/>
        <v>0</v>
      </c>
    </row>
    <row r="226" spans="2:2">
      <c r="B226">
        <f t="shared" si="3"/>
        <v>0</v>
      </c>
    </row>
    <row r="227" spans="2:2">
      <c r="B227">
        <f t="shared" si="3"/>
        <v>0</v>
      </c>
    </row>
    <row r="228" spans="2:2">
      <c r="B228">
        <f t="shared" si="3"/>
        <v>0</v>
      </c>
    </row>
    <row r="229" spans="2:2">
      <c r="B229">
        <f t="shared" si="3"/>
        <v>0</v>
      </c>
    </row>
    <row r="230" spans="2:2">
      <c r="B230">
        <f t="shared" si="3"/>
        <v>0</v>
      </c>
    </row>
    <row r="231" spans="2:2">
      <c r="B231">
        <f t="shared" si="3"/>
        <v>0</v>
      </c>
    </row>
    <row r="232" spans="2:2">
      <c r="B232">
        <f t="shared" si="3"/>
        <v>0</v>
      </c>
    </row>
    <row r="233" spans="2:2">
      <c r="B233">
        <f t="shared" si="3"/>
        <v>0</v>
      </c>
    </row>
    <row r="234" spans="2:2">
      <c r="B234">
        <f t="shared" si="3"/>
        <v>0</v>
      </c>
    </row>
    <row r="235" spans="2:2">
      <c r="B235">
        <f t="shared" si="3"/>
        <v>0</v>
      </c>
    </row>
    <row r="236" spans="2:2">
      <c r="B236">
        <f t="shared" si="3"/>
        <v>0</v>
      </c>
    </row>
    <row r="237" spans="2:2">
      <c r="B237">
        <f t="shared" si="3"/>
        <v>0</v>
      </c>
    </row>
    <row r="238" spans="2:2">
      <c r="B238">
        <f t="shared" si="3"/>
        <v>0</v>
      </c>
    </row>
    <row r="239" spans="2:2">
      <c r="B239">
        <f t="shared" si="3"/>
        <v>0</v>
      </c>
    </row>
    <row r="240" spans="2:2">
      <c r="B240">
        <f t="shared" si="3"/>
        <v>0</v>
      </c>
    </row>
    <row r="241" spans="2:2">
      <c r="B241">
        <f t="shared" si="3"/>
        <v>0</v>
      </c>
    </row>
    <row r="242" spans="2:2">
      <c r="B242">
        <f t="shared" si="3"/>
        <v>0</v>
      </c>
    </row>
    <row r="243" spans="2:2">
      <c r="B243">
        <f t="shared" si="3"/>
        <v>0</v>
      </c>
    </row>
    <row r="244" spans="2:2">
      <c r="B244">
        <f t="shared" si="3"/>
        <v>0</v>
      </c>
    </row>
    <row r="245" spans="2:2">
      <c r="B245">
        <f t="shared" si="3"/>
        <v>0</v>
      </c>
    </row>
    <row r="246" spans="2:2">
      <c r="B246">
        <f t="shared" si="3"/>
        <v>0</v>
      </c>
    </row>
    <row r="247" spans="2:2">
      <c r="B247">
        <f t="shared" si="3"/>
        <v>0</v>
      </c>
    </row>
    <row r="248" spans="2:2">
      <c r="B248">
        <f t="shared" si="3"/>
        <v>0</v>
      </c>
    </row>
    <row r="249" spans="2:2">
      <c r="B249">
        <f t="shared" si="3"/>
        <v>0</v>
      </c>
    </row>
    <row r="250" spans="2:2">
      <c r="B250">
        <f t="shared" si="3"/>
        <v>0</v>
      </c>
    </row>
    <row r="251" spans="2:2">
      <c r="B251">
        <f t="shared" si="3"/>
        <v>0</v>
      </c>
    </row>
    <row r="252" spans="2:2">
      <c r="B252">
        <f t="shared" si="3"/>
        <v>0</v>
      </c>
    </row>
    <row r="253" spans="2:2">
      <c r="B253">
        <f t="shared" si="3"/>
        <v>0</v>
      </c>
    </row>
    <row r="254" spans="2:2">
      <c r="B254">
        <f t="shared" si="3"/>
        <v>0</v>
      </c>
    </row>
    <row r="255" spans="2:2">
      <c r="B255">
        <f t="shared" si="3"/>
        <v>0</v>
      </c>
    </row>
    <row r="256" spans="2: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A1:Y3883"/>
  <sheetViews>
    <sheetView tabSelected="1" zoomScaleNormal="100" workbookViewId="0">
      <selection activeCell="K1147" sqref="K1147"/>
    </sheetView>
  </sheetViews>
  <sheetFormatPr defaultColWidth="9.25" defaultRowHeight="13.5"/>
  <cols>
    <col min="1" max="1" width="52.25" customWidth="1"/>
    <col min="2" max="8" width="20.25" hidden="1" customWidth="1"/>
    <col min="9" max="9" width="39.125" hidden="1" customWidth="1"/>
    <col min="10" max="10" width="18.125" bestFit="1" customWidth="1"/>
    <col min="11" max="12" width="81"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1:13" ht="96.75" customHeight="1">
      <c r="A1" s="69"/>
      <c r="K1" s="20"/>
    </row>
    <row r="2" spans="1:13">
      <c r="B2" t="s">
        <v>42</v>
      </c>
      <c r="C2" t="s">
        <v>43</v>
      </c>
      <c r="D2" t="s">
        <v>44</v>
      </c>
      <c r="E2" t="s">
        <v>45</v>
      </c>
      <c r="F2" t="s">
        <v>46</v>
      </c>
      <c r="G2" t="s">
        <v>2</v>
      </c>
      <c r="H2" t="s">
        <v>3</v>
      </c>
      <c r="I2" t="s">
        <v>47</v>
      </c>
      <c r="J2" t="s">
        <v>48</v>
      </c>
      <c r="K2" t="s">
        <v>49</v>
      </c>
      <c r="L2" t="s">
        <v>50</v>
      </c>
      <c r="M2" t="s">
        <v>51</v>
      </c>
    </row>
    <row r="3" spans="1:13" hidden="1">
      <c r="B3">
        <v>1</v>
      </c>
      <c r="C3">
        <v>1</v>
      </c>
      <c r="D3">
        <v>5</v>
      </c>
      <c r="E3">
        <v>0</v>
      </c>
      <c r="F3">
        <v>0</v>
      </c>
      <c r="G3" t="s">
        <v>8</v>
      </c>
      <c r="H3" t="s">
        <v>52</v>
      </c>
      <c r="I3" t="s">
        <v>53</v>
      </c>
      <c r="J3" t="s">
        <v>54</v>
      </c>
      <c r="K3" t="s">
        <v>53</v>
      </c>
      <c r="M3" t="s">
        <v>6</v>
      </c>
    </row>
    <row r="4" spans="1:13" hidden="1">
      <c r="B4">
        <v>2</v>
      </c>
      <c r="C4">
        <v>1</v>
      </c>
      <c r="D4">
        <v>5</v>
      </c>
      <c r="E4">
        <v>1</v>
      </c>
      <c r="F4">
        <v>0</v>
      </c>
      <c r="G4" t="s">
        <v>8</v>
      </c>
      <c r="H4" t="s">
        <v>52</v>
      </c>
      <c r="I4" t="s">
        <v>53</v>
      </c>
      <c r="J4" t="s">
        <v>55</v>
      </c>
      <c r="K4" t="s">
        <v>56</v>
      </c>
      <c r="M4" t="s">
        <v>6</v>
      </c>
    </row>
    <row r="5" spans="1:13" hidden="1">
      <c r="B5">
        <v>3</v>
      </c>
      <c r="C5">
        <v>1</v>
      </c>
      <c r="D5">
        <v>5</v>
      </c>
      <c r="E5">
        <v>2</v>
      </c>
      <c r="F5">
        <v>0</v>
      </c>
      <c r="G5" t="s">
        <v>8</v>
      </c>
      <c r="H5" t="s">
        <v>52</v>
      </c>
      <c r="I5" t="s">
        <v>53</v>
      </c>
      <c r="J5" t="s">
        <v>55</v>
      </c>
      <c r="K5" t="s">
        <v>57</v>
      </c>
      <c r="M5" t="s">
        <v>6</v>
      </c>
    </row>
    <row r="6" spans="1:13" hidden="1">
      <c r="B6">
        <v>4</v>
      </c>
      <c r="C6">
        <v>1</v>
      </c>
      <c r="D6">
        <v>5</v>
      </c>
      <c r="E6">
        <v>3</v>
      </c>
      <c r="F6">
        <v>0</v>
      </c>
      <c r="G6" t="s">
        <v>8</v>
      </c>
      <c r="H6" t="s">
        <v>52</v>
      </c>
      <c r="I6" t="s">
        <v>53</v>
      </c>
      <c r="J6" t="s">
        <v>55</v>
      </c>
      <c r="K6" t="s">
        <v>58</v>
      </c>
      <c r="M6" t="s">
        <v>6</v>
      </c>
    </row>
    <row r="7" spans="1:13" hidden="1">
      <c r="B7">
        <v>5</v>
      </c>
      <c r="C7">
        <v>1</v>
      </c>
      <c r="D7">
        <v>5</v>
      </c>
      <c r="E7">
        <v>4</v>
      </c>
      <c r="F7">
        <v>0</v>
      </c>
      <c r="G7" t="s">
        <v>8</v>
      </c>
      <c r="H7" t="s">
        <v>52</v>
      </c>
      <c r="I7" t="s">
        <v>53</v>
      </c>
      <c r="J7" t="s">
        <v>55</v>
      </c>
      <c r="K7" t="s">
        <v>59</v>
      </c>
      <c r="M7" t="s">
        <v>6</v>
      </c>
    </row>
    <row r="8" spans="1:13" hidden="1">
      <c r="B8">
        <v>6</v>
      </c>
      <c r="C8">
        <v>1</v>
      </c>
      <c r="D8">
        <v>5</v>
      </c>
      <c r="E8">
        <v>5</v>
      </c>
      <c r="F8">
        <v>0</v>
      </c>
      <c r="G8" t="s">
        <v>8</v>
      </c>
      <c r="H8" t="s">
        <v>52</v>
      </c>
      <c r="I8" t="s">
        <v>53</v>
      </c>
      <c r="J8" t="s">
        <v>55</v>
      </c>
      <c r="K8" t="s">
        <v>60</v>
      </c>
      <c r="M8" t="s">
        <v>6</v>
      </c>
    </row>
    <row r="9" spans="1:13" hidden="1">
      <c r="B9">
        <v>7</v>
      </c>
      <c r="C9">
        <v>2</v>
      </c>
      <c r="D9">
        <v>4</v>
      </c>
      <c r="E9">
        <v>0</v>
      </c>
      <c r="F9">
        <v>0</v>
      </c>
      <c r="G9" t="s">
        <v>8</v>
      </c>
      <c r="H9" t="s">
        <v>52</v>
      </c>
      <c r="I9" t="s">
        <v>61</v>
      </c>
      <c r="J9" t="s">
        <v>54</v>
      </c>
      <c r="K9" t="s">
        <v>61</v>
      </c>
      <c r="M9" t="s">
        <v>6</v>
      </c>
    </row>
    <row r="10" spans="1:13" hidden="1">
      <c r="B10">
        <v>8</v>
      </c>
      <c r="C10">
        <v>2</v>
      </c>
      <c r="D10">
        <v>4</v>
      </c>
      <c r="E10">
        <v>1</v>
      </c>
      <c r="F10">
        <v>0</v>
      </c>
      <c r="G10" t="s">
        <v>8</v>
      </c>
      <c r="H10" t="s">
        <v>52</v>
      </c>
      <c r="I10" t="s">
        <v>61</v>
      </c>
      <c r="J10" t="s">
        <v>55</v>
      </c>
      <c r="K10" t="s">
        <v>62</v>
      </c>
      <c r="M10" t="s">
        <v>6</v>
      </c>
    </row>
    <row r="11" spans="1:13" hidden="1">
      <c r="B11">
        <v>9</v>
      </c>
      <c r="C11">
        <v>2</v>
      </c>
      <c r="D11">
        <v>4</v>
      </c>
      <c r="E11">
        <v>2</v>
      </c>
      <c r="F11">
        <v>0</v>
      </c>
      <c r="G11" t="s">
        <v>8</v>
      </c>
      <c r="H11" t="s">
        <v>52</v>
      </c>
      <c r="I11" t="s">
        <v>61</v>
      </c>
      <c r="J11" t="s">
        <v>55</v>
      </c>
      <c r="K11" t="s">
        <v>63</v>
      </c>
      <c r="M11" t="s">
        <v>6</v>
      </c>
    </row>
    <row r="12" spans="1:13" hidden="1">
      <c r="B12">
        <v>10</v>
      </c>
      <c r="C12">
        <v>2</v>
      </c>
      <c r="D12">
        <v>4</v>
      </c>
      <c r="E12">
        <v>3</v>
      </c>
      <c r="F12">
        <v>0</v>
      </c>
      <c r="G12" t="s">
        <v>8</v>
      </c>
      <c r="H12" t="s">
        <v>52</v>
      </c>
      <c r="I12" t="s">
        <v>61</v>
      </c>
      <c r="J12" t="s">
        <v>64</v>
      </c>
      <c r="K12" t="s">
        <v>65</v>
      </c>
      <c r="M12" t="s">
        <v>6</v>
      </c>
    </row>
    <row r="13" spans="1:13" hidden="1">
      <c r="B13">
        <v>11</v>
      </c>
      <c r="C13">
        <v>2</v>
      </c>
      <c r="D13">
        <v>4</v>
      </c>
      <c r="E13">
        <v>4</v>
      </c>
      <c r="F13">
        <v>0</v>
      </c>
      <c r="G13" t="s">
        <v>8</v>
      </c>
      <c r="H13" t="s">
        <v>52</v>
      </c>
      <c r="I13" t="s">
        <v>61</v>
      </c>
      <c r="J13" t="s">
        <v>55</v>
      </c>
      <c r="K13" t="s">
        <v>66</v>
      </c>
      <c r="M13" t="s">
        <v>6</v>
      </c>
    </row>
    <row r="14" spans="1:13" hidden="1">
      <c r="B14">
        <v>12</v>
      </c>
      <c r="C14">
        <v>3</v>
      </c>
      <c r="D14">
        <v>3</v>
      </c>
      <c r="E14">
        <v>0</v>
      </c>
      <c r="F14">
        <v>0</v>
      </c>
      <c r="G14" t="s">
        <v>8</v>
      </c>
      <c r="H14" t="s">
        <v>52</v>
      </c>
      <c r="I14" t="s">
        <v>67</v>
      </c>
      <c r="J14" t="s">
        <v>54</v>
      </c>
      <c r="K14" t="s">
        <v>67</v>
      </c>
      <c r="M14" t="s">
        <v>6</v>
      </c>
    </row>
    <row r="15" spans="1:13" hidden="1">
      <c r="B15">
        <v>13</v>
      </c>
      <c r="C15">
        <v>3</v>
      </c>
      <c r="D15">
        <v>3</v>
      </c>
      <c r="E15">
        <v>1</v>
      </c>
      <c r="F15">
        <v>0</v>
      </c>
      <c r="G15" t="s">
        <v>8</v>
      </c>
      <c r="H15" t="s">
        <v>52</v>
      </c>
      <c r="I15" t="s">
        <v>67</v>
      </c>
      <c r="J15" t="s">
        <v>55</v>
      </c>
      <c r="K15" t="s">
        <v>68</v>
      </c>
      <c r="M15" t="s">
        <v>6</v>
      </c>
    </row>
    <row r="16" spans="1:13" hidden="1">
      <c r="B16">
        <v>14</v>
      </c>
      <c r="C16">
        <v>3</v>
      </c>
      <c r="D16">
        <v>3</v>
      </c>
      <c r="E16">
        <v>2</v>
      </c>
      <c r="F16">
        <v>0</v>
      </c>
      <c r="G16" t="s">
        <v>8</v>
      </c>
      <c r="H16" t="s">
        <v>52</v>
      </c>
      <c r="I16" t="s">
        <v>67</v>
      </c>
      <c r="J16" t="s">
        <v>55</v>
      </c>
      <c r="K16" t="s">
        <v>69</v>
      </c>
      <c r="M16" t="s">
        <v>6</v>
      </c>
    </row>
    <row r="17" spans="2:13" hidden="1">
      <c r="B17">
        <v>15</v>
      </c>
      <c r="C17">
        <v>3</v>
      </c>
      <c r="D17">
        <v>3</v>
      </c>
      <c r="E17">
        <v>3</v>
      </c>
      <c r="F17">
        <v>0</v>
      </c>
      <c r="G17" t="s">
        <v>8</v>
      </c>
      <c r="H17" t="s">
        <v>52</v>
      </c>
      <c r="I17" t="s">
        <v>67</v>
      </c>
      <c r="J17" t="s">
        <v>55</v>
      </c>
      <c r="K17" t="s">
        <v>70</v>
      </c>
      <c r="M17" t="s">
        <v>6</v>
      </c>
    </row>
    <row r="18" spans="2:13" hidden="1">
      <c r="B18">
        <v>16</v>
      </c>
      <c r="C18">
        <v>4</v>
      </c>
      <c r="D18">
        <v>4</v>
      </c>
      <c r="E18">
        <v>0</v>
      </c>
      <c r="F18">
        <v>0</v>
      </c>
      <c r="G18" t="s">
        <v>8</v>
      </c>
      <c r="H18" t="s">
        <v>52</v>
      </c>
      <c r="I18" t="s">
        <v>71</v>
      </c>
      <c r="J18" t="s">
        <v>54</v>
      </c>
      <c r="K18" t="s">
        <v>71</v>
      </c>
      <c r="M18" t="s">
        <v>6</v>
      </c>
    </row>
    <row r="19" spans="2:13" hidden="1">
      <c r="B19">
        <v>17</v>
      </c>
      <c r="C19">
        <v>4</v>
      </c>
      <c r="D19">
        <v>4</v>
      </c>
      <c r="E19">
        <v>1</v>
      </c>
      <c r="F19">
        <v>0</v>
      </c>
      <c r="G19" t="s">
        <v>8</v>
      </c>
      <c r="H19" t="s">
        <v>52</v>
      </c>
      <c r="I19" t="s">
        <v>71</v>
      </c>
      <c r="J19" t="s">
        <v>55</v>
      </c>
      <c r="K19" t="s">
        <v>62</v>
      </c>
      <c r="M19" t="s">
        <v>6</v>
      </c>
    </row>
    <row r="20" spans="2:13" hidden="1">
      <c r="B20">
        <v>18</v>
      </c>
      <c r="C20">
        <v>4</v>
      </c>
      <c r="D20">
        <v>4</v>
      </c>
      <c r="E20">
        <v>2</v>
      </c>
      <c r="F20">
        <v>0</v>
      </c>
      <c r="G20" t="s">
        <v>8</v>
      </c>
      <c r="H20" t="s">
        <v>52</v>
      </c>
      <c r="I20" t="s">
        <v>71</v>
      </c>
      <c r="J20" t="s">
        <v>55</v>
      </c>
      <c r="K20" t="s">
        <v>63</v>
      </c>
      <c r="M20" t="s">
        <v>6</v>
      </c>
    </row>
    <row r="21" spans="2:13" hidden="1">
      <c r="B21">
        <v>19</v>
      </c>
      <c r="C21">
        <v>4</v>
      </c>
      <c r="D21">
        <v>4</v>
      </c>
      <c r="E21">
        <v>3</v>
      </c>
      <c r="F21">
        <v>0</v>
      </c>
      <c r="G21" t="s">
        <v>8</v>
      </c>
      <c r="H21" t="s">
        <v>52</v>
      </c>
      <c r="I21" t="s">
        <v>71</v>
      </c>
      <c r="J21" t="s">
        <v>64</v>
      </c>
      <c r="K21" t="s">
        <v>65</v>
      </c>
      <c r="M21" t="s">
        <v>6</v>
      </c>
    </row>
    <row r="22" spans="2:13" hidden="1">
      <c r="B22">
        <v>20</v>
      </c>
      <c r="C22">
        <v>4</v>
      </c>
      <c r="D22">
        <v>4</v>
      </c>
      <c r="E22">
        <v>4</v>
      </c>
      <c r="F22">
        <v>0</v>
      </c>
      <c r="G22" t="s">
        <v>8</v>
      </c>
      <c r="H22" t="s">
        <v>52</v>
      </c>
      <c r="I22" t="s">
        <v>71</v>
      </c>
      <c r="J22" t="s">
        <v>55</v>
      </c>
      <c r="K22" t="s">
        <v>72</v>
      </c>
      <c r="M22" t="s">
        <v>6</v>
      </c>
    </row>
    <row r="23" spans="2:13" hidden="1">
      <c r="B23">
        <v>21</v>
      </c>
      <c r="C23">
        <v>5</v>
      </c>
      <c r="D23">
        <v>4</v>
      </c>
      <c r="E23">
        <v>0</v>
      </c>
      <c r="F23">
        <v>0</v>
      </c>
      <c r="G23" t="s">
        <v>8</v>
      </c>
      <c r="H23" t="s">
        <v>52</v>
      </c>
      <c r="I23" t="s">
        <v>73</v>
      </c>
      <c r="J23" t="s">
        <v>54</v>
      </c>
      <c r="K23" t="s">
        <v>73</v>
      </c>
      <c r="M23" t="s">
        <v>6</v>
      </c>
    </row>
    <row r="24" spans="2:13" hidden="1">
      <c r="B24">
        <v>22</v>
      </c>
      <c r="C24">
        <v>5</v>
      </c>
      <c r="D24">
        <v>4</v>
      </c>
      <c r="E24">
        <v>1</v>
      </c>
      <c r="F24">
        <v>0</v>
      </c>
      <c r="G24" t="s">
        <v>8</v>
      </c>
      <c r="H24" t="s">
        <v>52</v>
      </c>
      <c r="I24" t="s">
        <v>73</v>
      </c>
      <c r="J24" t="s">
        <v>55</v>
      </c>
      <c r="K24" t="s">
        <v>62</v>
      </c>
      <c r="M24" t="s">
        <v>6</v>
      </c>
    </row>
    <row r="25" spans="2:13" hidden="1">
      <c r="B25">
        <v>23</v>
      </c>
      <c r="C25">
        <v>5</v>
      </c>
      <c r="D25">
        <v>4</v>
      </c>
      <c r="E25">
        <v>2</v>
      </c>
      <c r="F25">
        <v>0</v>
      </c>
      <c r="G25" t="s">
        <v>8</v>
      </c>
      <c r="H25" t="s">
        <v>52</v>
      </c>
      <c r="I25" t="s">
        <v>73</v>
      </c>
      <c r="J25" t="s">
        <v>55</v>
      </c>
      <c r="K25" t="s">
        <v>63</v>
      </c>
      <c r="M25" t="s">
        <v>6</v>
      </c>
    </row>
    <row r="26" spans="2:13" hidden="1">
      <c r="B26">
        <v>24</v>
      </c>
      <c r="C26">
        <v>5</v>
      </c>
      <c r="D26">
        <v>4</v>
      </c>
      <c r="E26">
        <v>3</v>
      </c>
      <c r="F26">
        <v>0</v>
      </c>
      <c r="G26" t="s">
        <v>8</v>
      </c>
      <c r="H26" t="s">
        <v>52</v>
      </c>
      <c r="I26" t="s">
        <v>73</v>
      </c>
      <c r="J26" t="s">
        <v>64</v>
      </c>
      <c r="K26" t="s">
        <v>65</v>
      </c>
      <c r="M26" t="s">
        <v>6</v>
      </c>
    </row>
    <row r="27" spans="2:13" hidden="1">
      <c r="B27">
        <v>25</v>
      </c>
      <c r="C27">
        <v>5</v>
      </c>
      <c r="D27">
        <v>4</v>
      </c>
      <c r="E27">
        <v>4</v>
      </c>
      <c r="F27">
        <v>0</v>
      </c>
      <c r="G27" t="s">
        <v>8</v>
      </c>
      <c r="H27" t="s">
        <v>52</v>
      </c>
      <c r="I27" t="s">
        <v>73</v>
      </c>
      <c r="J27" t="s">
        <v>55</v>
      </c>
      <c r="K27" t="s">
        <v>66</v>
      </c>
      <c r="M27" t="s">
        <v>6</v>
      </c>
    </row>
    <row r="28" spans="2:13" hidden="1">
      <c r="B28">
        <v>26</v>
      </c>
      <c r="C28">
        <v>6</v>
      </c>
      <c r="D28">
        <v>4</v>
      </c>
      <c r="E28">
        <v>0</v>
      </c>
      <c r="F28">
        <v>0</v>
      </c>
      <c r="G28" t="s">
        <v>8</v>
      </c>
      <c r="H28" t="s">
        <v>52</v>
      </c>
      <c r="I28" t="s">
        <v>74</v>
      </c>
      <c r="J28" t="s">
        <v>54</v>
      </c>
      <c r="K28" t="s">
        <v>74</v>
      </c>
      <c r="M28" t="s">
        <v>6</v>
      </c>
    </row>
    <row r="29" spans="2:13" hidden="1">
      <c r="B29">
        <v>27</v>
      </c>
      <c r="C29">
        <v>6</v>
      </c>
      <c r="D29">
        <v>4</v>
      </c>
      <c r="E29">
        <v>1</v>
      </c>
      <c r="F29">
        <v>0</v>
      </c>
      <c r="G29" t="s">
        <v>8</v>
      </c>
      <c r="H29" t="s">
        <v>52</v>
      </c>
      <c r="I29" t="s">
        <v>74</v>
      </c>
      <c r="J29" t="s">
        <v>55</v>
      </c>
      <c r="K29" t="s">
        <v>62</v>
      </c>
      <c r="M29" t="s">
        <v>6</v>
      </c>
    </row>
    <row r="30" spans="2:13" hidden="1">
      <c r="B30">
        <v>28</v>
      </c>
      <c r="C30">
        <v>6</v>
      </c>
      <c r="D30">
        <v>4</v>
      </c>
      <c r="E30">
        <v>2</v>
      </c>
      <c r="F30">
        <v>0</v>
      </c>
      <c r="G30" t="s">
        <v>8</v>
      </c>
      <c r="H30" t="s">
        <v>52</v>
      </c>
      <c r="I30" t="s">
        <v>74</v>
      </c>
      <c r="J30" t="s">
        <v>55</v>
      </c>
      <c r="K30" t="s">
        <v>63</v>
      </c>
      <c r="M30" t="s">
        <v>6</v>
      </c>
    </row>
    <row r="31" spans="2:13" hidden="1">
      <c r="B31">
        <v>29</v>
      </c>
      <c r="C31">
        <v>6</v>
      </c>
      <c r="D31">
        <v>4</v>
      </c>
      <c r="E31">
        <v>3</v>
      </c>
      <c r="F31">
        <v>0</v>
      </c>
      <c r="G31" t="s">
        <v>8</v>
      </c>
      <c r="H31" t="s">
        <v>52</v>
      </c>
      <c r="I31" t="s">
        <v>74</v>
      </c>
      <c r="J31" t="s">
        <v>64</v>
      </c>
      <c r="K31" t="s">
        <v>65</v>
      </c>
      <c r="M31" t="s">
        <v>6</v>
      </c>
    </row>
    <row r="32" spans="2:13" hidden="1">
      <c r="B32">
        <v>30</v>
      </c>
      <c r="C32">
        <v>6</v>
      </c>
      <c r="D32">
        <v>4</v>
      </c>
      <c r="E32">
        <v>4</v>
      </c>
      <c r="F32">
        <v>0</v>
      </c>
      <c r="G32" t="s">
        <v>8</v>
      </c>
      <c r="H32" t="s">
        <v>52</v>
      </c>
      <c r="I32" t="s">
        <v>74</v>
      </c>
      <c r="J32" t="s">
        <v>55</v>
      </c>
      <c r="K32" t="s">
        <v>75</v>
      </c>
      <c r="M32" t="s">
        <v>6</v>
      </c>
    </row>
    <row r="33" spans="2:13" hidden="1">
      <c r="B33">
        <v>31</v>
      </c>
      <c r="C33">
        <v>7</v>
      </c>
      <c r="D33">
        <v>4</v>
      </c>
      <c r="E33">
        <v>0</v>
      </c>
      <c r="F33">
        <v>0</v>
      </c>
      <c r="G33" t="s">
        <v>8</v>
      </c>
      <c r="H33" t="s">
        <v>52</v>
      </c>
      <c r="I33" t="s">
        <v>76</v>
      </c>
      <c r="J33" t="s">
        <v>54</v>
      </c>
      <c r="K33" t="s">
        <v>76</v>
      </c>
      <c r="M33" t="s">
        <v>6</v>
      </c>
    </row>
    <row r="34" spans="2:13" hidden="1">
      <c r="B34">
        <v>32</v>
      </c>
      <c r="C34">
        <v>7</v>
      </c>
      <c r="D34">
        <v>4</v>
      </c>
      <c r="E34">
        <v>1</v>
      </c>
      <c r="F34">
        <v>0</v>
      </c>
      <c r="G34" t="s">
        <v>8</v>
      </c>
      <c r="H34" t="s">
        <v>52</v>
      </c>
      <c r="I34" t="s">
        <v>76</v>
      </c>
      <c r="J34" t="s">
        <v>55</v>
      </c>
      <c r="K34" t="s">
        <v>62</v>
      </c>
      <c r="M34" t="s">
        <v>6</v>
      </c>
    </row>
    <row r="35" spans="2:13" hidden="1">
      <c r="B35">
        <v>33</v>
      </c>
      <c r="C35">
        <v>7</v>
      </c>
      <c r="D35">
        <v>4</v>
      </c>
      <c r="E35">
        <v>2</v>
      </c>
      <c r="F35">
        <v>0</v>
      </c>
      <c r="G35" t="s">
        <v>8</v>
      </c>
      <c r="H35" t="s">
        <v>52</v>
      </c>
      <c r="I35" t="s">
        <v>76</v>
      </c>
      <c r="J35" t="s">
        <v>55</v>
      </c>
      <c r="K35" t="s">
        <v>63</v>
      </c>
      <c r="M35" t="s">
        <v>6</v>
      </c>
    </row>
    <row r="36" spans="2:13" hidden="1">
      <c r="B36">
        <v>34</v>
      </c>
      <c r="C36">
        <v>7</v>
      </c>
      <c r="D36">
        <v>4</v>
      </c>
      <c r="E36">
        <v>3</v>
      </c>
      <c r="F36">
        <v>0</v>
      </c>
      <c r="G36" t="s">
        <v>8</v>
      </c>
      <c r="H36" t="s">
        <v>52</v>
      </c>
      <c r="I36" t="s">
        <v>76</v>
      </c>
      <c r="J36" t="s">
        <v>64</v>
      </c>
      <c r="K36" t="s">
        <v>65</v>
      </c>
      <c r="M36" t="s">
        <v>6</v>
      </c>
    </row>
    <row r="37" spans="2:13" hidden="1">
      <c r="B37">
        <v>35</v>
      </c>
      <c r="C37">
        <v>7</v>
      </c>
      <c r="D37">
        <v>4</v>
      </c>
      <c r="E37">
        <v>4</v>
      </c>
      <c r="F37">
        <v>0</v>
      </c>
      <c r="G37" t="s">
        <v>8</v>
      </c>
      <c r="H37" t="s">
        <v>52</v>
      </c>
      <c r="I37" t="s">
        <v>76</v>
      </c>
      <c r="J37" t="s">
        <v>55</v>
      </c>
      <c r="K37" t="s">
        <v>77</v>
      </c>
      <c r="M37" t="s">
        <v>6</v>
      </c>
    </row>
    <row r="38" spans="2:13" hidden="1">
      <c r="B38">
        <v>36</v>
      </c>
      <c r="C38">
        <v>8</v>
      </c>
      <c r="D38">
        <v>4</v>
      </c>
      <c r="E38">
        <v>0</v>
      </c>
      <c r="F38">
        <v>0</v>
      </c>
      <c r="G38" t="s">
        <v>8</v>
      </c>
      <c r="H38" t="s">
        <v>52</v>
      </c>
      <c r="I38" t="s">
        <v>78</v>
      </c>
      <c r="J38" t="s">
        <v>54</v>
      </c>
      <c r="K38" t="s">
        <v>78</v>
      </c>
      <c r="M38" t="s">
        <v>6</v>
      </c>
    </row>
    <row r="39" spans="2:13" hidden="1">
      <c r="B39">
        <v>37</v>
      </c>
      <c r="C39">
        <v>8</v>
      </c>
      <c r="D39">
        <v>4</v>
      </c>
      <c r="E39">
        <v>1</v>
      </c>
      <c r="F39">
        <v>0</v>
      </c>
      <c r="G39" t="s">
        <v>8</v>
      </c>
      <c r="H39" t="s">
        <v>52</v>
      </c>
      <c r="I39" t="s">
        <v>78</v>
      </c>
      <c r="J39" t="s">
        <v>55</v>
      </c>
      <c r="K39" t="s">
        <v>62</v>
      </c>
      <c r="M39" t="s">
        <v>6</v>
      </c>
    </row>
    <row r="40" spans="2:13" hidden="1">
      <c r="B40">
        <v>38</v>
      </c>
      <c r="C40">
        <v>8</v>
      </c>
      <c r="D40">
        <v>4</v>
      </c>
      <c r="E40">
        <v>2</v>
      </c>
      <c r="F40">
        <v>0</v>
      </c>
      <c r="G40" t="s">
        <v>8</v>
      </c>
      <c r="H40" t="s">
        <v>52</v>
      </c>
      <c r="I40" t="s">
        <v>78</v>
      </c>
      <c r="J40" t="s">
        <v>55</v>
      </c>
      <c r="K40" t="s">
        <v>63</v>
      </c>
      <c r="M40" t="s">
        <v>6</v>
      </c>
    </row>
    <row r="41" spans="2:13" hidden="1">
      <c r="B41">
        <v>39</v>
      </c>
      <c r="C41">
        <v>8</v>
      </c>
      <c r="D41">
        <v>4</v>
      </c>
      <c r="E41">
        <v>3</v>
      </c>
      <c r="F41">
        <v>0</v>
      </c>
      <c r="G41" t="s">
        <v>8</v>
      </c>
      <c r="H41" t="s">
        <v>52</v>
      </c>
      <c r="I41" t="s">
        <v>78</v>
      </c>
      <c r="J41" t="s">
        <v>64</v>
      </c>
      <c r="K41" t="s">
        <v>65</v>
      </c>
      <c r="M41" t="s">
        <v>6</v>
      </c>
    </row>
    <row r="42" spans="2:13" hidden="1">
      <c r="B42">
        <v>40</v>
      </c>
      <c r="C42">
        <v>8</v>
      </c>
      <c r="D42">
        <v>4</v>
      </c>
      <c r="E42">
        <v>4</v>
      </c>
      <c r="F42">
        <v>0</v>
      </c>
      <c r="G42" t="s">
        <v>8</v>
      </c>
      <c r="H42" t="s">
        <v>52</v>
      </c>
      <c r="I42" t="s">
        <v>78</v>
      </c>
      <c r="J42" t="s">
        <v>55</v>
      </c>
      <c r="K42" t="s">
        <v>79</v>
      </c>
      <c r="M42" t="s">
        <v>6</v>
      </c>
    </row>
    <row r="43" spans="2:13" hidden="1">
      <c r="B43">
        <v>41</v>
      </c>
      <c r="C43">
        <v>10</v>
      </c>
      <c r="D43">
        <v>4</v>
      </c>
      <c r="E43">
        <v>0</v>
      </c>
      <c r="F43">
        <v>0</v>
      </c>
      <c r="G43" t="s">
        <v>8</v>
      </c>
      <c r="H43" t="s">
        <v>52</v>
      </c>
      <c r="I43" t="s">
        <v>80</v>
      </c>
      <c r="J43" t="s">
        <v>54</v>
      </c>
      <c r="K43" t="s">
        <v>80</v>
      </c>
      <c r="M43" t="s">
        <v>6</v>
      </c>
    </row>
    <row r="44" spans="2:13" hidden="1">
      <c r="B44">
        <v>42</v>
      </c>
      <c r="C44">
        <v>10</v>
      </c>
      <c r="D44">
        <v>4</v>
      </c>
      <c r="E44">
        <v>1</v>
      </c>
      <c r="F44">
        <v>0</v>
      </c>
      <c r="G44" t="s">
        <v>8</v>
      </c>
      <c r="H44" t="s">
        <v>52</v>
      </c>
      <c r="I44" t="s">
        <v>80</v>
      </c>
      <c r="J44" t="s">
        <v>55</v>
      </c>
      <c r="K44" t="s">
        <v>62</v>
      </c>
      <c r="M44" t="s">
        <v>6</v>
      </c>
    </row>
    <row r="45" spans="2:13" hidden="1">
      <c r="B45">
        <v>43</v>
      </c>
      <c r="C45">
        <v>10</v>
      </c>
      <c r="D45">
        <v>4</v>
      </c>
      <c r="E45">
        <v>2</v>
      </c>
      <c r="F45">
        <v>0</v>
      </c>
      <c r="G45" t="s">
        <v>8</v>
      </c>
      <c r="H45" t="s">
        <v>52</v>
      </c>
      <c r="I45" t="s">
        <v>80</v>
      </c>
      <c r="J45" t="s">
        <v>55</v>
      </c>
      <c r="K45" t="s">
        <v>63</v>
      </c>
      <c r="M45" t="s">
        <v>6</v>
      </c>
    </row>
    <row r="46" spans="2:13" hidden="1">
      <c r="B46">
        <v>44</v>
      </c>
      <c r="C46">
        <v>10</v>
      </c>
      <c r="D46">
        <v>4</v>
      </c>
      <c r="E46">
        <v>3</v>
      </c>
      <c r="F46">
        <v>0</v>
      </c>
      <c r="G46" t="s">
        <v>8</v>
      </c>
      <c r="H46" t="s">
        <v>52</v>
      </c>
      <c r="I46" t="s">
        <v>80</v>
      </c>
      <c r="J46" t="s">
        <v>64</v>
      </c>
      <c r="K46" t="s">
        <v>65</v>
      </c>
      <c r="M46" t="s">
        <v>6</v>
      </c>
    </row>
    <row r="47" spans="2:13" hidden="1">
      <c r="B47">
        <v>45</v>
      </c>
      <c r="C47">
        <v>10</v>
      </c>
      <c r="D47">
        <v>4</v>
      </c>
      <c r="E47">
        <v>4</v>
      </c>
      <c r="F47">
        <v>0</v>
      </c>
      <c r="G47" t="s">
        <v>8</v>
      </c>
      <c r="H47" t="s">
        <v>52</v>
      </c>
      <c r="I47" t="s">
        <v>80</v>
      </c>
      <c r="J47" t="s">
        <v>55</v>
      </c>
      <c r="K47" t="s">
        <v>81</v>
      </c>
      <c r="M47" t="s">
        <v>6</v>
      </c>
    </row>
    <row r="48" spans="2:13" hidden="1">
      <c r="B48">
        <v>46</v>
      </c>
      <c r="C48">
        <v>11</v>
      </c>
      <c r="D48">
        <v>4</v>
      </c>
      <c r="E48">
        <v>0</v>
      </c>
      <c r="F48">
        <v>0</v>
      </c>
      <c r="G48" t="s">
        <v>8</v>
      </c>
      <c r="H48" t="s">
        <v>52</v>
      </c>
      <c r="I48" t="s">
        <v>82</v>
      </c>
      <c r="J48" t="s">
        <v>54</v>
      </c>
      <c r="K48" t="s">
        <v>82</v>
      </c>
      <c r="M48" t="s">
        <v>6</v>
      </c>
    </row>
    <row r="49" spans="2:13" hidden="1">
      <c r="B49">
        <v>47</v>
      </c>
      <c r="C49">
        <v>11</v>
      </c>
      <c r="D49">
        <v>4</v>
      </c>
      <c r="E49">
        <v>1</v>
      </c>
      <c r="F49">
        <v>0</v>
      </c>
      <c r="G49" t="s">
        <v>8</v>
      </c>
      <c r="H49" t="s">
        <v>52</v>
      </c>
      <c r="I49" t="s">
        <v>82</v>
      </c>
      <c r="J49" t="s">
        <v>55</v>
      </c>
      <c r="K49" t="s">
        <v>62</v>
      </c>
      <c r="M49" t="s">
        <v>6</v>
      </c>
    </row>
    <row r="50" spans="2:13" hidden="1">
      <c r="B50">
        <v>48</v>
      </c>
      <c r="C50">
        <v>11</v>
      </c>
      <c r="D50">
        <v>4</v>
      </c>
      <c r="E50">
        <v>2</v>
      </c>
      <c r="F50">
        <v>0</v>
      </c>
      <c r="G50" t="s">
        <v>8</v>
      </c>
      <c r="H50" t="s">
        <v>52</v>
      </c>
      <c r="I50" t="s">
        <v>82</v>
      </c>
      <c r="J50" t="s">
        <v>55</v>
      </c>
      <c r="K50" t="s">
        <v>63</v>
      </c>
      <c r="M50" t="s">
        <v>6</v>
      </c>
    </row>
    <row r="51" spans="2:13" hidden="1">
      <c r="B51">
        <v>49</v>
      </c>
      <c r="C51">
        <v>11</v>
      </c>
      <c r="D51">
        <v>4</v>
      </c>
      <c r="E51">
        <v>3</v>
      </c>
      <c r="F51">
        <v>0</v>
      </c>
      <c r="G51" t="s">
        <v>8</v>
      </c>
      <c r="H51" t="s">
        <v>52</v>
      </c>
      <c r="I51" t="s">
        <v>82</v>
      </c>
      <c r="J51" t="s">
        <v>64</v>
      </c>
      <c r="K51" t="s">
        <v>65</v>
      </c>
      <c r="M51" t="s">
        <v>6</v>
      </c>
    </row>
    <row r="52" spans="2:13" hidden="1">
      <c r="B52">
        <v>50</v>
      </c>
      <c r="C52">
        <v>11</v>
      </c>
      <c r="D52">
        <v>4</v>
      </c>
      <c r="E52">
        <v>4</v>
      </c>
      <c r="F52">
        <v>0</v>
      </c>
      <c r="G52" t="s">
        <v>8</v>
      </c>
      <c r="H52" t="s">
        <v>52</v>
      </c>
      <c r="I52" t="s">
        <v>82</v>
      </c>
      <c r="J52" t="s">
        <v>55</v>
      </c>
      <c r="K52" t="s">
        <v>83</v>
      </c>
      <c r="M52" t="s">
        <v>6</v>
      </c>
    </row>
    <row r="53" spans="2:13" hidden="1">
      <c r="B53">
        <v>51</v>
      </c>
      <c r="C53">
        <v>12</v>
      </c>
      <c r="D53">
        <v>11</v>
      </c>
      <c r="E53">
        <v>0</v>
      </c>
      <c r="F53">
        <v>0</v>
      </c>
      <c r="G53" t="s">
        <v>8</v>
      </c>
      <c r="H53" t="s">
        <v>9</v>
      </c>
      <c r="I53" t="s">
        <v>84</v>
      </c>
      <c r="J53" t="s">
        <v>54</v>
      </c>
      <c r="K53" t="s">
        <v>84</v>
      </c>
      <c r="M53" t="s">
        <v>6</v>
      </c>
    </row>
    <row r="54" spans="2:13" hidden="1">
      <c r="B54">
        <v>52</v>
      </c>
      <c r="C54">
        <v>12</v>
      </c>
      <c r="D54">
        <v>11</v>
      </c>
      <c r="E54">
        <v>1</v>
      </c>
      <c r="F54">
        <v>0</v>
      </c>
      <c r="G54" t="s">
        <v>8</v>
      </c>
      <c r="H54" t="s">
        <v>9</v>
      </c>
      <c r="I54" t="s">
        <v>84</v>
      </c>
      <c r="J54" t="s">
        <v>55</v>
      </c>
      <c r="K54" t="s">
        <v>85</v>
      </c>
      <c r="M54" t="s">
        <v>6</v>
      </c>
    </row>
    <row r="55" spans="2:13" hidden="1">
      <c r="B55">
        <v>53</v>
      </c>
      <c r="C55">
        <v>12</v>
      </c>
      <c r="D55">
        <v>11</v>
      </c>
      <c r="E55">
        <v>2</v>
      </c>
      <c r="F55">
        <v>0</v>
      </c>
      <c r="G55" t="s">
        <v>8</v>
      </c>
      <c r="H55" t="s">
        <v>9</v>
      </c>
      <c r="I55" t="s">
        <v>84</v>
      </c>
      <c r="J55" t="s">
        <v>55</v>
      </c>
      <c r="K55" t="s">
        <v>86</v>
      </c>
      <c r="M55" t="s">
        <v>6</v>
      </c>
    </row>
    <row r="56" spans="2:13" hidden="1">
      <c r="B56">
        <v>54</v>
      </c>
      <c r="C56">
        <v>12</v>
      </c>
      <c r="D56">
        <v>11</v>
      </c>
      <c r="E56">
        <v>3</v>
      </c>
      <c r="F56">
        <v>0</v>
      </c>
      <c r="G56" t="s">
        <v>8</v>
      </c>
      <c r="H56" t="s">
        <v>9</v>
      </c>
      <c r="I56" t="s">
        <v>84</v>
      </c>
      <c r="J56" t="s">
        <v>55</v>
      </c>
      <c r="K56" t="s">
        <v>87</v>
      </c>
      <c r="M56" t="s">
        <v>6</v>
      </c>
    </row>
    <row r="57" spans="2:13" hidden="1">
      <c r="B57">
        <v>55</v>
      </c>
      <c r="C57">
        <v>12</v>
      </c>
      <c r="D57">
        <v>11</v>
      </c>
      <c r="E57">
        <v>4</v>
      </c>
      <c r="F57">
        <v>0</v>
      </c>
      <c r="G57" t="s">
        <v>8</v>
      </c>
      <c r="H57" t="s">
        <v>9</v>
      </c>
      <c r="I57" t="s">
        <v>84</v>
      </c>
      <c r="J57" t="s">
        <v>55</v>
      </c>
      <c r="K57" t="s">
        <v>88</v>
      </c>
      <c r="M57" t="s">
        <v>6</v>
      </c>
    </row>
    <row r="58" spans="2:13" hidden="1">
      <c r="B58">
        <v>56</v>
      </c>
      <c r="C58">
        <v>12</v>
      </c>
      <c r="D58">
        <v>11</v>
      </c>
      <c r="E58">
        <v>5</v>
      </c>
      <c r="F58">
        <v>0</v>
      </c>
      <c r="G58" t="s">
        <v>8</v>
      </c>
      <c r="H58" t="s">
        <v>9</v>
      </c>
      <c r="I58" t="s">
        <v>84</v>
      </c>
      <c r="J58" t="s">
        <v>55</v>
      </c>
      <c r="K58" t="s">
        <v>89</v>
      </c>
      <c r="M58" t="s">
        <v>6</v>
      </c>
    </row>
    <row r="59" spans="2:13" hidden="1">
      <c r="B59">
        <v>57</v>
      </c>
      <c r="C59">
        <v>12</v>
      </c>
      <c r="D59">
        <v>11</v>
      </c>
      <c r="E59">
        <v>6</v>
      </c>
      <c r="F59">
        <v>0</v>
      </c>
      <c r="G59" t="s">
        <v>8</v>
      </c>
      <c r="H59" t="s">
        <v>9</v>
      </c>
      <c r="I59" t="s">
        <v>84</v>
      </c>
      <c r="J59" t="s">
        <v>55</v>
      </c>
      <c r="K59" t="s">
        <v>90</v>
      </c>
      <c r="M59" t="s">
        <v>6</v>
      </c>
    </row>
    <row r="60" spans="2:13" hidden="1">
      <c r="B60">
        <v>58</v>
      </c>
      <c r="C60">
        <v>12</v>
      </c>
      <c r="D60">
        <v>11</v>
      </c>
      <c r="E60">
        <v>7</v>
      </c>
      <c r="F60">
        <v>0</v>
      </c>
      <c r="G60" t="s">
        <v>8</v>
      </c>
      <c r="H60" t="s">
        <v>9</v>
      </c>
      <c r="I60" t="s">
        <v>84</v>
      </c>
      <c r="J60" t="s">
        <v>55</v>
      </c>
      <c r="K60" t="s">
        <v>91</v>
      </c>
      <c r="M60" t="s">
        <v>6</v>
      </c>
    </row>
    <row r="61" spans="2:13" hidden="1">
      <c r="B61">
        <v>59</v>
      </c>
      <c r="C61">
        <v>12</v>
      </c>
      <c r="D61">
        <v>11</v>
      </c>
      <c r="E61">
        <v>8</v>
      </c>
      <c r="F61">
        <v>0</v>
      </c>
      <c r="G61" t="s">
        <v>8</v>
      </c>
      <c r="H61" t="s">
        <v>9</v>
      </c>
      <c r="I61" t="s">
        <v>84</v>
      </c>
      <c r="J61" t="s">
        <v>55</v>
      </c>
      <c r="K61" t="s">
        <v>92</v>
      </c>
      <c r="M61" t="s">
        <v>6</v>
      </c>
    </row>
    <row r="62" spans="2:13" hidden="1">
      <c r="B62">
        <v>60</v>
      </c>
      <c r="C62">
        <v>12</v>
      </c>
      <c r="D62">
        <v>11</v>
      </c>
      <c r="E62">
        <v>9</v>
      </c>
      <c r="F62">
        <v>0</v>
      </c>
      <c r="G62" t="s">
        <v>8</v>
      </c>
      <c r="H62" t="s">
        <v>9</v>
      </c>
      <c r="I62" t="s">
        <v>84</v>
      </c>
      <c r="J62" t="s">
        <v>55</v>
      </c>
      <c r="K62" t="s">
        <v>66</v>
      </c>
      <c r="M62" t="s">
        <v>6</v>
      </c>
    </row>
    <row r="63" spans="2:13" hidden="1">
      <c r="B63">
        <v>61</v>
      </c>
      <c r="C63">
        <v>12</v>
      </c>
      <c r="D63">
        <v>11</v>
      </c>
      <c r="E63">
        <v>10</v>
      </c>
      <c r="F63">
        <v>0</v>
      </c>
      <c r="G63" t="s">
        <v>8</v>
      </c>
      <c r="H63" t="s">
        <v>9</v>
      </c>
      <c r="I63" t="s">
        <v>84</v>
      </c>
      <c r="J63" t="s">
        <v>55</v>
      </c>
      <c r="K63" t="s">
        <v>93</v>
      </c>
      <c r="M63" t="s">
        <v>6</v>
      </c>
    </row>
    <row r="64" spans="2:13" hidden="1">
      <c r="B64">
        <v>62</v>
      </c>
      <c r="C64">
        <v>12</v>
      </c>
      <c r="D64">
        <v>11</v>
      </c>
      <c r="E64">
        <v>11</v>
      </c>
      <c r="F64">
        <v>0</v>
      </c>
      <c r="G64" t="s">
        <v>8</v>
      </c>
      <c r="H64" t="s">
        <v>9</v>
      </c>
      <c r="I64" t="s">
        <v>84</v>
      </c>
      <c r="J64" t="s">
        <v>64</v>
      </c>
      <c r="K64" t="s">
        <v>94</v>
      </c>
      <c r="M64" t="s">
        <v>6</v>
      </c>
    </row>
    <row r="65" spans="2:13" hidden="1">
      <c r="B65">
        <v>63</v>
      </c>
      <c r="C65">
        <v>13</v>
      </c>
      <c r="D65">
        <v>11</v>
      </c>
      <c r="E65">
        <v>0</v>
      </c>
      <c r="F65">
        <v>0</v>
      </c>
      <c r="G65" t="s">
        <v>8</v>
      </c>
      <c r="H65" t="s">
        <v>9</v>
      </c>
      <c r="I65" t="s">
        <v>95</v>
      </c>
      <c r="J65" t="s">
        <v>54</v>
      </c>
      <c r="K65" t="s">
        <v>95</v>
      </c>
      <c r="M65" t="s">
        <v>6</v>
      </c>
    </row>
    <row r="66" spans="2:13" hidden="1">
      <c r="B66">
        <v>64</v>
      </c>
      <c r="C66">
        <v>13</v>
      </c>
      <c r="D66">
        <v>11</v>
      </c>
      <c r="E66">
        <v>1</v>
      </c>
      <c r="F66">
        <v>0</v>
      </c>
      <c r="G66" t="s">
        <v>8</v>
      </c>
      <c r="H66" t="s">
        <v>9</v>
      </c>
      <c r="I66" t="s">
        <v>95</v>
      </c>
      <c r="J66" t="s">
        <v>55</v>
      </c>
      <c r="K66" t="s">
        <v>96</v>
      </c>
      <c r="M66" t="s">
        <v>6</v>
      </c>
    </row>
    <row r="67" spans="2:13" hidden="1">
      <c r="B67">
        <v>65</v>
      </c>
      <c r="C67">
        <v>13</v>
      </c>
      <c r="D67">
        <v>11</v>
      </c>
      <c r="E67">
        <v>2</v>
      </c>
      <c r="F67">
        <v>0</v>
      </c>
      <c r="G67" t="s">
        <v>8</v>
      </c>
      <c r="H67" t="s">
        <v>9</v>
      </c>
      <c r="I67" t="s">
        <v>95</v>
      </c>
      <c r="J67" t="s">
        <v>55</v>
      </c>
      <c r="K67" t="s">
        <v>97</v>
      </c>
      <c r="M67" t="s">
        <v>6</v>
      </c>
    </row>
    <row r="68" spans="2:13" hidden="1">
      <c r="B68">
        <v>66</v>
      </c>
      <c r="C68">
        <v>13</v>
      </c>
      <c r="D68">
        <v>11</v>
      </c>
      <c r="E68">
        <v>3</v>
      </c>
      <c r="F68">
        <v>0</v>
      </c>
      <c r="G68" t="s">
        <v>8</v>
      </c>
      <c r="H68" t="s">
        <v>9</v>
      </c>
      <c r="I68" t="s">
        <v>95</v>
      </c>
      <c r="J68" t="s">
        <v>55</v>
      </c>
      <c r="K68" t="s">
        <v>98</v>
      </c>
      <c r="M68" t="s">
        <v>6</v>
      </c>
    </row>
    <row r="69" spans="2:13" hidden="1">
      <c r="B69">
        <v>67</v>
      </c>
      <c r="C69">
        <v>13</v>
      </c>
      <c r="D69">
        <v>11</v>
      </c>
      <c r="E69">
        <v>4</v>
      </c>
      <c r="F69">
        <v>0</v>
      </c>
      <c r="G69" t="s">
        <v>8</v>
      </c>
      <c r="H69" t="s">
        <v>9</v>
      </c>
      <c r="I69" t="s">
        <v>95</v>
      </c>
      <c r="J69" t="s">
        <v>99</v>
      </c>
      <c r="K69" t="s">
        <v>100</v>
      </c>
      <c r="M69" t="s">
        <v>6</v>
      </c>
    </row>
    <row r="70" spans="2:13" hidden="1">
      <c r="B70">
        <v>68</v>
      </c>
      <c r="C70">
        <v>13</v>
      </c>
      <c r="D70">
        <v>11</v>
      </c>
      <c r="E70">
        <v>5</v>
      </c>
      <c r="F70">
        <v>0</v>
      </c>
      <c r="G70" t="s">
        <v>8</v>
      </c>
      <c r="H70" t="s">
        <v>9</v>
      </c>
      <c r="I70" t="s">
        <v>95</v>
      </c>
      <c r="J70" t="s">
        <v>99</v>
      </c>
      <c r="K70" t="s">
        <v>101</v>
      </c>
      <c r="M70" t="s">
        <v>6</v>
      </c>
    </row>
    <row r="71" spans="2:13" hidden="1">
      <c r="B71">
        <v>69</v>
      </c>
      <c r="C71">
        <v>13</v>
      </c>
      <c r="D71">
        <v>11</v>
      </c>
      <c r="E71">
        <v>6</v>
      </c>
      <c r="F71">
        <v>0</v>
      </c>
      <c r="G71" t="s">
        <v>8</v>
      </c>
      <c r="H71" t="s">
        <v>9</v>
      </c>
      <c r="I71" t="s">
        <v>95</v>
      </c>
      <c r="J71" t="s">
        <v>99</v>
      </c>
      <c r="K71" t="s">
        <v>102</v>
      </c>
      <c r="M71" t="s">
        <v>6</v>
      </c>
    </row>
    <row r="72" spans="2:13" hidden="1">
      <c r="B72">
        <v>70</v>
      </c>
      <c r="C72">
        <v>13</v>
      </c>
      <c r="D72">
        <v>11</v>
      </c>
      <c r="E72">
        <v>7</v>
      </c>
      <c r="F72">
        <v>0</v>
      </c>
      <c r="G72" t="s">
        <v>8</v>
      </c>
      <c r="H72" t="s">
        <v>9</v>
      </c>
      <c r="I72" t="s">
        <v>95</v>
      </c>
      <c r="J72" t="s">
        <v>99</v>
      </c>
      <c r="K72" t="s">
        <v>103</v>
      </c>
      <c r="M72" t="s">
        <v>6</v>
      </c>
    </row>
    <row r="73" spans="2:13" hidden="1">
      <c r="B73">
        <v>71</v>
      </c>
      <c r="C73">
        <v>13</v>
      </c>
      <c r="D73">
        <v>11</v>
      </c>
      <c r="E73">
        <v>8</v>
      </c>
      <c r="F73">
        <v>0</v>
      </c>
      <c r="G73" t="s">
        <v>8</v>
      </c>
      <c r="H73" t="s">
        <v>9</v>
      </c>
      <c r="I73" t="s">
        <v>95</v>
      </c>
      <c r="J73" t="s">
        <v>55</v>
      </c>
      <c r="K73" t="s">
        <v>104</v>
      </c>
      <c r="M73" t="s">
        <v>6</v>
      </c>
    </row>
    <row r="74" spans="2:13" hidden="1">
      <c r="B74">
        <v>72</v>
      </c>
      <c r="C74">
        <v>13</v>
      </c>
      <c r="D74">
        <v>11</v>
      </c>
      <c r="E74">
        <v>9</v>
      </c>
      <c r="F74">
        <v>0</v>
      </c>
      <c r="G74" t="s">
        <v>8</v>
      </c>
      <c r="H74" t="s">
        <v>9</v>
      </c>
      <c r="I74" t="s">
        <v>95</v>
      </c>
      <c r="J74" t="s">
        <v>55</v>
      </c>
      <c r="K74" t="s">
        <v>105</v>
      </c>
      <c r="M74" t="s">
        <v>6</v>
      </c>
    </row>
    <row r="75" spans="2:13" hidden="1">
      <c r="B75">
        <v>73</v>
      </c>
      <c r="C75">
        <v>13</v>
      </c>
      <c r="D75">
        <v>11</v>
      </c>
      <c r="E75">
        <v>10</v>
      </c>
      <c r="F75">
        <v>0</v>
      </c>
      <c r="G75" t="s">
        <v>8</v>
      </c>
      <c r="H75" t="s">
        <v>9</v>
      </c>
      <c r="I75" t="s">
        <v>95</v>
      </c>
      <c r="J75" t="s">
        <v>55</v>
      </c>
      <c r="K75" t="s">
        <v>93</v>
      </c>
      <c r="M75" t="s">
        <v>6</v>
      </c>
    </row>
    <row r="76" spans="2:13" hidden="1">
      <c r="B76">
        <v>74</v>
      </c>
      <c r="C76">
        <v>13</v>
      </c>
      <c r="D76">
        <v>11</v>
      </c>
      <c r="E76">
        <v>11</v>
      </c>
      <c r="F76">
        <v>0</v>
      </c>
      <c r="G76" t="s">
        <v>8</v>
      </c>
      <c r="H76" t="s">
        <v>9</v>
      </c>
      <c r="I76" t="s">
        <v>95</v>
      </c>
      <c r="J76" t="s">
        <v>64</v>
      </c>
      <c r="K76" t="s">
        <v>94</v>
      </c>
      <c r="M76" t="s">
        <v>6</v>
      </c>
    </row>
    <row r="77" spans="2:13" hidden="1">
      <c r="B77">
        <v>75</v>
      </c>
      <c r="C77">
        <v>14</v>
      </c>
      <c r="D77">
        <v>20</v>
      </c>
      <c r="E77">
        <v>0</v>
      </c>
      <c r="F77">
        <v>0</v>
      </c>
      <c r="G77" t="s">
        <v>8</v>
      </c>
      <c r="H77" t="s">
        <v>9</v>
      </c>
      <c r="I77" t="s">
        <v>106</v>
      </c>
      <c r="J77" t="s">
        <v>54</v>
      </c>
      <c r="K77" t="s">
        <v>106</v>
      </c>
      <c r="M77" t="s">
        <v>6</v>
      </c>
    </row>
    <row r="78" spans="2:13" hidden="1">
      <c r="B78">
        <v>76</v>
      </c>
      <c r="C78">
        <v>14</v>
      </c>
      <c r="D78">
        <v>20</v>
      </c>
      <c r="E78">
        <v>1</v>
      </c>
      <c r="F78">
        <v>0</v>
      </c>
      <c r="G78" t="s">
        <v>8</v>
      </c>
      <c r="H78" t="s">
        <v>9</v>
      </c>
      <c r="I78" t="s">
        <v>106</v>
      </c>
      <c r="J78" t="s">
        <v>55</v>
      </c>
      <c r="K78" t="s">
        <v>107</v>
      </c>
      <c r="M78" t="s">
        <v>6</v>
      </c>
    </row>
    <row r="79" spans="2:13" hidden="1">
      <c r="B79">
        <v>77</v>
      </c>
      <c r="C79">
        <v>14</v>
      </c>
      <c r="D79">
        <v>20</v>
      </c>
      <c r="E79">
        <v>2</v>
      </c>
      <c r="F79">
        <v>0</v>
      </c>
      <c r="G79" t="s">
        <v>8</v>
      </c>
      <c r="H79" t="s">
        <v>9</v>
      </c>
      <c r="I79" t="s">
        <v>106</v>
      </c>
      <c r="J79" t="s">
        <v>55</v>
      </c>
      <c r="K79" t="s">
        <v>108</v>
      </c>
      <c r="M79" t="s">
        <v>6</v>
      </c>
    </row>
    <row r="80" spans="2:13" hidden="1">
      <c r="B80">
        <v>78</v>
      </c>
      <c r="C80">
        <v>14</v>
      </c>
      <c r="D80">
        <v>20</v>
      </c>
      <c r="E80">
        <v>3</v>
      </c>
      <c r="F80">
        <v>0</v>
      </c>
      <c r="G80" t="s">
        <v>8</v>
      </c>
      <c r="H80" t="s">
        <v>9</v>
      </c>
      <c r="I80" t="s">
        <v>106</v>
      </c>
      <c r="J80" t="s">
        <v>55</v>
      </c>
      <c r="K80" t="s">
        <v>109</v>
      </c>
      <c r="M80" t="s">
        <v>6</v>
      </c>
    </row>
    <row r="81" spans="2:13" hidden="1">
      <c r="B81">
        <v>79</v>
      </c>
      <c r="C81">
        <v>14</v>
      </c>
      <c r="D81">
        <v>20</v>
      </c>
      <c r="E81">
        <v>4</v>
      </c>
      <c r="F81">
        <v>0</v>
      </c>
      <c r="G81" t="s">
        <v>8</v>
      </c>
      <c r="H81" t="s">
        <v>9</v>
      </c>
      <c r="I81" t="s">
        <v>106</v>
      </c>
      <c r="J81" t="s">
        <v>55</v>
      </c>
      <c r="K81" t="s">
        <v>110</v>
      </c>
      <c r="M81" t="s">
        <v>6</v>
      </c>
    </row>
    <row r="82" spans="2:13" hidden="1">
      <c r="B82">
        <v>80</v>
      </c>
      <c r="C82">
        <v>14</v>
      </c>
      <c r="D82">
        <v>20</v>
      </c>
      <c r="E82">
        <v>5</v>
      </c>
      <c r="F82">
        <v>0</v>
      </c>
      <c r="G82" t="s">
        <v>8</v>
      </c>
      <c r="H82" t="s">
        <v>9</v>
      </c>
      <c r="I82" t="s">
        <v>106</v>
      </c>
      <c r="J82" t="s">
        <v>55</v>
      </c>
      <c r="K82" t="s">
        <v>111</v>
      </c>
      <c r="M82" t="s">
        <v>6</v>
      </c>
    </row>
    <row r="83" spans="2:13" hidden="1">
      <c r="B83">
        <v>81</v>
      </c>
      <c r="C83">
        <v>14</v>
      </c>
      <c r="D83">
        <v>20</v>
      </c>
      <c r="E83">
        <v>6</v>
      </c>
      <c r="F83">
        <v>0</v>
      </c>
      <c r="G83" t="s">
        <v>8</v>
      </c>
      <c r="H83" t="s">
        <v>9</v>
      </c>
      <c r="I83" t="s">
        <v>106</v>
      </c>
      <c r="J83" t="s">
        <v>99</v>
      </c>
      <c r="K83" t="s">
        <v>112</v>
      </c>
      <c r="M83" t="s">
        <v>6</v>
      </c>
    </row>
    <row r="84" spans="2:13" hidden="1">
      <c r="B84">
        <v>82</v>
      </c>
      <c r="C84">
        <v>14</v>
      </c>
      <c r="D84">
        <v>20</v>
      </c>
      <c r="E84">
        <v>7</v>
      </c>
      <c r="F84">
        <v>0</v>
      </c>
      <c r="G84" t="s">
        <v>8</v>
      </c>
      <c r="H84" t="s">
        <v>9</v>
      </c>
      <c r="I84" t="s">
        <v>106</v>
      </c>
      <c r="J84" t="s">
        <v>99</v>
      </c>
      <c r="K84" t="s">
        <v>113</v>
      </c>
      <c r="M84" t="s">
        <v>6</v>
      </c>
    </row>
    <row r="85" spans="2:13" hidden="1">
      <c r="B85">
        <v>83</v>
      </c>
      <c r="C85">
        <v>14</v>
      </c>
      <c r="D85">
        <v>20</v>
      </c>
      <c r="E85">
        <v>8</v>
      </c>
      <c r="F85">
        <v>0</v>
      </c>
      <c r="G85" t="s">
        <v>8</v>
      </c>
      <c r="H85" t="s">
        <v>9</v>
      </c>
      <c r="I85" t="s">
        <v>106</v>
      </c>
      <c r="J85" t="s">
        <v>99</v>
      </c>
      <c r="K85" t="s">
        <v>114</v>
      </c>
      <c r="M85" t="s">
        <v>6</v>
      </c>
    </row>
    <row r="86" spans="2:13" hidden="1">
      <c r="B86">
        <v>84</v>
      </c>
      <c r="C86">
        <v>14</v>
      </c>
      <c r="D86">
        <v>20</v>
      </c>
      <c r="E86">
        <v>9</v>
      </c>
      <c r="F86">
        <v>0</v>
      </c>
      <c r="G86" t="s">
        <v>8</v>
      </c>
      <c r="H86" t="s">
        <v>9</v>
      </c>
      <c r="I86" t="s">
        <v>106</v>
      </c>
      <c r="J86" t="s">
        <v>55</v>
      </c>
      <c r="K86" t="s">
        <v>115</v>
      </c>
      <c r="M86" t="s">
        <v>6</v>
      </c>
    </row>
    <row r="87" spans="2:13" hidden="1">
      <c r="B87">
        <v>85</v>
      </c>
      <c r="C87">
        <v>14</v>
      </c>
      <c r="D87">
        <v>20</v>
      </c>
      <c r="E87">
        <v>10</v>
      </c>
      <c r="F87">
        <v>0</v>
      </c>
      <c r="G87" t="s">
        <v>8</v>
      </c>
      <c r="H87" t="s">
        <v>9</v>
      </c>
      <c r="I87" t="s">
        <v>106</v>
      </c>
      <c r="J87" t="s">
        <v>55</v>
      </c>
      <c r="K87" t="s">
        <v>116</v>
      </c>
      <c r="M87" t="s">
        <v>6</v>
      </c>
    </row>
    <row r="88" spans="2:13" hidden="1">
      <c r="B88">
        <v>86</v>
      </c>
      <c r="C88">
        <v>14</v>
      </c>
      <c r="D88">
        <v>20</v>
      </c>
      <c r="E88">
        <v>11</v>
      </c>
      <c r="F88">
        <v>0</v>
      </c>
      <c r="G88" t="s">
        <v>8</v>
      </c>
      <c r="H88" t="s">
        <v>9</v>
      </c>
      <c r="I88" t="s">
        <v>106</v>
      </c>
      <c r="J88" t="s">
        <v>55</v>
      </c>
      <c r="K88" t="s">
        <v>117</v>
      </c>
      <c r="M88" t="s">
        <v>6</v>
      </c>
    </row>
    <row r="89" spans="2:13" hidden="1">
      <c r="B89">
        <v>87</v>
      </c>
      <c r="C89">
        <v>14</v>
      </c>
      <c r="D89">
        <v>20</v>
      </c>
      <c r="E89">
        <v>12</v>
      </c>
      <c r="F89">
        <v>0</v>
      </c>
      <c r="G89" t="s">
        <v>8</v>
      </c>
      <c r="H89" t="s">
        <v>9</v>
      </c>
      <c r="I89" t="s">
        <v>106</v>
      </c>
      <c r="J89" t="s">
        <v>55</v>
      </c>
      <c r="K89" t="s">
        <v>118</v>
      </c>
      <c r="M89" t="s">
        <v>6</v>
      </c>
    </row>
    <row r="90" spans="2:13" hidden="1">
      <c r="B90">
        <v>88</v>
      </c>
      <c r="C90">
        <v>14</v>
      </c>
      <c r="D90">
        <v>20</v>
      </c>
      <c r="E90">
        <v>13</v>
      </c>
      <c r="F90">
        <v>0</v>
      </c>
      <c r="G90" t="s">
        <v>8</v>
      </c>
      <c r="H90" t="s">
        <v>9</v>
      </c>
      <c r="I90" t="s">
        <v>106</v>
      </c>
      <c r="J90" t="s">
        <v>55</v>
      </c>
      <c r="K90" t="s">
        <v>119</v>
      </c>
      <c r="M90" t="s">
        <v>6</v>
      </c>
    </row>
    <row r="91" spans="2:13" hidden="1">
      <c r="B91">
        <v>89</v>
      </c>
      <c r="C91">
        <v>14</v>
      </c>
      <c r="D91">
        <v>20</v>
      </c>
      <c r="E91">
        <v>14</v>
      </c>
      <c r="F91">
        <v>0</v>
      </c>
      <c r="G91" t="s">
        <v>8</v>
      </c>
      <c r="H91" t="s">
        <v>9</v>
      </c>
      <c r="I91" t="s">
        <v>106</v>
      </c>
      <c r="J91" t="s">
        <v>55</v>
      </c>
      <c r="K91" t="s">
        <v>120</v>
      </c>
      <c r="M91" t="s">
        <v>6</v>
      </c>
    </row>
    <row r="92" spans="2:13" hidden="1">
      <c r="B92">
        <v>90</v>
      </c>
      <c r="C92">
        <v>14</v>
      </c>
      <c r="D92">
        <v>20</v>
      </c>
      <c r="E92">
        <v>15</v>
      </c>
      <c r="F92">
        <v>0</v>
      </c>
      <c r="G92" t="s">
        <v>8</v>
      </c>
      <c r="H92" t="s">
        <v>9</v>
      </c>
      <c r="I92" t="s">
        <v>106</v>
      </c>
      <c r="J92" t="s">
        <v>121</v>
      </c>
      <c r="K92" t="s">
        <v>122</v>
      </c>
      <c r="M92" t="s">
        <v>6</v>
      </c>
    </row>
    <row r="93" spans="2:13" hidden="1">
      <c r="B93">
        <v>91</v>
      </c>
      <c r="C93">
        <v>14</v>
      </c>
      <c r="D93">
        <v>20</v>
      </c>
      <c r="E93">
        <v>16</v>
      </c>
      <c r="F93">
        <v>0</v>
      </c>
      <c r="G93" t="s">
        <v>8</v>
      </c>
      <c r="H93" t="s">
        <v>9</v>
      </c>
      <c r="I93" t="s">
        <v>106</v>
      </c>
      <c r="J93" t="s">
        <v>55</v>
      </c>
      <c r="K93" t="s">
        <v>123</v>
      </c>
      <c r="M93" t="s">
        <v>6</v>
      </c>
    </row>
    <row r="94" spans="2:13" hidden="1">
      <c r="B94">
        <v>92</v>
      </c>
      <c r="C94">
        <v>14</v>
      </c>
      <c r="D94">
        <v>20</v>
      </c>
      <c r="E94">
        <v>17</v>
      </c>
      <c r="F94">
        <v>0</v>
      </c>
      <c r="G94" t="s">
        <v>8</v>
      </c>
      <c r="H94" t="s">
        <v>9</v>
      </c>
      <c r="I94" t="s">
        <v>106</v>
      </c>
      <c r="J94" t="s">
        <v>55</v>
      </c>
      <c r="K94" t="s">
        <v>124</v>
      </c>
      <c r="M94" t="s">
        <v>6</v>
      </c>
    </row>
    <row r="95" spans="2:13" hidden="1">
      <c r="B95">
        <v>93</v>
      </c>
      <c r="C95">
        <v>14</v>
      </c>
      <c r="D95">
        <v>20</v>
      </c>
      <c r="E95">
        <v>18</v>
      </c>
      <c r="F95">
        <v>0</v>
      </c>
      <c r="G95" t="s">
        <v>8</v>
      </c>
      <c r="H95" t="s">
        <v>9</v>
      </c>
      <c r="I95" t="s">
        <v>106</v>
      </c>
      <c r="J95" t="s">
        <v>55</v>
      </c>
      <c r="K95" t="s">
        <v>125</v>
      </c>
      <c r="M95" t="s">
        <v>6</v>
      </c>
    </row>
    <row r="96" spans="2:13" hidden="1">
      <c r="B96">
        <v>94</v>
      </c>
      <c r="C96">
        <v>14</v>
      </c>
      <c r="D96">
        <v>20</v>
      </c>
      <c r="E96">
        <v>19</v>
      </c>
      <c r="F96">
        <v>0</v>
      </c>
      <c r="G96" t="s">
        <v>8</v>
      </c>
      <c r="H96" t="s">
        <v>9</v>
      </c>
      <c r="I96" t="s">
        <v>106</v>
      </c>
      <c r="J96" t="s">
        <v>55</v>
      </c>
      <c r="K96" t="s">
        <v>93</v>
      </c>
      <c r="M96" t="s">
        <v>6</v>
      </c>
    </row>
    <row r="97" spans="2:13" hidden="1">
      <c r="B97">
        <v>95</v>
      </c>
      <c r="C97">
        <v>14</v>
      </c>
      <c r="D97">
        <v>20</v>
      </c>
      <c r="E97">
        <v>20</v>
      </c>
      <c r="F97">
        <v>0</v>
      </c>
      <c r="G97" t="s">
        <v>8</v>
      </c>
      <c r="H97" t="s">
        <v>9</v>
      </c>
      <c r="I97" t="s">
        <v>106</v>
      </c>
      <c r="J97" t="s">
        <v>64</v>
      </c>
      <c r="K97" t="s">
        <v>94</v>
      </c>
      <c r="M97" t="s">
        <v>6</v>
      </c>
    </row>
    <row r="98" spans="2:13" hidden="1">
      <c r="B98">
        <v>96</v>
      </c>
      <c r="C98">
        <v>15</v>
      </c>
      <c r="D98">
        <v>7</v>
      </c>
      <c r="E98">
        <v>0</v>
      </c>
      <c r="F98">
        <v>0</v>
      </c>
      <c r="G98" t="s">
        <v>8</v>
      </c>
      <c r="H98" t="s">
        <v>9</v>
      </c>
      <c r="I98" t="s">
        <v>126</v>
      </c>
      <c r="J98" t="s">
        <v>54</v>
      </c>
      <c r="K98" t="s">
        <v>126</v>
      </c>
      <c r="M98" t="s">
        <v>6</v>
      </c>
    </row>
    <row r="99" spans="2:13" hidden="1">
      <c r="B99">
        <v>97</v>
      </c>
      <c r="C99">
        <v>15</v>
      </c>
      <c r="D99">
        <v>7</v>
      </c>
      <c r="E99">
        <v>1</v>
      </c>
      <c r="F99">
        <v>0</v>
      </c>
      <c r="G99" t="s">
        <v>8</v>
      </c>
      <c r="H99" t="s">
        <v>9</v>
      </c>
      <c r="I99" t="s">
        <v>126</v>
      </c>
      <c r="J99" t="s">
        <v>55</v>
      </c>
      <c r="K99" t="s">
        <v>127</v>
      </c>
      <c r="M99" t="s">
        <v>6</v>
      </c>
    </row>
    <row r="100" spans="2:13" hidden="1">
      <c r="B100">
        <v>98</v>
      </c>
      <c r="C100">
        <v>15</v>
      </c>
      <c r="D100">
        <v>7</v>
      </c>
      <c r="E100">
        <v>2</v>
      </c>
      <c r="F100">
        <v>0</v>
      </c>
      <c r="G100" t="s">
        <v>8</v>
      </c>
      <c r="H100" t="s">
        <v>9</v>
      </c>
      <c r="I100" t="s">
        <v>126</v>
      </c>
      <c r="J100" t="s">
        <v>55</v>
      </c>
      <c r="K100" t="s">
        <v>128</v>
      </c>
      <c r="M100" t="s">
        <v>6</v>
      </c>
    </row>
    <row r="101" spans="2:13" hidden="1">
      <c r="B101">
        <v>99</v>
      </c>
      <c r="C101">
        <v>15</v>
      </c>
      <c r="D101">
        <v>7</v>
      </c>
      <c r="E101">
        <v>3</v>
      </c>
      <c r="F101">
        <v>0</v>
      </c>
      <c r="G101" t="s">
        <v>8</v>
      </c>
      <c r="H101" t="s">
        <v>9</v>
      </c>
      <c r="I101" t="s">
        <v>126</v>
      </c>
      <c r="J101" t="s">
        <v>55</v>
      </c>
      <c r="K101" t="s">
        <v>129</v>
      </c>
      <c r="M101" t="s">
        <v>6</v>
      </c>
    </row>
    <row r="102" spans="2:13" hidden="1">
      <c r="B102">
        <v>100</v>
      </c>
      <c r="C102">
        <v>15</v>
      </c>
      <c r="D102">
        <v>7</v>
      </c>
      <c r="E102">
        <v>4</v>
      </c>
      <c r="F102">
        <v>0</v>
      </c>
      <c r="G102" t="s">
        <v>8</v>
      </c>
      <c r="H102" t="s">
        <v>9</v>
      </c>
      <c r="I102" t="s">
        <v>126</v>
      </c>
      <c r="J102" t="s">
        <v>55</v>
      </c>
      <c r="K102" t="s">
        <v>130</v>
      </c>
      <c r="M102" t="s">
        <v>6</v>
      </c>
    </row>
    <row r="103" spans="2:13" hidden="1">
      <c r="B103">
        <v>101</v>
      </c>
      <c r="C103">
        <v>15</v>
      </c>
      <c r="D103">
        <v>7</v>
      </c>
      <c r="E103">
        <v>5</v>
      </c>
      <c r="F103">
        <v>0</v>
      </c>
      <c r="G103" t="s">
        <v>8</v>
      </c>
      <c r="H103" t="s">
        <v>9</v>
      </c>
      <c r="I103" t="s">
        <v>126</v>
      </c>
      <c r="J103" t="s">
        <v>55</v>
      </c>
      <c r="K103" t="s">
        <v>131</v>
      </c>
      <c r="M103" t="s">
        <v>6</v>
      </c>
    </row>
    <row r="104" spans="2:13" hidden="1">
      <c r="B104">
        <v>102</v>
      </c>
      <c r="C104">
        <v>15</v>
      </c>
      <c r="D104">
        <v>7</v>
      </c>
      <c r="E104">
        <v>6</v>
      </c>
      <c r="F104">
        <v>0</v>
      </c>
      <c r="G104" t="s">
        <v>8</v>
      </c>
      <c r="H104" t="s">
        <v>9</v>
      </c>
      <c r="I104" t="s">
        <v>126</v>
      </c>
      <c r="J104" t="s">
        <v>55</v>
      </c>
      <c r="K104" t="s">
        <v>93</v>
      </c>
      <c r="M104" t="s">
        <v>6</v>
      </c>
    </row>
    <row r="105" spans="2:13" hidden="1">
      <c r="B105">
        <v>103</v>
      </c>
      <c r="C105">
        <v>15</v>
      </c>
      <c r="D105">
        <v>7</v>
      </c>
      <c r="E105">
        <v>7</v>
      </c>
      <c r="F105">
        <v>0</v>
      </c>
      <c r="G105" t="s">
        <v>8</v>
      </c>
      <c r="H105" t="s">
        <v>9</v>
      </c>
      <c r="I105" t="s">
        <v>126</v>
      </c>
      <c r="J105" t="s">
        <v>64</v>
      </c>
      <c r="K105" t="s">
        <v>94</v>
      </c>
      <c r="M105" t="s">
        <v>6</v>
      </c>
    </row>
    <row r="106" spans="2:13" hidden="1">
      <c r="B106">
        <v>104</v>
      </c>
      <c r="C106">
        <v>16</v>
      </c>
      <c r="D106">
        <v>12</v>
      </c>
      <c r="E106">
        <v>0</v>
      </c>
      <c r="F106">
        <v>0</v>
      </c>
      <c r="G106" t="s">
        <v>8</v>
      </c>
      <c r="H106" t="s">
        <v>9</v>
      </c>
      <c r="I106" t="s">
        <v>132</v>
      </c>
      <c r="J106" t="s">
        <v>54</v>
      </c>
      <c r="K106" t="s">
        <v>132</v>
      </c>
      <c r="M106" t="s">
        <v>6</v>
      </c>
    </row>
    <row r="107" spans="2:13" hidden="1">
      <c r="B107">
        <v>105</v>
      </c>
      <c r="C107">
        <v>16</v>
      </c>
      <c r="D107">
        <v>12</v>
      </c>
      <c r="E107">
        <v>1</v>
      </c>
      <c r="F107">
        <v>0</v>
      </c>
      <c r="G107" t="s">
        <v>8</v>
      </c>
      <c r="H107" t="s">
        <v>9</v>
      </c>
      <c r="I107" t="s">
        <v>132</v>
      </c>
      <c r="J107" t="s">
        <v>55</v>
      </c>
      <c r="K107" t="s">
        <v>127</v>
      </c>
      <c r="M107" t="s">
        <v>6</v>
      </c>
    </row>
    <row r="108" spans="2:13" hidden="1">
      <c r="B108">
        <v>106</v>
      </c>
      <c r="C108">
        <v>16</v>
      </c>
      <c r="D108">
        <v>12</v>
      </c>
      <c r="E108">
        <v>2</v>
      </c>
      <c r="F108">
        <v>0</v>
      </c>
      <c r="G108" t="s">
        <v>8</v>
      </c>
      <c r="H108" t="s">
        <v>9</v>
      </c>
      <c r="I108" t="s">
        <v>132</v>
      </c>
      <c r="J108" t="s">
        <v>55</v>
      </c>
      <c r="K108" t="s">
        <v>128</v>
      </c>
      <c r="M108" t="s">
        <v>6</v>
      </c>
    </row>
    <row r="109" spans="2:13" hidden="1">
      <c r="B109">
        <v>107</v>
      </c>
      <c r="C109">
        <v>16</v>
      </c>
      <c r="D109">
        <v>12</v>
      </c>
      <c r="E109">
        <v>3</v>
      </c>
      <c r="F109">
        <v>0</v>
      </c>
      <c r="G109" t="s">
        <v>8</v>
      </c>
      <c r="H109" t="s">
        <v>9</v>
      </c>
      <c r="I109" t="s">
        <v>132</v>
      </c>
      <c r="J109" t="s">
        <v>55</v>
      </c>
      <c r="K109" t="s">
        <v>129</v>
      </c>
      <c r="M109" t="s">
        <v>6</v>
      </c>
    </row>
    <row r="110" spans="2:13" hidden="1">
      <c r="B110">
        <v>108</v>
      </c>
      <c r="C110">
        <v>16</v>
      </c>
      <c r="D110">
        <v>12</v>
      </c>
      <c r="E110">
        <v>4</v>
      </c>
      <c r="F110">
        <v>0</v>
      </c>
      <c r="G110" t="s">
        <v>8</v>
      </c>
      <c r="H110" t="s">
        <v>9</v>
      </c>
      <c r="I110" t="s">
        <v>132</v>
      </c>
      <c r="J110" t="s">
        <v>55</v>
      </c>
      <c r="K110" t="s">
        <v>133</v>
      </c>
      <c r="M110" t="s">
        <v>6</v>
      </c>
    </row>
    <row r="111" spans="2:13" hidden="1">
      <c r="B111">
        <v>109</v>
      </c>
      <c r="C111">
        <v>16</v>
      </c>
      <c r="D111">
        <v>12</v>
      </c>
      <c r="E111">
        <v>5</v>
      </c>
      <c r="F111">
        <v>0</v>
      </c>
      <c r="G111" t="s">
        <v>8</v>
      </c>
      <c r="H111" t="s">
        <v>9</v>
      </c>
      <c r="I111" t="s">
        <v>132</v>
      </c>
      <c r="J111" t="s">
        <v>55</v>
      </c>
      <c r="K111" t="s">
        <v>134</v>
      </c>
      <c r="M111" t="s">
        <v>6</v>
      </c>
    </row>
    <row r="112" spans="2:13" hidden="1">
      <c r="B112">
        <v>110</v>
      </c>
      <c r="C112">
        <v>16</v>
      </c>
      <c r="D112">
        <v>12</v>
      </c>
      <c r="E112">
        <v>6</v>
      </c>
      <c r="F112">
        <v>0</v>
      </c>
      <c r="G112" t="s">
        <v>8</v>
      </c>
      <c r="H112" t="s">
        <v>9</v>
      </c>
      <c r="I112" t="s">
        <v>132</v>
      </c>
      <c r="J112" t="s">
        <v>55</v>
      </c>
      <c r="K112" t="s">
        <v>135</v>
      </c>
      <c r="M112" t="s">
        <v>6</v>
      </c>
    </row>
    <row r="113" spans="2:13" hidden="1">
      <c r="B113">
        <v>111</v>
      </c>
      <c r="C113">
        <v>16</v>
      </c>
      <c r="D113">
        <v>12</v>
      </c>
      <c r="E113">
        <v>7</v>
      </c>
      <c r="F113">
        <v>0</v>
      </c>
      <c r="G113" t="s">
        <v>8</v>
      </c>
      <c r="H113" t="s">
        <v>9</v>
      </c>
      <c r="I113" t="s">
        <v>132</v>
      </c>
      <c r="J113" t="s">
        <v>55</v>
      </c>
      <c r="K113" t="s">
        <v>136</v>
      </c>
      <c r="M113" t="s">
        <v>6</v>
      </c>
    </row>
    <row r="114" spans="2:13" hidden="1">
      <c r="B114">
        <v>112</v>
      </c>
      <c r="C114">
        <v>16</v>
      </c>
      <c r="D114">
        <v>12</v>
      </c>
      <c r="E114">
        <v>8</v>
      </c>
      <c r="F114">
        <v>0</v>
      </c>
      <c r="G114" t="s">
        <v>8</v>
      </c>
      <c r="H114" t="s">
        <v>9</v>
      </c>
      <c r="I114" t="s">
        <v>132</v>
      </c>
      <c r="J114" t="s">
        <v>55</v>
      </c>
      <c r="K114" t="s">
        <v>137</v>
      </c>
      <c r="M114" t="s">
        <v>6</v>
      </c>
    </row>
    <row r="115" spans="2:13" hidden="1">
      <c r="B115">
        <v>113</v>
      </c>
      <c r="C115">
        <v>16</v>
      </c>
      <c r="D115">
        <v>12</v>
      </c>
      <c r="E115">
        <v>9</v>
      </c>
      <c r="F115">
        <v>0</v>
      </c>
      <c r="G115" t="s">
        <v>8</v>
      </c>
      <c r="H115" t="s">
        <v>9</v>
      </c>
      <c r="I115" t="s">
        <v>132</v>
      </c>
      <c r="J115" t="s">
        <v>55</v>
      </c>
      <c r="K115" t="s">
        <v>138</v>
      </c>
      <c r="M115" t="s">
        <v>6</v>
      </c>
    </row>
    <row r="116" spans="2:13" hidden="1">
      <c r="B116">
        <v>114</v>
      </c>
      <c r="C116">
        <v>16</v>
      </c>
      <c r="D116">
        <v>12</v>
      </c>
      <c r="E116">
        <v>10</v>
      </c>
      <c r="F116">
        <v>0</v>
      </c>
      <c r="G116" t="s">
        <v>8</v>
      </c>
      <c r="H116" t="s">
        <v>9</v>
      </c>
      <c r="I116" t="s">
        <v>132</v>
      </c>
      <c r="J116" t="s">
        <v>55</v>
      </c>
      <c r="K116" t="s">
        <v>139</v>
      </c>
      <c r="M116" t="s">
        <v>6</v>
      </c>
    </row>
    <row r="117" spans="2:13" hidden="1">
      <c r="B117">
        <v>115</v>
      </c>
      <c r="C117">
        <v>16</v>
      </c>
      <c r="D117">
        <v>12</v>
      </c>
      <c r="E117">
        <v>11</v>
      </c>
      <c r="F117">
        <v>0</v>
      </c>
      <c r="G117" t="s">
        <v>8</v>
      </c>
      <c r="H117" t="s">
        <v>9</v>
      </c>
      <c r="I117" t="s">
        <v>132</v>
      </c>
      <c r="J117" t="s">
        <v>55</v>
      </c>
      <c r="K117" t="s">
        <v>93</v>
      </c>
      <c r="M117" t="s">
        <v>6</v>
      </c>
    </row>
    <row r="118" spans="2:13" hidden="1">
      <c r="B118">
        <v>116</v>
      </c>
      <c r="C118">
        <v>16</v>
      </c>
      <c r="D118">
        <v>12</v>
      </c>
      <c r="E118">
        <v>12</v>
      </c>
      <c r="F118">
        <v>0</v>
      </c>
      <c r="G118" t="s">
        <v>8</v>
      </c>
      <c r="H118" t="s">
        <v>9</v>
      </c>
      <c r="I118" t="s">
        <v>132</v>
      </c>
      <c r="J118" t="s">
        <v>64</v>
      </c>
      <c r="K118" t="s">
        <v>94</v>
      </c>
      <c r="M118" t="s">
        <v>6</v>
      </c>
    </row>
    <row r="119" spans="2:13" hidden="1">
      <c r="B119">
        <v>117</v>
      </c>
      <c r="C119">
        <v>20</v>
      </c>
      <c r="D119">
        <v>12</v>
      </c>
      <c r="E119">
        <v>0</v>
      </c>
      <c r="F119">
        <v>0</v>
      </c>
      <c r="G119" t="s">
        <v>8</v>
      </c>
      <c r="H119" t="s">
        <v>9</v>
      </c>
      <c r="I119" t="s">
        <v>140</v>
      </c>
      <c r="J119" t="s">
        <v>54</v>
      </c>
      <c r="K119" t="s">
        <v>140</v>
      </c>
      <c r="M119" t="s">
        <v>6</v>
      </c>
    </row>
    <row r="120" spans="2:13" hidden="1">
      <c r="B120">
        <v>118</v>
      </c>
      <c r="C120">
        <v>20</v>
      </c>
      <c r="D120">
        <v>12</v>
      </c>
      <c r="E120">
        <v>1</v>
      </c>
      <c r="F120">
        <v>0</v>
      </c>
      <c r="G120" t="s">
        <v>8</v>
      </c>
      <c r="H120" t="s">
        <v>9</v>
      </c>
      <c r="I120" t="s">
        <v>140</v>
      </c>
      <c r="J120" t="s">
        <v>55</v>
      </c>
      <c r="K120" t="s">
        <v>141</v>
      </c>
      <c r="M120" t="s">
        <v>6</v>
      </c>
    </row>
    <row r="121" spans="2:13" hidden="1">
      <c r="B121">
        <v>119</v>
      </c>
      <c r="C121">
        <v>20</v>
      </c>
      <c r="D121">
        <v>12</v>
      </c>
      <c r="E121">
        <v>2</v>
      </c>
      <c r="F121">
        <v>0</v>
      </c>
      <c r="G121" t="s">
        <v>8</v>
      </c>
      <c r="H121" t="s">
        <v>9</v>
      </c>
      <c r="I121" t="s">
        <v>140</v>
      </c>
      <c r="J121" t="s">
        <v>55</v>
      </c>
      <c r="K121" t="s">
        <v>142</v>
      </c>
      <c r="M121" t="s">
        <v>6</v>
      </c>
    </row>
    <row r="122" spans="2:13" hidden="1">
      <c r="B122">
        <v>120</v>
      </c>
      <c r="C122">
        <v>20</v>
      </c>
      <c r="D122">
        <v>12</v>
      </c>
      <c r="E122">
        <v>3</v>
      </c>
      <c r="F122">
        <v>0</v>
      </c>
      <c r="G122" t="s">
        <v>8</v>
      </c>
      <c r="H122" t="s">
        <v>9</v>
      </c>
      <c r="I122" t="s">
        <v>140</v>
      </c>
      <c r="J122" t="s">
        <v>55</v>
      </c>
      <c r="K122" t="s">
        <v>143</v>
      </c>
      <c r="M122" t="s">
        <v>6</v>
      </c>
    </row>
    <row r="123" spans="2:13" hidden="1">
      <c r="B123">
        <v>121</v>
      </c>
      <c r="C123">
        <v>20</v>
      </c>
      <c r="D123">
        <v>12</v>
      </c>
      <c r="E123">
        <v>4</v>
      </c>
      <c r="F123">
        <v>0</v>
      </c>
      <c r="G123" t="s">
        <v>8</v>
      </c>
      <c r="H123" t="s">
        <v>9</v>
      </c>
      <c r="I123" t="s">
        <v>140</v>
      </c>
      <c r="J123" t="s">
        <v>55</v>
      </c>
      <c r="K123" t="s">
        <v>144</v>
      </c>
      <c r="M123" t="s">
        <v>6</v>
      </c>
    </row>
    <row r="124" spans="2:13" hidden="1">
      <c r="B124">
        <v>122</v>
      </c>
      <c r="C124">
        <v>20</v>
      </c>
      <c r="D124">
        <v>12</v>
      </c>
      <c r="E124">
        <v>5</v>
      </c>
      <c r="F124">
        <v>0</v>
      </c>
      <c r="G124" t="s">
        <v>8</v>
      </c>
      <c r="H124" t="s">
        <v>9</v>
      </c>
      <c r="I124" t="s">
        <v>140</v>
      </c>
      <c r="J124" t="s">
        <v>55</v>
      </c>
      <c r="K124" t="s">
        <v>145</v>
      </c>
      <c r="M124" t="s">
        <v>6</v>
      </c>
    </row>
    <row r="125" spans="2:13" hidden="1">
      <c r="B125">
        <v>123</v>
      </c>
      <c r="C125">
        <v>20</v>
      </c>
      <c r="D125">
        <v>12</v>
      </c>
      <c r="E125">
        <v>6</v>
      </c>
      <c r="F125">
        <v>0</v>
      </c>
      <c r="G125" t="s">
        <v>8</v>
      </c>
      <c r="H125" t="s">
        <v>9</v>
      </c>
      <c r="I125" t="s">
        <v>140</v>
      </c>
      <c r="J125" t="s">
        <v>55</v>
      </c>
      <c r="K125" t="s">
        <v>146</v>
      </c>
      <c r="M125" t="s">
        <v>6</v>
      </c>
    </row>
    <row r="126" spans="2:13" hidden="1">
      <c r="B126">
        <v>124</v>
      </c>
      <c r="C126">
        <v>20</v>
      </c>
      <c r="D126">
        <v>12</v>
      </c>
      <c r="E126">
        <v>7</v>
      </c>
      <c r="F126">
        <v>0</v>
      </c>
      <c r="G126" t="s">
        <v>8</v>
      </c>
      <c r="H126" t="s">
        <v>9</v>
      </c>
      <c r="I126" t="s">
        <v>140</v>
      </c>
      <c r="J126" t="s">
        <v>55</v>
      </c>
      <c r="K126" t="s">
        <v>147</v>
      </c>
      <c r="M126" t="s">
        <v>6</v>
      </c>
    </row>
    <row r="127" spans="2:13" hidden="1">
      <c r="B127">
        <v>125</v>
      </c>
      <c r="C127">
        <v>20</v>
      </c>
      <c r="D127">
        <v>12</v>
      </c>
      <c r="E127">
        <v>8</v>
      </c>
      <c r="F127">
        <v>0</v>
      </c>
      <c r="G127" t="s">
        <v>8</v>
      </c>
      <c r="H127" t="s">
        <v>9</v>
      </c>
      <c r="I127" t="s">
        <v>140</v>
      </c>
      <c r="J127" t="s">
        <v>55</v>
      </c>
      <c r="K127" t="s">
        <v>148</v>
      </c>
      <c r="M127" t="s">
        <v>6</v>
      </c>
    </row>
    <row r="128" spans="2:13" hidden="1">
      <c r="B128">
        <v>126</v>
      </c>
      <c r="C128">
        <v>20</v>
      </c>
      <c r="D128">
        <v>12</v>
      </c>
      <c r="E128">
        <v>9</v>
      </c>
      <c r="F128">
        <v>0</v>
      </c>
      <c r="G128" t="s">
        <v>8</v>
      </c>
      <c r="H128" t="s">
        <v>9</v>
      </c>
      <c r="I128" t="s">
        <v>140</v>
      </c>
      <c r="J128" t="s">
        <v>55</v>
      </c>
      <c r="K128" t="s">
        <v>149</v>
      </c>
      <c r="M128" t="s">
        <v>6</v>
      </c>
    </row>
    <row r="129" spans="2:13" hidden="1">
      <c r="B129">
        <v>127</v>
      </c>
      <c r="C129">
        <v>20</v>
      </c>
      <c r="D129">
        <v>12</v>
      </c>
      <c r="E129">
        <v>10</v>
      </c>
      <c r="F129">
        <v>0</v>
      </c>
      <c r="G129" t="s">
        <v>8</v>
      </c>
      <c r="H129" t="s">
        <v>9</v>
      </c>
      <c r="I129" t="s">
        <v>140</v>
      </c>
      <c r="J129" t="s">
        <v>55</v>
      </c>
      <c r="K129" t="s">
        <v>150</v>
      </c>
      <c r="M129" t="s">
        <v>6</v>
      </c>
    </row>
    <row r="130" spans="2:13" hidden="1">
      <c r="B130">
        <v>128</v>
      </c>
      <c r="C130">
        <v>20</v>
      </c>
      <c r="D130">
        <v>12</v>
      </c>
      <c r="E130">
        <v>11</v>
      </c>
      <c r="F130">
        <v>0</v>
      </c>
      <c r="G130" t="s">
        <v>8</v>
      </c>
      <c r="H130" t="s">
        <v>9</v>
      </c>
      <c r="I130" t="s">
        <v>140</v>
      </c>
      <c r="J130" t="s">
        <v>55</v>
      </c>
      <c r="K130" t="s">
        <v>93</v>
      </c>
      <c r="M130" t="s">
        <v>6</v>
      </c>
    </row>
    <row r="131" spans="2:13" hidden="1">
      <c r="B131">
        <v>129</v>
      </c>
      <c r="C131">
        <v>20</v>
      </c>
      <c r="D131">
        <v>12</v>
      </c>
      <c r="E131">
        <v>12</v>
      </c>
      <c r="F131">
        <v>0</v>
      </c>
      <c r="G131" t="s">
        <v>8</v>
      </c>
      <c r="H131" t="s">
        <v>9</v>
      </c>
      <c r="I131" t="s">
        <v>140</v>
      </c>
      <c r="J131" t="s">
        <v>64</v>
      </c>
      <c r="K131" t="s">
        <v>94</v>
      </c>
      <c r="M131" t="s">
        <v>6</v>
      </c>
    </row>
    <row r="132" spans="2:13" hidden="1">
      <c r="B132">
        <v>130</v>
      </c>
      <c r="C132">
        <v>21</v>
      </c>
      <c r="D132">
        <v>7</v>
      </c>
      <c r="E132">
        <v>0</v>
      </c>
      <c r="F132">
        <v>0</v>
      </c>
      <c r="G132" t="s">
        <v>8</v>
      </c>
      <c r="H132" t="s">
        <v>9</v>
      </c>
      <c r="I132" t="s">
        <v>151</v>
      </c>
      <c r="J132" t="s">
        <v>54</v>
      </c>
      <c r="K132" t="s">
        <v>151</v>
      </c>
      <c r="M132" t="s">
        <v>6</v>
      </c>
    </row>
    <row r="133" spans="2:13" hidden="1">
      <c r="B133">
        <v>131</v>
      </c>
      <c r="C133">
        <v>21</v>
      </c>
      <c r="D133">
        <v>7</v>
      </c>
      <c r="E133">
        <v>1</v>
      </c>
      <c r="F133">
        <v>0</v>
      </c>
      <c r="G133" t="s">
        <v>8</v>
      </c>
      <c r="H133" t="s">
        <v>9</v>
      </c>
      <c r="I133" t="s">
        <v>151</v>
      </c>
      <c r="J133" t="s">
        <v>55</v>
      </c>
      <c r="K133" t="s">
        <v>127</v>
      </c>
      <c r="M133" t="s">
        <v>6</v>
      </c>
    </row>
    <row r="134" spans="2:13" hidden="1">
      <c r="B134">
        <v>132</v>
      </c>
      <c r="C134">
        <v>21</v>
      </c>
      <c r="D134">
        <v>7</v>
      </c>
      <c r="E134">
        <v>2</v>
      </c>
      <c r="F134">
        <v>0</v>
      </c>
      <c r="G134" t="s">
        <v>8</v>
      </c>
      <c r="H134" t="s">
        <v>9</v>
      </c>
      <c r="I134" t="s">
        <v>151</v>
      </c>
      <c r="J134" t="s">
        <v>55</v>
      </c>
      <c r="K134" t="s">
        <v>152</v>
      </c>
      <c r="M134" t="s">
        <v>6</v>
      </c>
    </row>
    <row r="135" spans="2:13" hidden="1">
      <c r="B135">
        <v>133</v>
      </c>
      <c r="C135">
        <v>21</v>
      </c>
      <c r="D135">
        <v>7</v>
      </c>
      <c r="E135">
        <v>3</v>
      </c>
      <c r="F135">
        <v>0</v>
      </c>
      <c r="G135" t="s">
        <v>8</v>
      </c>
      <c r="H135" t="s">
        <v>9</v>
      </c>
      <c r="I135" t="s">
        <v>151</v>
      </c>
      <c r="J135" t="s">
        <v>99</v>
      </c>
      <c r="K135" t="s">
        <v>153</v>
      </c>
      <c r="M135" t="s">
        <v>6</v>
      </c>
    </row>
    <row r="136" spans="2:13" hidden="1">
      <c r="B136">
        <v>134</v>
      </c>
      <c r="C136">
        <v>21</v>
      </c>
      <c r="D136">
        <v>7</v>
      </c>
      <c r="E136">
        <v>4</v>
      </c>
      <c r="F136">
        <v>0</v>
      </c>
      <c r="G136" t="s">
        <v>8</v>
      </c>
      <c r="H136" t="s">
        <v>9</v>
      </c>
      <c r="I136" t="s">
        <v>151</v>
      </c>
      <c r="J136" t="s">
        <v>99</v>
      </c>
      <c r="K136" t="s">
        <v>154</v>
      </c>
      <c r="M136" t="s">
        <v>6</v>
      </c>
    </row>
    <row r="137" spans="2:13" hidden="1">
      <c r="B137">
        <v>135</v>
      </c>
      <c r="C137">
        <v>21</v>
      </c>
      <c r="D137">
        <v>7</v>
      </c>
      <c r="E137">
        <v>5</v>
      </c>
      <c r="F137">
        <v>0</v>
      </c>
      <c r="G137" t="s">
        <v>8</v>
      </c>
      <c r="H137" t="s">
        <v>9</v>
      </c>
      <c r="I137" t="s">
        <v>151</v>
      </c>
      <c r="J137" t="s">
        <v>99</v>
      </c>
      <c r="K137" t="s">
        <v>155</v>
      </c>
      <c r="M137" t="s">
        <v>6</v>
      </c>
    </row>
    <row r="138" spans="2:13" hidden="1">
      <c r="B138">
        <v>136</v>
      </c>
      <c r="C138">
        <v>21</v>
      </c>
      <c r="D138">
        <v>7</v>
      </c>
      <c r="E138">
        <v>6</v>
      </c>
      <c r="F138">
        <v>0</v>
      </c>
      <c r="G138" t="s">
        <v>8</v>
      </c>
      <c r="H138" t="s">
        <v>9</v>
      </c>
      <c r="I138" t="s">
        <v>151</v>
      </c>
      <c r="J138" t="s">
        <v>55</v>
      </c>
      <c r="K138" t="s">
        <v>93</v>
      </c>
      <c r="M138" t="s">
        <v>6</v>
      </c>
    </row>
    <row r="139" spans="2:13" hidden="1">
      <c r="B139">
        <v>137</v>
      </c>
      <c r="C139">
        <v>21</v>
      </c>
      <c r="D139">
        <v>7</v>
      </c>
      <c r="E139">
        <v>7</v>
      </c>
      <c r="F139">
        <v>0</v>
      </c>
      <c r="G139" t="s">
        <v>8</v>
      </c>
      <c r="H139" t="s">
        <v>9</v>
      </c>
      <c r="I139" t="s">
        <v>151</v>
      </c>
      <c r="J139" t="s">
        <v>64</v>
      </c>
      <c r="K139" t="s">
        <v>94</v>
      </c>
      <c r="M139" t="s">
        <v>6</v>
      </c>
    </row>
    <row r="140" spans="2:13" hidden="1">
      <c r="B140">
        <v>138</v>
      </c>
      <c r="C140">
        <v>22</v>
      </c>
      <c r="D140">
        <v>9</v>
      </c>
      <c r="E140">
        <v>0</v>
      </c>
      <c r="F140">
        <v>0</v>
      </c>
      <c r="G140" t="s">
        <v>8</v>
      </c>
      <c r="H140" t="s">
        <v>9</v>
      </c>
      <c r="I140" t="s">
        <v>156</v>
      </c>
      <c r="J140" t="s">
        <v>54</v>
      </c>
      <c r="K140" t="s">
        <v>156</v>
      </c>
      <c r="M140" t="s">
        <v>6</v>
      </c>
    </row>
    <row r="141" spans="2:13" hidden="1">
      <c r="B141">
        <v>139</v>
      </c>
      <c r="C141">
        <v>22</v>
      </c>
      <c r="D141">
        <v>9</v>
      </c>
      <c r="E141">
        <v>1</v>
      </c>
      <c r="F141">
        <v>0</v>
      </c>
      <c r="G141" t="s">
        <v>8</v>
      </c>
      <c r="H141" t="s">
        <v>9</v>
      </c>
      <c r="I141" t="s">
        <v>156</v>
      </c>
      <c r="J141" t="s">
        <v>55</v>
      </c>
      <c r="K141" t="s">
        <v>128</v>
      </c>
      <c r="M141" t="s">
        <v>6</v>
      </c>
    </row>
    <row r="142" spans="2:13" hidden="1">
      <c r="B142">
        <v>140</v>
      </c>
      <c r="C142">
        <v>22</v>
      </c>
      <c r="D142">
        <v>9</v>
      </c>
      <c r="E142">
        <v>2</v>
      </c>
      <c r="F142">
        <v>0</v>
      </c>
      <c r="G142" t="s">
        <v>8</v>
      </c>
      <c r="H142" t="s">
        <v>9</v>
      </c>
      <c r="I142" t="s">
        <v>156</v>
      </c>
      <c r="J142" t="s">
        <v>55</v>
      </c>
      <c r="K142" t="s">
        <v>157</v>
      </c>
      <c r="M142" t="s">
        <v>6</v>
      </c>
    </row>
    <row r="143" spans="2:13" hidden="1">
      <c r="B143">
        <v>141</v>
      </c>
      <c r="C143">
        <v>22</v>
      </c>
      <c r="D143">
        <v>9</v>
      </c>
      <c r="E143">
        <v>3</v>
      </c>
      <c r="F143">
        <v>0</v>
      </c>
      <c r="G143" t="s">
        <v>8</v>
      </c>
      <c r="H143" t="s">
        <v>9</v>
      </c>
      <c r="I143" t="s">
        <v>156</v>
      </c>
      <c r="J143" t="s">
        <v>55</v>
      </c>
      <c r="K143" t="s">
        <v>158</v>
      </c>
      <c r="M143" t="s">
        <v>6</v>
      </c>
    </row>
    <row r="144" spans="2:13" hidden="1">
      <c r="B144">
        <v>142</v>
      </c>
      <c r="C144">
        <v>22</v>
      </c>
      <c r="D144">
        <v>9</v>
      </c>
      <c r="E144">
        <v>4</v>
      </c>
      <c r="F144">
        <v>0</v>
      </c>
      <c r="G144" t="s">
        <v>8</v>
      </c>
      <c r="H144" t="s">
        <v>9</v>
      </c>
      <c r="I144" t="s">
        <v>156</v>
      </c>
      <c r="J144" t="s">
        <v>55</v>
      </c>
      <c r="K144" t="s">
        <v>159</v>
      </c>
      <c r="M144" t="s">
        <v>6</v>
      </c>
    </row>
    <row r="145" spans="2:13" hidden="1">
      <c r="B145">
        <v>143</v>
      </c>
      <c r="C145">
        <v>22</v>
      </c>
      <c r="D145">
        <v>9</v>
      </c>
      <c r="E145">
        <v>5</v>
      </c>
      <c r="F145">
        <v>0</v>
      </c>
      <c r="G145" t="s">
        <v>8</v>
      </c>
      <c r="H145" t="s">
        <v>9</v>
      </c>
      <c r="I145" t="s">
        <v>156</v>
      </c>
      <c r="J145" t="s">
        <v>55</v>
      </c>
      <c r="K145" t="s">
        <v>160</v>
      </c>
      <c r="M145" t="s">
        <v>6</v>
      </c>
    </row>
    <row r="146" spans="2:13" hidden="1">
      <c r="B146">
        <v>144</v>
      </c>
      <c r="C146">
        <v>22</v>
      </c>
      <c r="D146">
        <v>9</v>
      </c>
      <c r="E146">
        <v>6</v>
      </c>
      <c r="F146">
        <v>0</v>
      </c>
      <c r="G146" t="s">
        <v>8</v>
      </c>
      <c r="H146" t="s">
        <v>9</v>
      </c>
      <c r="I146" t="s">
        <v>156</v>
      </c>
      <c r="J146" t="s">
        <v>55</v>
      </c>
      <c r="K146" t="s">
        <v>161</v>
      </c>
      <c r="M146" t="s">
        <v>6</v>
      </c>
    </row>
    <row r="147" spans="2:13" hidden="1">
      <c r="B147">
        <v>145</v>
      </c>
      <c r="C147">
        <v>22</v>
      </c>
      <c r="D147">
        <v>9</v>
      </c>
      <c r="E147">
        <v>7</v>
      </c>
      <c r="F147">
        <v>0</v>
      </c>
      <c r="G147" t="s">
        <v>8</v>
      </c>
      <c r="H147" t="s">
        <v>9</v>
      </c>
      <c r="I147" t="s">
        <v>156</v>
      </c>
      <c r="J147" t="s">
        <v>55</v>
      </c>
      <c r="K147" t="s">
        <v>139</v>
      </c>
      <c r="M147" t="s">
        <v>6</v>
      </c>
    </row>
    <row r="148" spans="2:13" hidden="1">
      <c r="B148">
        <v>146</v>
      </c>
      <c r="C148">
        <v>22</v>
      </c>
      <c r="D148">
        <v>9</v>
      </c>
      <c r="E148">
        <v>8</v>
      </c>
      <c r="F148">
        <v>0</v>
      </c>
      <c r="G148" t="s">
        <v>8</v>
      </c>
      <c r="H148" t="s">
        <v>9</v>
      </c>
      <c r="I148" t="s">
        <v>156</v>
      </c>
      <c r="J148" t="s">
        <v>55</v>
      </c>
      <c r="K148" t="s">
        <v>93</v>
      </c>
      <c r="M148" t="s">
        <v>6</v>
      </c>
    </row>
    <row r="149" spans="2:13" hidden="1">
      <c r="B149">
        <v>147</v>
      </c>
      <c r="C149">
        <v>22</v>
      </c>
      <c r="D149">
        <v>9</v>
      </c>
      <c r="E149">
        <v>9</v>
      </c>
      <c r="F149">
        <v>0</v>
      </c>
      <c r="G149" t="s">
        <v>8</v>
      </c>
      <c r="H149" t="s">
        <v>9</v>
      </c>
      <c r="I149" t="s">
        <v>156</v>
      </c>
      <c r="J149" t="s">
        <v>64</v>
      </c>
      <c r="K149" t="s">
        <v>94</v>
      </c>
      <c r="M149" t="s">
        <v>6</v>
      </c>
    </row>
    <row r="150" spans="2:13" hidden="1">
      <c r="B150">
        <v>148</v>
      </c>
      <c r="C150">
        <v>23</v>
      </c>
      <c r="D150">
        <v>8</v>
      </c>
      <c r="E150">
        <v>0</v>
      </c>
      <c r="F150">
        <v>0</v>
      </c>
      <c r="G150" t="s">
        <v>8</v>
      </c>
      <c r="H150" t="s">
        <v>9</v>
      </c>
      <c r="I150" t="s">
        <v>162</v>
      </c>
      <c r="J150" t="s">
        <v>54</v>
      </c>
      <c r="K150" t="s">
        <v>162</v>
      </c>
      <c r="M150" t="s">
        <v>6</v>
      </c>
    </row>
    <row r="151" spans="2:13" hidden="1">
      <c r="B151">
        <v>149</v>
      </c>
      <c r="C151">
        <v>23</v>
      </c>
      <c r="D151">
        <v>8</v>
      </c>
      <c r="E151">
        <v>1</v>
      </c>
      <c r="F151">
        <v>0</v>
      </c>
      <c r="G151" t="s">
        <v>8</v>
      </c>
      <c r="H151" t="s">
        <v>9</v>
      </c>
      <c r="I151" t="s">
        <v>162</v>
      </c>
      <c r="J151" t="s">
        <v>55</v>
      </c>
      <c r="K151" t="s">
        <v>128</v>
      </c>
      <c r="M151" t="s">
        <v>6</v>
      </c>
    </row>
    <row r="152" spans="2:13" hidden="1">
      <c r="B152">
        <v>150</v>
      </c>
      <c r="C152">
        <v>23</v>
      </c>
      <c r="D152">
        <v>8</v>
      </c>
      <c r="E152">
        <v>2</v>
      </c>
      <c r="F152">
        <v>0</v>
      </c>
      <c r="G152" t="s">
        <v>8</v>
      </c>
      <c r="H152" t="s">
        <v>9</v>
      </c>
      <c r="I152" t="s">
        <v>162</v>
      </c>
      <c r="J152" t="s">
        <v>55</v>
      </c>
      <c r="K152" t="s">
        <v>157</v>
      </c>
      <c r="M152" t="s">
        <v>6</v>
      </c>
    </row>
    <row r="153" spans="2:13" hidden="1">
      <c r="B153">
        <v>151</v>
      </c>
      <c r="C153">
        <v>23</v>
      </c>
      <c r="D153">
        <v>8</v>
      </c>
      <c r="E153">
        <v>3</v>
      </c>
      <c r="F153">
        <v>0</v>
      </c>
      <c r="G153" t="s">
        <v>8</v>
      </c>
      <c r="H153" t="s">
        <v>9</v>
      </c>
      <c r="I153" t="s">
        <v>162</v>
      </c>
      <c r="J153" t="s">
        <v>55</v>
      </c>
      <c r="K153" t="s">
        <v>158</v>
      </c>
      <c r="M153" t="s">
        <v>6</v>
      </c>
    </row>
    <row r="154" spans="2:13" hidden="1">
      <c r="B154">
        <v>152</v>
      </c>
      <c r="C154">
        <v>23</v>
      </c>
      <c r="D154">
        <v>8</v>
      </c>
      <c r="E154">
        <v>4</v>
      </c>
      <c r="F154">
        <v>0</v>
      </c>
      <c r="G154" t="s">
        <v>8</v>
      </c>
      <c r="H154" t="s">
        <v>9</v>
      </c>
      <c r="I154" t="s">
        <v>162</v>
      </c>
      <c r="J154" t="s">
        <v>55</v>
      </c>
      <c r="K154" t="s">
        <v>163</v>
      </c>
      <c r="M154" t="s">
        <v>6</v>
      </c>
    </row>
    <row r="155" spans="2:13" hidden="1">
      <c r="B155">
        <v>153</v>
      </c>
      <c r="C155">
        <v>23</v>
      </c>
      <c r="D155">
        <v>8</v>
      </c>
      <c r="E155">
        <v>5</v>
      </c>
      <c r="F155">
        <v>0</v>
      </c>
      <c r="G155" t="s">
        <v>8</v>
      </c>
      <c r="H155" t="s">
        <v>9</v>
      </c>
      <c r="I155" t="s">
        <v>162</v>
      </c>
      <c r="J155" t="s">
        <v>55</v>
      </c>
      <c r="K155" t="s">
        <v>161</v>
      </c>
      <c r="M155" t="s">
        <v>6</v>
      </c>
    </row>
    <row r="156" spans="2:13" hidden="1">
      <c r="B156">
        <v>154</v>
      </c>
      <c r="C156">
        <v>23</v>
      </c>
      <c r="D156">
        <v>8</v>
      </c>
      <c r="E156">
        <v>6</v>
      </c>
      <c r="F156">
        <v>0</v>
      </c>
      <c r="G156" t="s">
        <v>8</v>
      </c>
      <c r="H156" t="s">
        <v>9</v>
      </c>
      <c r="I156" t="s">
        <v>162</v>
      </c>
      <c r="J156" t="s">
        <v>55</v>
      </c>
      <c r="K156" t="s">
        <v>139</v>
      </c>
      <c r="M156" t="s">
        <v>6</v>
      </c>
    </row>
    <row r="157" spans="2:13" hidden="1">
      <c r="B157">
        <v>155</v>
      </c>
      <c r="C157">
        <v>23</v>
      </c>
      <c r="D157">
        <v>8</v>
      </c>
      <c r="E157">
        <v>7</v>
      </c>
      <c r="F157">
        <v>0</v>
      </c>
      <c r="G157" t="s">
        <v>8</v>
      </c>
      <c r="H157" t="s">
        <v>9</v>
      </c>
      <c r="I157" t="s">
        <v>162</v>
      </c>
      <c r="J157" t="s">
        <v>55</v>
      </c>
      <c r="K157" t="s">
        <v>93</v>
      </c>
      <c r="M157" t="s">
        <v>6</v>
      </c>
    </row>
    <row r="158" spans="2:13" hidden="1">
      <c r="B158">
        <v>156</v>
      </c>
      <c r="C158">
        <v>23</v>
      </c>
      <c r="D158">
        <v>8</v>
      </c>
      <c r="E158">
        <v>8</v>
      </c>
      <c r="F158">
        <v>0</v>
      </c>
      <c r="G158" t="s">
        <v>8</v>
      </c>
      <c r="H158" t="s">
        <v>9</v>
      </c>
      <c r="I158" t="s">
        <v>162</v>
      </c>
      <c r="J158" t="s">
        <v>64</v>
      </c>
      <c r="K158" t="s">
        <v>94</v>
      </c>
      <c r="M158" t="s">
        <v>6</v>
      </c>
    </row>
    <row r="159" spans="2:13" hidden="1">
      <c r="B159">
        <v>157</v>
      </c>
      <c r="C159">
        <v>24</v>
      </c>
      <c r="D159">
        <v>8</v>
      </c>
      <c r="E159">
        <v>0</v>
      </c>
      <c r="F159">
        <v>0</v>
      </c>
      <c r="G159" t="s">
        <v>8</v>
      </c>
      <c r="H159" t="s">
        <v>9</v>
      </c>
      <c r="I159" t="s">
        <v>164</v>
      </c>
      <c r="J159" t="s">
        <v>54</v>
      </c>
      <c r="K159" t="s">
        <v>164</v>
      </c>
      <c r="M159" t="s">
        <v>6</v>
      </c>
    </row>
    <row r="160" spans="2:13" hidden="1">
      <c r="B160">
        <v>158</v>
      </c>
      <c r="C160">
        <v>24</v>
      </c>
      <c r="D160">
        <v>8</v>
      </c>
      <c r="E160">
        <v>1</v>
      </c>
      <c r="F160">
        <v>0</v>
      </c>
      <c r="G160" t="s">
        <v>8</v>
      </c>
      <c r="H160" t="s">
        <v>9</v>
      </c>
      <c r="I160" t="s">
        <v>164</v>
      </c>
      <c r="J160" t="s">
        <v>55</v>
      </c>
      <c r="K160" t="s">
        <v>127</v>
      </c>
      <c r="M160" t="s">
        <v>6</v>
      </c>
    </row>
    <row r="161" spans="2:13" hidden="1">
      <c r="B161">
        <v>159</v>
      </c>
      <c r="C161">
        <v>24</v>
      </c>
      <c r="D161">
        <v>8</v>
      </c>
      <c r="E161">
        <v>2</v>
      </c>
      <c r="F161">
        <v>0</v>
      </c>
      <c r="G161" t="s">
        <v>8</v>
      </c>
      <c r="H161" t="s">
        <v>9</v>
      </c>
      <c r="I161" t="s">
        <v>164</v>
      </c>
      <c r="J161" t="s">
        <v>55</v>
      </c>
      <c r="K161" t="s">
        <v>165</v>
      </c>
      <c r="M161" t="s">
        <v>6</v>
      </c>
    </row>
    <row r="162" spans="2:13" hidden="1">
      <c r="B162">
        <v>160</v>
      </c>
      <c r="C162">
        <v>24</v>
      </c>
      <c r="D162">
        <v>8</v>
      </c>
      <c r="E162">
        <v>3</v>
      </c>
      <c r="F162">
        <v>0</v>
      </c>
      <c r="G162" t="s">
        <v>8</v>
      </c>
      <c r="H162" t="s">
        <v>9</v>
      </c>
      <c r="I162" t="s">
        <v>164</v>
      </c>
      <c r="J162" t="s">
        <v>55</v>
      </c>
      <c r="K162" t="s">
        <v>129</v>
      </c>
      <c r="M162" t="s">
        <v>6</v>
      </c>
    </row>
    <row r="163" spans="2:13" hidden="1">
      <c r="B163">
        <v>161</v>
      </c>
      <c r="C163">
        <v>24</v>
      </c>
      <c r="D163">
        <v>8</v>
      </c>
      <c r="E163">
        <v>4</v>
      </c>
      <c r="F163">
        <v>0</v>
      </c>
      <c r="G163" t="s">
        <v>8</v>
      </c>
      <c r="H163" t="s">
        <v>9</v>
      </c>
      <c r="I163" t="s">
        <v>164</v>
      </c>
      <c r="J163" t="s">
        <v>55</v>
      </c>
      <c r="K163" t="s">
        <v>166</v>
      </c>
      <c r="M163" t="s">
        <v>6</v>
      </c>
    </row>
    <row r="164" spans="2:13" hidden="1">
      <c r="B164">
        <v>162</v>
      </c>
      <c r="C164">
        <v>24</v>
      </c>
      <c r="D164">
        <v>8</v>
      </c>
      <c r="E164">
        <v>5</v>
      </c>
      <c r="F164">
        <v>0</v>
      </c>
      <c r="G164" t="s">
        <v>8</v>
      </c>
      <c r="H164" t="s">
        <v>9</v>
      </c>
      <c r="I164" t="s">
        <v>164</v>
      </c>
      <c r="J164" t="s">
        <v>55</v>
      </c>
      <c r="K164" t="s">
        <v>167</v>
      </c>
      <c r="M164" t="s">
        <v>6</v>
      </c>
    </row>
    <row r="165" spans="2:13" hidden="1">
      <c r="B165">
        <v>163</v>
      </c>
      <c r="C165">
        <v>24</v>
      </c>
      <c r="D165">
        <v>8</v>
      </c>
      <c r="E165">
        <v>6</v>
      </c>
      <c r="F165">
        <v>0</v>
      </c>
      <c r="G165" t="s">
        <v>8</v>
      </c>
      <c r="H165" t="s">
        <v>9</v>
      </c>
      <c r="I165" t="s">
        <v>164</v>
      </c>
      <c r="J165" t="s">
        <v>55</v>
      </c>
      <c r="K165" t="s">
        <v>147</v>
      </c>
      <c r="M165" t="s">
        <v>6</v>
      </c>
    </row>
    <row r="166" spans="2:13" hidden="1">
      <c r="B166">
        <v>164</v>
      </c>
      <c r="C166">
        <v>24</v>
      </c>
      <c r="D166">
        <v>8</v>
      </c>
      <c r="E166">
        <v>7</v>
      </c>
      <c r="F166">
        <v>0</v>
      </c>
      <c r="G166" t="s">
        <v>8</v>
      </c>
      <c r="H166" t="s">
        <v>9</v>
      </c>
      <c r="I166" t="s">
        <v>164</v>
      </c>
      <c r="J166" t="s">
        <v>55</v>
      </c>
      <c r="K166" t="s">
        <v>93</v>
      </c>
      <c r="M166" t="s">
        <v>6</v>
      </c>
    </row>
    <row r="167" spans="2:13" hidden="1">
      <c r="B167">
        <v>165</v>
      </c>
      <c r="C167">
        <v>24</v>
      </c>
      <c r="D167">
        <v>8</v>
      </c>
      <c r="E167">
        <v>8</v>
      </c>
      <c r="F167">
        <v>0</v>
      </c>
      <c r="G167" t="s">
        <v>8</v>
      </c>
      <c r="H167" t="s">
        <v>9</v>
      </c>
      <c r="I167" t="s">
        <v>164</v>
      </c>
      <c r="J167" t="s">
        <v>64</v>
      </c>
      <c r="K167" t="s">
        <v>94</v>
      </c>
      <c r="M167" t="s">
        <v>6</v>
      </c>
    </row>
    <row r="168" spans="2:13" hidden="1">
      <c r="B168">
        <v>166</v>
      </c>
      <c r="C168">
        <v>25</v>
      </c>
      <c r="D168">
        <v>17</v>
      </c>
      <c r="E168">
        <v>0</v>
      </c>
      <c r="F168">
        <v>0</v>
      </c>
      <c r="G168" t="s">
        <v>8</v>
      </c>
      <c r="H168" t="s">
        <v>9</v>
      </c>
      <c r="I168" t="s">
        <v>168</v>
      </c>
      <c r="J168" t="s">
        <v>54</v>
      </c>
      <c r="K168" t="s">
        <v>168</v>
      </c>
      <c r="M168" t="s">
        <v>6</v>
      </c>
    </row>
    <row r="169" spans="2:13" hidden="1">
      <c r="B169">
        <v>167</v>
      </c>
      <c r="C169">
        <v>25</v>
      </c>
      <c r="D169">
        <v>17</v>
      </c>
      <c r="E169">
        <v>1</v>
      </c>
      <c r="F169">
        <v>0</v>
      </c>
      <c r="G169" t="s">
        <v>8</v>
      </c>
      <c r="H169" t="s">
        <v>9</v>
      </c>
      <c r="I169" t="s">
        <v>168</v>
      </c>
      <c r="J169" t="s">
        <v>55</v>
      </c>
      <c r="K169" t="s">
        <v>169</v>
      </c>
      <c r="M169" t="s">
        <v>6</v>
      </c>
    </row>
    <row r="170" spans="2:13" hidden="1">
      <c r="B170">
        <v>168</v>
      </c>
      <c r="C170">
        <v>25</v>
      </c>
      <c r="D170">
        <v>17</v>
      </c>
      <c r="E170">
        <v>2</v>
      </c>
      <c r="F170">
        <v>0</v>
      </c>
      <c r="G170" t="s">
        <v>8</v>
      </c>
      <c r="H170" t="s">
        <v>9</v>
      </c>
      <c r="I170" t="s">
        <v>168</v>
      </c>
      <c r="J170" t="s">
        <v>55</v>
      </c>
      <c r="K170" t="s">
        <v>170</v>
      </c>
      <c r="M170" t="s">
        <v>6</v>
      </c>
    </row>
    <row r="171" spans="2:13" hidden="1">
      <c r="B171">
        <v>169</v>
      </c>
      <c r="C171">
        <v>25</v>
      </c>
      <c r="D171">
        <v>17</v>
      </c>
      <c r="E171">
        <v>3</v>
      </c>
      <c r="F171">
        <v>0</v>
      </c>
      <c r="G171" t="s">
        <v>8</v>
      </c>
      <c r="H171" t="s">
        <v>9</v>
      </c>
      <c r="I171" t="s">
        <v>168</v>
      </c>
      <c r="J171" t="s">
        <v>55</v>
      </c>
      <c r="K171" t="s">
        <v>171</v>
      </c>
      <c r="M171" t="s">
        <v>6</v>
      </c>
    </row>
    <row r="172" spans="2:13" hidden="1">
      <c r="B172">
        <v>170</v>
      </c>
      <c r="C172">
        <v>25</v>
      </c>
      <c r="D172">
        <v>17</v>
      </c>
      <c r="E172">
        <v>4</v>
      </c>
      <c r="F172">
        <v>0</v>
      </c>
      <c r="G172" t="s">
        <v>8</v>
      </c>
      <c r="H172" t="s">
        <v>9</v>
      </c>
      <c r="I172" t="s">
        <v>168</v>
      </c>
      <c r="J172" t="s">
        <v>55</v>
      </c>
      <c r="K172" t="s">
        <v>172</v>
      </c>
      <c r="M172" t="s">
        <v>6</v>
      </c>
    </row>
    <row r="173" spans="2:13" hidden="1">
      <c r="B173">
        <v>171</v>
      </c>
      <c r="C173">
        <v>25</v>
      </c>
      <c r="D173">
        <v>17</v>
      </c>
      <c r="E173">
        <v>5</v>
      </c>
      <c r="F173">
        <v>0</v>
      </c>
      <c r="G173" t="s">
        <v>8</v>
      </c>
      <c r="H173" t="s">
        <v>9</v>
      </c>
      <c r="I173" t="s">
        <v>168</v>
      </c>
      <c r="J173" t="s">
        <v>55</v>
      </c>
      <c r="K173" t="s">
        <v>173</v>
      </c>
      <c r="M173" t="s">
        <v>6</v>
      </c>
    </row>
    <row r="174" spans="2:13" hidden="1">
      <c r="B174">
        <v>172</v>
      </c>
      <c r="C174">
        <v>25</v>
      </c>
      <c r="D174">
        <v>17</v>
      </c>
      <c r="E174">
        <v>6</v>
      </c>
      <c r="F174">
        <v>0</v>
      </c>
      <c r="G174" t="s">
        <v>8</v>
      </c>
      <c r="H174" t="s">
        <v>9</v>
      </c>
      <c r="I174" t="s">
        <v>168</v>
      </c>
      <c r="J174" t="s">
        <v>55</v>
      </c>
      <c r="K174" t="s">
        <v>174</v>
      </c>
      <c r="M174" t="s">
        <v>6</v>
      </c>
    </row>
    <row r="175" spans="2:13" hidden="1">
      <c r="B175">
        <v>173</v>
      </c>
      <c r="C175">
        <v>25</v>
      </c>
      <c r="D175">
        <v>17</v>
      </c>
      <c r="E175">
        <v>7</v>
      </c>
      <c r="F175">
        <v>0</v>
      </c>
      <c r="G175" t="s">
        <v>8</v>
      </c>
      <c r="H175" t="s">
        <v>9</v>
      </c>
      <c r="I175" t="s">
        <v>168</v>
      </c>
      <c r="J175" t="s">
        <v>55</v>
      </c>
      <c r="K175" t="s">
        <v>175</v>
      </c>
      <c r="M175" t="s">
        <v>6</v>
      </c>
    </row>
    <row r="176" spans="2:13" hidden="1">
      <c r="B176">
        <v>174</v>
      </c>
      <c r="C176">
        <v>25</v>
      </c>
      <c r="D176">
        <v>17</v>
      </c>
      <c r="E176">
        <v>8</v>
      </c>
      <c r="F176">
        <v>0</v>
      </c>
      <c r="G176" t="s">
        <v>8</v>
      </c>
      <c r="H176" t="s">
        <v>9</v>
      </c>
      <c r="I176" t="s">
        <v>168</v>
      </c>
      <c r="J176" t="s">
        <v>55</v>
      </c>
      <c r="K176" t="s">
        <v>176</v>
      </c>
      <c r="M176" t="s">
        <v>6</v>
      </c>
    </row>
    <row r="177" spans="2:13" hidden="1">
      <c r="B177">
        <v>175</v>
      </c>
      <c r="C177">
        <v>25</v>
      </c>
      <c r="D177">
        <v>17</v>
      </c>
      <c r="E177">
        <v>9</v>
      </c>
      <c r="F177">
        <v>0</v>
      </c>
      <c r="G177" t="s">
        <v>8</v>
      </c>
      <c r="H177" t="s">
        <v>9</v>
      </c>
      <c r="I177" t="s">
        <v>168</v>
      </c>
      <c r="J177" t="s">
        <v>55</v>
      </c>
      <c r="K177" t="s">
        <v>139</v>
      </c>
      <c r="M177" t="s">
        <v>6</v>
      </c>
    </row>
    <row r="178" spans="2:13" hidden="1">
      <c r="B178">
        <v>176</v>
      </c>
      <c r="C178">
        <v>25</v>
      </c>
      <c r="D178">
        <v>17</v>
      </c>
      <c r="E178">
        <v>10</v>
      </c>
      <c r="F178">
        <v>0</v>
      </c>
      <c r="G178" t="s">
        <v>8</v>
      </c>
      <c r="H178" t="s">
        <v>9</v>
      </c>
      <c r="I178" t="s">
        <v>168</v>
      </c>
      <c r="J178" t="s">
        <v>55</v>
      </c>
      <c r="K178" t="s">
        <v>177</v>
      </c>
      <c r="M178" t="s">
        <v>6</v>
      </c>
    </row>
    <row r="179" spans="2:13" hidden="1">
      <c r="B179">
        <v>177</v>
      </c>
      <c r="C179">
        <v>25</v>
      </c>
      <c r="D179">
        <v>17</v>
      </c>
      <c r="E179">
        <v>11</v>
      </c>
      <c r="F179">
        <v>0</v>
      </c>
      <c r="G179" t="s">
        <v>8</v>
      </c>
      <c r="H179" t="s">
        <v>9</v>
      </c>
      <c r="I179" t="s">
        <v>168</v>
      </c>
      <c r="J179" t="s">
        <v>55</v>
      </c>
      <c r="K179" t="s">
        <v>178</v>
      </c>
      <c r="M179" t="s">
        <v>6</v>
      </c>
    </row>
    <row r="180" spans="2:13" hidden="1">
      <c r="B180">
        <v>178</v>
      </c>
      <c r="C180">
        <v>25</v>
      </c>
      <c r="D180">
        <v>17</v>
      </c>
      <c r="E180">
        <v>12</v>
      </c>
      <c r="F180">
        <v>0</v>
      </c>
      <c r="G180" t="s">
        <v>8</v>
      </c>
      <c r="H180" t="s">
        <v>9</v>
      </c>
      <c r="I180" t="s">
        <v>168</v>
      </c>
      <c r="J180" t="s">
        <v>55</v>
      </c>
      <c r="K180" t="s">
        <v>179</v>
      </c>
      <c r="M180" t="s">
        <v>6</v>
      </c>
    </row>
    <row r="181" spans="2:13" hidden="1">
      <c r="B181">
        <v>179</v>
      </c>
      <c r="C181">
        <v>25</v>
      </c>
      <c r="D181">
        <v>17</v>
      </c>
      <c r="E181">
        <v>13</v>
      </c>
      <c r="F181">
        <v>0</v>
      </c>
      <c r="G181" t="s">
        <v>8</v>
      </c>
      <c r="H181" t="s">
        <v>9</v>
      </c>
      <c r="I181" t="s">
        <v>168</v>
      </c>
      <c r="J181" t="s">
        <v>55</v>
      </c>
      <c r="K181" t="s">
        <v>180</v>
      </c>
      <c r="M181" t="s">
        <v>6</v>
      </c>
    </row>
    <row r="182" spans="2:13" hidden="1">
      <c r="B182">
        <v>180</v>
      </c>
      <c r="C182">
        <v>25</v>
      </c>
      <c r="D182">
        <v>17</v>
      </c>
      <c r="E182">
        <v>14</v>
      </c>
      <c r="F182">
        <v>0</v>
      </c>
      <c r="G182" t="s">
        <v>8</v>
      </c>
      <c r="H182" t="s">
        <v>9</v>
      </c>
      <c r="I182" t="s">
        <v>168</v>
      </c>
      <c r="J182" t="s">
        <v>55</v>
      </c>
      <c r="K182" t="s">
        <v>181</v>
      </c>
      <c r="M182" t="s">
        <v>6</v>
      </c>
    </row>
    <row r="183" spans="2:13" hidden="1">
      <c r="B183">
        <v>181</v>
      </c>
      <c r="C183">
        <v>25</v>
      </c>
      <c r="D183">
        <v>17</v>
      </c>
      <c r="E183">
        <v>15</v>
      </c>
      <c r="F183">
        <v>0</v>
      </c>
      <c r="G183" t="s">
        <v>8</v>
      </c>
      <c r="H183" t="s">
        <v>9</v>
      </c>
      <c r="I183" t="s">
        <v>168</v>
      </c>
      <c r="J183" t="s">
        <v>55</v>
      </c>
      <c r="K183" t="s">
        <v>182</v>
      </c>
      <c r="M183" t="s">
        <v>6</v>
      </c>
    </row>
    <row r="184" spans="2:13" hidden="1">
      <c r="B184">
        <v>182</v>
      </c>
      <c r="C184">
        <v>25</v>
      </c>
      <c r="D184">
        <v>17</v>
      </c>
      <c r="E184">
        <v>16</v>
      </c>
      <c r="F184">
        <v>0</v>
      </c>
      <c r="G184" t="s">
        <v>8</v>
      </c>
      <c r="H184" t="s">
        <v>9</v>
      </c>
      <c r="I184" t="s">
        <v>168</v>
      </c>
      <c r="J184" t="s">
        <v>55</v>
      </c>
      <c r="K184" t="s">
        <v>93</v>
      </c>
      <c r="M184" t="s">
        <v>6</v>
      </c>
    </row>
    <row r="185" spans="2:13" hidden="1">
      <c r="B185">
        <v>183</v>
      </c>
      <c r="C185">
        <v>25</v>
      </c>
      <c r="D185">
        <v>17</v>
      </c>
      <c r="E185">
        <v>17</v>
      </c>
      <c r="F185">
        <v>0</v>
      </c>
      <c r="G185" t="s">
        <v>8</v>
      </c>
      <c r="H185" t="s">
        <v>9</v>
      </c>
      <c r="I185" t="s">
        <v>168</v>
      </c>
      <c r="J185" t="s">
        <v>64</v>
      </c>
      <c r="K185" t="s">
        <v>94</v>
      </c>
      <c r="M185" t="s">
        <v>6</v>
      </c>
    </row>
    <row r="186" spans="2:13" hidden="1">
      <c r="B186">
        <v>184</v>
      </c>
      <c r="C186">
        <v>26</v>
      </c>
      <c r="D186">
        <v>27</v>
      </c>
      <c r="E186">
        <v>0</v>
      </c>
      <c r="F186">
        <v>0</v>
      </c>
      <c r="G186" t="s">
        <v>183</v>
      </c>
      <c r="H186" t="s">
        <v>52</v>
      </c>
      <c r="I186" t="s">
        <v>184</v>
      </c>
      <c r="J186" t="s">
        <v>54</v>
      </c>
      <c r="K186" t="s">
        <v>184</v>
      </c>
      <c r="M186" t="s">
        <v>6</v>
      </c>
    </row>
    <row r="187" spans="2:13" hidden="1">
      <c r="B187">
        <v>185</v>
      </c>
      <c r="C187">
        <v>26</v>
      </c>
      <c r="D187">
        <v>27</v>
      </c>
      <c r="E187">
        <v>1</v>
      </c>
      <c r="F187">
        <v>0</v>
      </c>
      <c r="G187" t="s">
        <v>183</v>
      </c>
      <c r="H187" t="s">
        <v>52</v>
      </c>
      <c r="I187" t="s">
        <v>184</v>
      </c>
      <c r="J187" t="s">
        <v>55</v>
      </c>
      <c r="K187" t="s">
        <v>185</v>
      </c>
      <c r="M187" t="s">
        <v>6</v>
      </c>
    </row>
    <row r="188" spans="2:13" hidden="1">
      <c r="B188">
        <v>186</v>
      </c>
      <c r="C188">
        <v>26</v>
      </c>
      <c r="D188">
        <v>27</v>
      </c>
      <c r="E188">
        <v>2</v>
      </c>
      <c r="F188">
        <v>0</v>
      </c>
      <c r="G188" t="s">
        <v>183</v>
      </c>
      <c r="H188" t="s">
        <v>52</v>
      </c>
      <c r="I188" t="s">
        <v>184</v>
      </c>
      <c r="J188" t="s">
        <v>55</v>
      </c>
      <c r="K188" t="s">
        <v>186</v>
      </c>
      <c r="M188" t="s">
        <v>6</v>
      </c>
    </row>
    <row r="189" spans="2:13" hidden="1">
      <c r="B189">
        <v>187</v>
      </c>
      <c r="C189">
        <v>26</v>
      </c>
      <c r="D189">
        <v>27</v>
      </c>
      <c r="E189">
        <v>3</v>
      </c>
      <c r="F189">
        <v>0</v>
      </c>
      <c r="G189" t="s">
        <v>183</v>
      </c>
      <c r="H189" t="s">
        <v>52</v>
      </c>
      <c r="I189" t="s">
        <v>184</v>
      </c>
      <c r="J189" t="s">
        <v>55</v>
      </c>
      <c r="K189" t="s">
        <v>187</v>
      </c>
      <c r="M189" t="s">
        <v>6</v>
      </c>
    </row>
    <row r="190" spans="2:13" hidden="1">
      <c r="B190">
        <v>188</v>
      </c>
      <c r="C190">
        <v>26</v>
      </c>
      <c r="D190">
        <v>27</v>
      </c>
      <c r="E190">
        <v>4</v>
      </c>
      <c r="F190">
        <v>0</v>
      </c>
      <c r="G190" t="s">
        <v>183</v>
      </c>
      <c r="H190" t="s">
        <v>52</v>
      </c>
      <c r="I190" t="s">
        <v>184</v>
      </c>
      <c r="J190" t="s">
        <v>55</v>
      </c>
      <c r="K190" t="s">
        <v>188</v>
      </c>
      <c r="M190" t="s">
        <v>6</v>
      </c>
    </row>
    <row r="191" spans="2:13" hidden="1">
      <c r="B191">
        <v>189</v>
      </c>
      <c r="C191">
        <v>26</v>
      </c>
      <c r="D191">
        <v>27</v>
      </c>
      <c r="E191">
        <v>5</v>
      </c>
      <c r="F191">
        <v>0</v>
      </c>
      <c r="G191" t="s">
        <v>183</v>
      </c>
      <c r="H191" t="s">
        <v>52</v>
      </c>
      <c r="I191" t="s">
        <v>184</v>
      </c>
      <c r="J191" t="s">
        <v>55</v>
      </c>
      <c r="K191" t="s">
        <v>189</v>
      </c>
      <c r="M191" t="s">
        <v>6</v>
      </c>
    </row>
    <row r="192" spans="2:13" hidden="1">
      <c r="B192">
        <v>190</v>
      </c>
      <c r="C192">
        <v>26</v>
      </c>
      <c r="D192">
        <v>27</v>
      </c>
      <c r="E192">
        <v>6</v>
      </c>
      <c r="F192">
        <v>0</v>
      </c>
      <c r="G192" t="s">
        <v>183</v>
      </c>
      <c r="H192" t="s">
        <v>52</v>
      </c>
      <c r="I192" t="s">
        <v>184</v>
      </c>
      <c r="J192" t="s">
        <v>99</v>
      </c>
      <c r="K192" t="s">
        <v>190</v>
      </c>
      <c r="M192" t="s">
        <v>6</v>
      </c>
    </row>
    <row r="193" spans="2:13" hidden="1">
      <c r="B193">
        <v>191</v>
      </c>
      <c r="C193">
        <v>26</v>
      </c>
      <c r="D193">
        <v>27</v>
      </c>
      <c r="E193">
        <v>7</v>
      </c>
      <c r="F193">
        <v>0</v>
      </c>
      <c r="G193" t="s">
        <v>183</v>
      </c>
      <c r="H193" t="s">
        <v>52</v>
      </c>
      <c r="I193" t="s">
        <v>184</v>
      </c>
      <c r="J193" t="s">
        <v>99</v>
      </c>
      <c r="K193" t="s">
        <v>191</v>
      </c>
      <c r="M193" t="s">
        <v>6</v>
      </c>
    </row>
    <row r="194" spans="2:13" hidden="1">
      <c r="B194">
        <v>192</v>
      </c>
      <c r="C194">
        <v>26</v>
      </c>
      <c r="D194">
        <v>27</v>
      </c>
      <c r="E194">
        <v>8</v>
      </c>
      <c r="F194">
        <v>0</v>
      </c>
      <c r="G194" t="s">
        <v>183</v>
      </c>
      <c r="H194" t="s">
        <v>52</v>
      </c>
      <c r="I194" t="s">
        <v>184</v>
      </c>
      <c r="J194" t="s">
        <v>99</v>
      </c>
      <c r="K194" t="s">
        <v>192</v>
      </c>
      <c r="M194" t="s">
        <v>6</v>
      </c>
    </row>
    <row r="195" spans="2:13" hidden="1">
      <c r="B195">
        <v>193</v>
      </c>
      <c r="C195">
        <v>26</v>
      </c>
      <c r="D195">
        <v>27</v>
      </c>
      <c r="E195">
        <v>9</v>
      </c>
      <c r="F195">
        <v>0</v>
      </c>
      <c r="G195" t="s">
        <v>183</v>
      </c>
      <c r="H195" t="s">
        <v>52</v>
      </c>
      <c r="I195" t="s">
        <v>184</v>
      </c>
      <c r="J195" t="s">
        <v>99</v>
      </c>
      <c r="K195" t="s">
        <v>193</v>
      </c>
      <c r="M195" t="s">
        <v>6</v>
      </c>
    </row>
    <row r="196" spans="2:13" hidden="1">
      <c r="B196">
        <v>194</v>
      </c>
      <c r="C196">
        <v>26</v>
      </c>
      <c r="D196">
        <v>27</v>
      </c>
      <c r="E196">
        <v>10</v>
      </c>
      <c r="F196">
        <v>0</v>
      </c>
      <c r="G196" t="s">
        <v>183</v>
      </c>
      <c r="H196" t="s">
        <v>52</v>
      </c>
      <c r="I196" t="s">
        <v>184</v>
      </c>
      <c r="J196" t="s">
        <v>99</v>
      </c>
      <c r="K196" t="s">
        <v>194</v>
      </c>
      <c r="M196" t="s">
        <v>6</v>
      </c>
    </row>
    <row r="197" spans="2:13" hidden="1">
      <c r="B197">
        <v>195</v>
      </c>
      <c r="C197">
        <v>26</v>
      </c>
      <c r="D197">
        <v>27</v>
      </c>
      <c r="E197">
        <v>11</v>
      </c>
      <c r="F197">
        <v>0</v>
      </c>
      <c r="G197" t="s">
        <v>183</v>
      </c>
      <c r="H197" t="s">
        <v>52</v>
      </c>
      <c r="I197" t="s">
        <v>184</v>
      </c>
      <c r="J197" t="s">
        <v>99</v>
      </c>
      <c r="K197" t="s">
        <v>195</v>
      </c>
      <c r="M197" t="s">
        <v>6</v>
      </c>
    </row>
    <row r="198" spans="2:13" hidden="1">
      <c r="B198">
        <v>196</v>
      </c>
      <c r="C198">
        <v>26</v>
      </c>
      <c r="D198">
        <v>27</v>
      </c>
      <c r="E198">
        <v>12</v>
      </c>
      <c r="F198">
        <v>0</v>
      </c>
      <c r="G198" t="s">
        <v>183</v>
      </c>
      <c r="H198" t="s">
        <v>52</v>
      </c>
      <c r="I198" t="s">
        <v>184</v>
      </c>
      <c r="J198" t="s">
        <v>99</v>
      </c>
      <c r="K198" t="s">
        <v>196</v>
      </c>
      <c r="L198" t="s">
        <v>197</v>
      </c>
      <c r="M198" t="s">
        <v>6</v>
      </c>
    </row>
    <row r="199" spans="2:13" hidden="1">
      <c r="B199">
        <v>197</v>
      </c>
      <c r="C199">
        <v>26</v>
      </c>
      <c r="D199">
        <v>27</v>
      </c>
      <c r="E199">
        <v>13</v>
      </c>
      <c r="F199">
        <v>0</v>
      </c>
      <c r="G199" t="s">
        <v>183</v>
      </c>
      <c r="H199" t="s">
        <v>52</v>
      </c>
      <c r="I199" t="s">
        <v>184</v>
      </c>
      <c r="J199" t="s">
        <v>55</v>
      </c>
      <c r="K199" t="s">
        <v>198</v>
      </c>
      <c r="M199" t="s">
        <v>6</v>
      </c>
    </row>
    <row r="200" spans="2:13" hidden="1">
      <c r="B200">
        <v>198</v>
      </c>
      <c r="C200">
        <v>26</v>
      </c>
      <c r="D200">
        <v>27</v>
      </c>
      <c r="E200">
        <v>14</v>
      </c>
      <c r="F200">
        <v>0</v>
      </c>
      <c r="G200" t="s">
        <v>183</v>
      </c>
      <c r="H200" t="s">
        <v>52</v>
      </c>
      <c r="I200" t="s">
        <v>184</v>
      </c>
      <c r="J200" t="s">
        <v>99</v>
      </c>
      <c r="K200" t="s">
        <v>199</v>
      </c>
      <c r="M200" t="s">
        <v>6</v>
      </c>
    </row>
    <row r="201" spans="2:13" hidden="1">
      <c r="B201">
        <v>199</v>
      </c>
      <c r="C201">
        <v>26</v>
      </c>
      <c r="D201">
        <v>27</v>
      </c>
      <c r="E201">
        <v>15</v>
      </c>
      <c r="F201">
        <v>0</v>
      </c>
      <c r="G201" t="s">
        <v>183</v>
      </c>
      <c r="H201" t="s">
        <v>52</v>
      </c>
      <c r="I201" t="s">
        <v>184</v>
      </c>
      <c r="J201" t="s">
        <v>99</v>
      </c>
      <c r="K201" t="s">
        <v>200</v>
      </c>
      <c r="M201" t="s">
        <v>6</v>
      </c>
    </row>
    <row r="202" spans="2:13" hidden="1">
      <c r="B202">
        <v>200</v>
      </c>
      <c r="C202">
        <v>26</v>
      </c>
      <c r="D202">
        <v>27</v>
      </c>
      <c r="E202">
        <v>16</v>
      </c>
      <c r="F202">
        <v>0</v>
      </c>
      <c r="G202" t="s">
        <v>183</v>
      </c>
      <c r="H202" t="s">
        <v>52</v>
      </c>
      <c r="I202" t="s">
        <v>184</v>
      </c>
      <c r="J202" t="s">
        <v>99</v>
      </c>
      <c r="K202" t="s">
        <v>201</v>
      </c>
      <c r="M202" t="s">
        <v>6</v>
      </c>
    </row>
    <row r="203" spans="2:13" hidden="1">
      <c r="B203">
        <v>201</v>
      </c>
      <c r="C203">
        <v>26</v>
      </c>
      <c r="D203">
        <v>27</v>
      </c>
      <c r="E203">
        <v>17</v>
      </c>
      <c r="F203">
        <v>0</v>
      </c>
      <c r="G203" t="s">
        <v>183</v>
      </c>
      <c r="H203" t="s">
        <v>52</v>
      </c>
      <c r="I203" t="s">
        <v>184</v>
      </c>
      <c r="J203" t="s">
        <v>55</v>
      </c>
      <c r="K203" t="s">
        <v>202</v>
      </c>
      <c r="M203" t="s">
        <v>6</v>
      </c>
    </row>
    <row r="204" spans="2:13" hidden="1">
      <c r="B204">
        <v>202</v>
      </c>
      <c r="C204">
        <v>26</v>
      </c>
      <c r="D204">
        <v>27</v>
      </c>
      <c r="E204">
        <v>18</v>
      </c>
      <c r="F204">
        <v>0</v>
      </c>
      <c r="G204" t="s">
        <v>183</v>
      </c>
      <c r="H204" t="s">
        <v>52</v>
      </c>
      <c r="I204" t="s">
        <v>184</v>
      </c>
      <c r="J204" t="s">
        <v>99</v>
      </c>
      <c r="K204" t="s">
        <v>203</v>
      </c>
      <c r="M204" t="s">
        <v>6</v>
      </c>
    </row>
    <row r="205" spans="2:13" hidden="1">
      <c r="B205">
        <v>203</v>
      </c>
      <c r="C205">
        <v>26</v>
      </c>
      <c r="D205">
        <v>27</v>
      </c>
      <c r="E205">
        <v>19</v>
      </c>
      <c r="F205">
        <v>0</v>
      </c>
      <c r="G205" t="s">
        <v>183</v>
      </c>
      <c r="H205" t="s">
        <v>52</v>
      </c>
      <c r="I205" t="s">
        <v>184</v>
      </c>
      <c r="J205" t="s">
        <v>99</v>
      </c>
      <c r="K205" t="s">
        <v>204</v>
      </c>
      <c r="M205" t="s">
        <v>6</v>
      </c>
    </row>
    <row r="206" spans="2:13" hidden="1">
      <c r="B206">
        <v>204</v>
      </c>
      <c r="C206">
        <v>26</v>
      </c>
      <c r="D206">
        <v>27</v>
      </c>
      <c r="E206">
        <v>20</v>
      </c>
      <c r="F206">
        <v>0</v>
      </c>
      <c r="G206" t="s">
        <v>183</v>
      </c>
      <c r="H206" t="s">
        <v>52</v>
      </c>
      <c r="I206" t="s">
        <v>184</v>
      </c>
      <c r="J206" t="s">
        <v>99</v>
      </c>
      <c r="K206" t="s">
        <v>205</v>
      </c>
      <c r="M206" t="s">
        <v>6</v>
      </c>
    </row>
    <row r="207" spans="2:13" hidden="1">
      <c r="B207">
        <v>205</v>
      </c>
      <c r="C207">
        <v>26</v>
      </c>
      <c r="D207">
        <v>27</v>
      </c>
      <c r="E207">
        <v>21</v>
      </c>
      <c r="F207">
        <v>0</v>
      </c>
      <c r="G207" t="s">
        <v>183</v>
      </c>
      <c r="H207" t="s">
        <v>52</v>
      </c>
      <c r="I207" t="s">
        <v>184</v>
      </c>
      <c r="J207" t="s">
        <v>99</v>
      </c>
      <c r="K207" t="s">
        <v>206</v>
      </c>
      <c r="M207" t="s">
        <v>6</v>
      </c>
    </row>
    <row r="208" spans="2:13" hidden="1">
      <c r="B208">
        <v>206</v>
      </c>
      <c r="C208">
        <v>26</v>
      </c>
      <c r="D208">
        <v>27</v>
      </c>
      <c r="E208">
        <v>22</v>
      </c>
      <c r="F208">
        <v>0</v>
      </c>
      <c r="G208" t="s">
        <v>183</v>
      </c>
      <c r="H208" t="s">
        <v>52</v>
      </c>
      <c r="I208" t="s">
        <v>184</v>
      </c>
      <c r="J208" t="s">
        <v>55</v>
      </c>
      <c r="K208" t="s">
        <v>207</v>
      </c>
      <c r="M208" t="s">
        <v>6</v>
      </c>
    </row>
    <row r="209" spans="2:13" hidden="1">
      <c r="B209">
        <v>207</v>
      </c>
      <c r="C209">
        <v>26</v>
      </c>
      <c r="D209">
        <v>27</v>
      </c>
      <c r="E209">
        <v>23</v>
      </c>
      <c r="F209">
        <v>0</v>
      </c>
      <c r="G209" t="s">
        <v>183</v>
      </c>
      <c r="H209" t="s">
        <v>52</v>
      </c>
      <c r="I209" t="s">
        <v>184</v>
      </c>
      <c r="J209" t="s">
        <v>99</v>
      </c>
      <c r="K209" t="s">
        <v>208</v>
      </c>
      <c r="M209" t="s">
        <v>6</v>
      </c>
    </row>
    <row r="210" spans="2:13" hidden="1">
      <c r="B210">
        <v>208</v>
      </c>
      <c r="C210">
        <v>26</v>
      </c>
      <c r="D210">
        <v>27</v>
      </c>
      <c r="E210">
        <v>24</v>
      </c>
      <c r="F210">
        <v>0</v>
      </c>
      <c r="G210" t="s">
        <v>183</v>
      </c>
      <c r="H210" t="s">
        <v>52</v>
      </c>
      <c r="I210" t="s">
        <v>184</v>
      </c>
      <c r="J210" t="s">
        <v>99</v>
      </c>
      <c r="K210" t="s">
        <v>209</v>
      </c>
      <c r="M210" t="s">
        <v>6</v>
      </c>
    </row>
    <row r="211" spans="2:13" hidden="1">
      <c r="B211">
        <v>209</v>
      </c>
      <c r="C211">
        <v>26</v>
      </c>
      <c r="D211">
        <v>27</v>
      </c>
      <c r="E211">
        <v>25</v>
      </c>
      <c r="F211">
        <v>0</v>
      </c>
      <c r="G211" t="s">
        <v>183</v>
      </c>
      <c r="H211" t="s">
        <v>52</v>
      </c>
      <c r="I211" t="s">
        <v>184</v>
      </c>
      <c r="J211" t="s">
        <v>55</v>
      </c>
      <c r="K211" t="s">
        <v>210</v>
      </c>
      <c r="M211" t="s">
        <v>6</v>
      </c>
    </row>
    <row r="212" spans="2:13" hidden="1">
      <c r="B212">
        <v>210</v>
      </c>
      <c r="C212">
        <v>26</v>
      </c>
      <c r="D212">
        <v>27</v>
      </c>
      <c r="E212">
        <v>26</v>
      </c>
      <c r="F212">
        <v>0</v>
      </c>
      <c r="G212" t="s">
        <v>183</v>
      </c>
      <c r="H212" t="s">
        <v>52</v>
      </c>
      <c r="I212" t="s">
        <v>184</v>
      </c>
      <c r="J212" t="s">
        <v>99</v>
      </c>
      <c r="K212" t="s">
        <v>211</v>
      </c>
      <c r="M212" t="s">
        <v>6</v>
      </c>
    </row>
    <row r="213" spans="2:13" hidden="1">
      <c r="B213">
        <v>211</v>
      </c>
      <c r="C213">
        <v>26</v>
      </c>
      <c r="D213">
        <v>27</v>
      </c>
      <c r="E213">
        <v>27</v>
      </c>
      <c r="F213">
        <v>0</v>
      </c>
      <c r="G213" t="s">
        <v>183</v>
      </c>
      <c r="H213" t="s">
        <v>52</v>
      </c>
      <c r="I213" t="s">
        <v>184</v>
      </c>
      <c r="J213" t="s">
        <v>99</v>
      </c>
      <c r="K213" t="s">
        <v>212</v>
      </c>
      <c r="M213" t="s">
        <v>6</v>
      </c>
    </row>
    <row r="214" spans="2:13" hidden="1">
      <c r="B214">
        <v>212</v>
      </c>
      <c r="C214">
        <v>27</v>
      </c>
      <c r="D214">
        <v>7</v>
      </c>
      <c r="E214">
        <v>0</v>
      </c>
      <c r="F214">
        <v>0</v>
      </c>
      <c r="G214" t="s">
        <v>183</v>
      </c>
      <c r="H214" t="s">
        <v>52</v>
      </c>
      <c r="I214" t="s">
        <v>213</v>
      </c>
      <c r="J214" t="s">
        <v>54</v>
      </c>
      <c r="K214" t="s">
        <v>213</v>
      </c>
      <c r="M214" t="s">
        <v>6</v>
      </c>
    </row>
    <row r="215" spans="2:13" hidden="1">
      <c r="B215">
        <v>213</v>
      </c>
      <c r="C215">
        <v>27</v>
      </c>
      <c r="D215">
        <v>7</v>
      </c>
      <c r="E215">
        <v>1</v>
      </c>
      <c r="F215">
        <v>0</v>
      </c>
      <c r="G215" t="s">
        <v>183</v>
      </c>
      <c r="H215" t="s">
        <v>52</v>
      </c>
      <c r="I215" t="s">
        <v>213</v>
      </c>
      <c r="J215" t="s">
        <v>214</v>
      </c>
      <c r="K215" t="s">
        <v>215</v>
      </c>
      <c r="M215" t="s">
        <v>6</v>
      </c>
    </row>
    <row r="216" spans="2:13" hidden="1">
      <c r="B216">
        <v>214</v>
      </c>
      <c r="C216">
        <v>27</v>
      </c>
      <c r="D216">
        <v>7</v>
      </c>
      <c r="E216">
        <v>2</v>
      </c>
      <c r="F216">
        <v>0</v>
      </c>
      <c r="G216" t="s">
        <v>183</v>
      </c>
      <c r="H216" t="s">
        <v>52</v>
      </c>
      <c r="I216" t="s">
        <v>213</v>
      </c>
      <c r="J216" t="s">
        <v>214</v>
      </c>
      <c r="K216" t="s">
        <v>216</v>
      </c>
      <c r="M216" t="s">
        <v>6</v>
      </c>
    </row>
    <row r="217" spans="2:13" hidden="1">
      <c r="B217">
        <v>215</v>
      </c>
      <c r="C217">
        <v>27</v>
      </c>
      <c r="D217">
        <v>7</v>
      </c>
      <c r="E217">
        <v>3</v>
      </c>
      <c r="F217">
        <v>0</v>
      </c>
      <c r="G217" t="s">
        <v>183</v>
      </c>
      <c r="H217" t="s">
        <v>52</v>
      </c>
      <c r="I217" t="s">
        <v>213</v>
      </c>
      <c r="J217" t="s">
        <v>214</v>
      </c>
      <c r="K217" t="s">
        <v>217</v>
      </c>
      <c r="M217" t="s">
        <v>6</v>
      </c>
    </row>
    <row r="218" spans="2:13" hidden="1">
      <c r="B218">
        <v>216</v>
      </c>
      <c r="C218">
        <v>27</v>
      </c>
      <c r="D218">
        <v>7</v>
      </c>
      <c r="E218">
        <v>4</v>
      </c>
      <c r="F218">
        <v>0</v>
      </c>
      <c r="G218" t="s">
        <v>183</v>
      </c>
      <c r="H218" t="s">
        <v>52</v>
      </c>
      <c r="I218" t="s">
        <v>213</v>
      </c>
      <c r="J218" t="s">
        <v>218</v>
      </c>
      <c r="K218" t="s">
        <v>219</v>
      </c>
      <c r="L218" t="s">
        <v>220</v>
      </c>
      <c r="M218" t="s">
        <v>6</v>
      </c>
    </row>
    <row r="219" spans="2:13" hidden="1">
      <c r="B219">
        <v>217</v>
      </c>
      <c r="C219">
        <v>27</v>
      </c>
      <c r="D219">
        <v>7</v>
      </c>
      <c r="E219">
        <v>5</v>
      </c>
      <c r="F219">
        <v>0</v>
      </c>
      <c r="G219" t="s">
        <v>183</v>
      </c>
      <c r="H219" t="s">
        <v>52</v>
      </c>
      <c r="I219" t="s">
        <v>213</v>
      </c>
      <c r="J219" t="s">
        <v>99</v>
      </c>
      <c r="K219" t="s">
        <v>221</v>
      </c>
      <c r="M219" t="s">
        <v>6</v>
      </c>
    </row>
    <row r="220" spans="2:13" hidden="1">
      <c r="B220">
        <v>218</v>
      </c>
      <c r="C220">
        <v>27</v>
      </c>
      <c r="D220">
        <v>7</v>
      </c>
      <c r="E220">
        <v>6</v>
      </c>
      <c r="F220">
        <v>0</v>
      </c>
      <c r="G220" t="s">
        <v>183</v>
      </c>
      <c r="H220" t="s">
        <v>52</v>
      </c>
      <c r="I220" t="s">
        <v>213</v>
      </c>
      <c r="J220" t="s">
        <v>55</v>
      </c>
      <c r="K220" t="s">
        <v>222</v>
      </c>
      <c r="M220" t="s">
        <v>6</v>
      </c>
    </row>
    <row r="221" spans="2:13" hidden="1">
      <c r="B221">
        <v>219</v>
      </c>
      <c r="C221">
        <v>27</v>
      </c>
      <c r="D221">
        <v>7</v>
      </c>
      <c r="E221">
        <v>7</v>
      </c>
      <c r="F221">
        <v>0</v>
      </c>
      <c r="G221" t="s">
        <v>183</v>
      </c>
      <c r="H221" t="s">
        <v>52</v>
      </c>
      <c r="I221" t="s">
        <v>213</v>
      </c>
      <c r="J221" t="s">
        <v>214</v>
      </c>
      <c r="K221" t="s">
        <v>223</v>
      </c>
      <c r="M221" t="s">
        <v>6</v>
      </c>
    </row>
    <row r="222" spans="2:13" hidden="1">
      <c r="B222">
        <v>220</v>
      </c>
      <c r="C222">
        <v>28</v>
      </c>
      <c r="D222">
        <v>6</v>
      </c>
      <c r="E222">
        <v>0</v>
      </c>
      <c r="F222">
        <v>0</v>
      </c>
      <c r="G222" t="s">
        <v>183</v>
      </c>
      <c r="H222" t="s">
        <v>52</v>
      </c>
      <c r="I222" t="s">
        <v>224</v>
      </c>
      <c r="J222" t="s">
        <v>54</v>
      </c>
      <c r="K222" t="s">
        <v>224</v>
      </c>
      <c r="M222" t="s">
        <v>6</v>
      </c>
    </row>
    <row r="223" spans="2:13" hidden="1">
      <c r="B223">
        <v>221</v>
      </c>
      <c r="C223">
        <v>28</v>
      </c>
      <c r="D223">
        <v>6</v>
      </c>
      <c r="E223">
        <v>1</v>
      </c>
      <c r="F223">
        <v>0</v>
      </c>
      <c r="G223" t="s">
        <v>183</v>
      </c>
      <c r="H223" t="s">
        <v>52</v>
      </c>
      <c r="I223" t="s">
        <v>224</v>
      </c>
      <c r="J223" t="s">
        <v>55</v>
      </c>
      <c r="K223" t="s">
        <v>185</v>
      </c>
      <c r="M223" t="s">
        <v>6</v>
      </c>
    </row>
    <row r="224" spans="2:13" hidden="1">
      <c r="B224">
        <v>222</v>
      </c>
      <c r="C224">
        <v>28</v>
      </c>
      <c r="D224">
        <v>6</v>
      </c>
      <c r="E224">
        <v>2</v>
      </c>
      <c r="F224">
        <v>0</v>
      </c>
      <c r="G224" t="s">
        <v>183</v>
      </c>
      <c r="H224" t="s">
        <v>52</v>
      </c>
      <c r="I224" t="s">
        <v>224</v>
      </c>
      <c r="J224" t="s">
        <v>55</v>
      </c>
      <c r="K224" t="s">
        <v>225</v>
      </c>
      <c r="M224" t="s">
        <v>6</v>
      </c>
    </row>
    <row r="225" spans="2:13" hidden="1">
      <c r="B225">
        <v>223</v>
      </c>
      <c r="C225">
        <v>28</v>
      </c>
      <c r="D225">
        <v>6</v>
      </c>
      <c r="E225">
        <v>3</v>
      </c>
      <c r="F225">
        <v>0</v>
      </c>
      <c r="G225" t="s">
        <v>183</v>
      </c>
      <c r="H225" t="s">
        <v>52</v>
      </c>
      <c r="I225" t="s">
        <v>224</v>
      </c>
      <c r="J225" t="s">
        <v>55</v>
      </c>
      <c r="K225" t="s">
        <v>226</v>
      </c>
      <c r="M225" t="s">
        <v>6</v>
      </c>
    </row>
    <row r="226" spans="2:13" hidden="1">
      <c r="B226">
        <v>224</v>
      </c>
      <c r="C226">
        <v>28</v>
      </c>
      <c r="D226">
        <v>6</v>
      </c>
      <c r="E226">
        <v>4</v>
      </c>
      <c r="F226">
        <v>0</v>
      </c>
      <c r="G226" t="s">
        <v>183</v>
      </c>
      <c r="H226" t="s">
        <v>52</v>
      </c>
      <c r="I226" t="s">
        <v>224</v>
      </c>
      <c r="J226" t="s">
        <v>55</v>
      </c>
      <c r="K226" t="s">
        <v>227</v>
      </c>
      <c r="M226" t="s">
        <v>6</v>
      </c>
    </row>
    <row r="227" spans="2:13" hidden="1">
      <c r="B227">
        <v>225</v>
      </c>
      <c r="C227">
        <v>28</v>
      </c>
      <c r="D227">
        <v>6</v>
      </c>
      <c r="E227">
        <v>5</v>
      </c>
      <c r="F227">
        <v>0</v>
      </c>
      <c r="G227" t="s">
        <v>183</v>
      </c>
      <c r="H227" t="s">
        <v>52</v>
      </c>
      <c r="I227" t="s">
        <v>224</v>
      </c>
      <c r="J227" t="s">
        <v>55</v>
      </c>
      <c r="K227" t="s">
        <v>228</v>
      </c>
      <c r="M227" t="s">
        <v>6</v>
      </c>
    </row>
    <row r="228" spans="2:13" hidden="1">
      <c r="B228">
        <v>226</v>
      </c>
      <c r="C228">
        <v>28</v>
      </c>
      <c r="D228">
        <v>6</v>
      </c>
      <c r="E228">
        <v>6</v>
      </c>
      <c r="F228">
        <v>0</v>
      </c>
      <c r="G228" t="s">
        <v>183</v>
      </c>
      <c r="H228" t="s">
        <v>52</v>
      </c>
      <c r="I228" t="s">
        <v>224</v>
      </c>
      <c r="J228" t="s">
        <v>55</v>
      </c>
      <c r="K228" t="s">
        <v>229</v>
      </c>
      <c r="M228" t="s">
        <v>6</v>
      </c>
    </row>
    <row r="229" spans="2:13" hidden="1">
      <c r="B229">
        <v>227</v>
      </c>
      <c r="C229">
        <v>29</v>
      </c>
      <c r="D229">
        <v>28</v>
      </c>
      <c r="E229">
        <v>0</v>
      </c>
      <c r="F229">
        <v>0</v>
      </c>
      <c r="G229" t="s">
        <v>183</v>
      </c>
      <c r="H229" t="s">
        <v>52</v>
      </c>
      <c r="I229" t="s">
        <v>230</v>
      </c>
      <c r="J229" t="s">
        <v>54</v>
      </c>
      <c r="K229" t="s">
        <v>230</v>
      </c>
      <c r="M229" t="s">
        <v>6</v>
      </c>
    </row>
    <row r="230" spans="2:13" hidden="1">
      <c r="B230">
        <v>228</v>
      </c>
      <c r="C230">
        <v>29</v>
      </c>
      <c r="D230">
        <v>28</v>
      </c>
      <c r="E230">
        <v>1</v>
      </c>
      <c r="F230">
        <v>0</v>
      </c>
      <c r="G230" t="s">
        <v>183</v>
      </c>
      <c r="H230" t="s">
        <v>52</v>
      </c>
      <c r="I230" t="s">
        <v>230</v>
      </c>
      <c r="J230" t="s">
        <v>55</v>
      </c>
      <c r="K230" t="s">
        <v>185</v>
      </c>
      <c r="M230" t="s">
        <v>6</v>
      </c>
    </row>
    <row r="231" spans="2:13" hidden="1">
      <c r="B231">
        <v>229</v>
      </c>
      <c r="C231">
        <v>29</v>
      </c>
      <c r="D231">
        <v>28</v>
      </c>
      <c r="E231">
        <v>2</v>
      </c>
      <c r="F231">
        <v>0</v>
      </c>
      <c r="G231" t="s">
        <v>183</v>
      </c>
      <c r="H231" t="s">
        <v>52</v>
      </c>
      <c r="I231" t="s">
        <v>230</v>
      </c>
      <c r="J231" t="s">
        <v>55</v>
      </c>
      <c r="K231" t="s">
        <v>186</v>
      </c>
      <c r="M231" t="s">
        <v>6</v>
      </c>
    </row>
    <row r="232" spans="2:13" hidden="1">
      <c r="B232">
        <v>230</v>
      </c>
      <c r="C232">
        <v>29</v>
      </c>
      <c r="D232">
        <v>28</v>
      </c>
      <c r="E232">
        <v>3</v>
      </c>
      <c r="F232">
        <v>0</v>
      </c>
      <c r="G232" t="s">
        <v>183</v>
      </c>
      <c r="H232" t="s">
        <v>52</v>
      </c>
      <c r="I232" t="s">
        <v>230</v>
      </c>
      <c r="J232" t="s">
        <v>55</v>
      </c>
      <c r="K232" t="s">
        <v>187</v>
      </c>
      <c r="M232" t="s">
        <v>6</v>
      </c>
    </row>
    <row r="233" spans="2:13" hidden="1">
      <c r="B233">
        <v>231</v>
      </c>
      <c r="C233">
        <v>29</v>
      </c>
      <c r="D233">
        <v>28</v>
      </c>
      <c r="E233">
        <v>4</v>
      </c>
      <c r="F233">
        <v>0</v>
      </c>
      <c r="G233" t="s">
        <v>183</v>
      </c>
      <c r="H233" t="s">
        <v>52</v>
      </c>
      <c r="I233" t="s">
        <v>230</v>
      </c>
      <c r="J233" t="s">
        <v>55</v>
      </c>
      <c r="K233" t="s">
        <v>188</v>
      </c>
      <c r="M233" t="s">
        <v>6</v>
      </c>
    </row>
    <row r="234" spans="2:13" hidden="1">
      <c r="B234">
        <v>232</v>
      </c>
      <c r="C234">
        <v>29</v>
      </c>
      <c r="D234">
        <v>28</v>
      </c>
      <c r="E234">
        <v>5</v>
      </c>
      <c r="F234">
        <v>0</v>
      </c>
      <c r="G234" t="s">
        <v>183</v>
      </c>
      <c r="H234" t="s">
        <v>52</v>
      </c>
      <c r="I234" t="s">
        <v>230</v>
      </c>
      <c r="J234" t="s">
        <v>55</v>
      </c>
      <c r="K234" t="s">
        <v>231</v>
      </c>
      <c r="M234" t="s">
        <v>6</v>
      </c>
    </row>
    <row r="235" spans="2:13" hidden="1">
      <c r="B235">
        <v>233</v>
      </c>
      <c r="C235">
        <v>29</v>
      </c>
      <c r="D235">
        <v>28</v>
      </c>
      <c r="E235">
        <v>6</v>
      </c>
      <c r="F235">
        <v>0</v>
      </c>
      <c r="G235" t="s">
        <v>183</v>
      </c>
      <c r="H235" t="s">
        <v>52</v>
      </c>
      <c r="I235" t="s">
        <v>230</v>
      </c>
      <c r="J235" t="s">
        <v>99</v>
      </c>
      <c r="K235" t="s">
        <v>232</v>
      </c>
      <c r="M235" t="s">
        <v>6</v>
      </c>
    </row>
    <row r="236" spans="2:13" hidden="1">
      <c r="B236">
        <v>234</v>
      </c>
      <c r="C236">
        <v>29</v>
      </c>
      <c r="D236">
        <v>28</v>
      </c>
      <c r="E236">
        <v>7</v>
      </c>
      <c r="F236">
        <v>0</v>
      </c>
      <c r="G236" t="s">
        <v>183</v>
      </c>
      <c r="H236" t="s">
        <v>52</v>
      </c>
      <c r="I236" t="s">
        <v>230</v>
      </c>
      <c r="J236" t="s">
        <v>99</v>
      </c>
      <c r="K236" t="s">
        <v>233</v>
      </c>
      <c r="M236" t="s">
        <v>6</v>
      </c>
    </row>
    <row r="237" spans="2:13" hidden="1">
      <c r="B237">
        <v>235</v>
      </c>
      <c r="C237">
        <v>29</v>
      </c>
      <c r="D237">
        <v>28</v>
      </c>
      <c r="E237">
        <v>8</v>
      </c>
      <c r="F237">
        <v>0</v>
      </c>
      <c r="G237" t="s">
        <v>183</v>
      </c>
      <c r="H237" t="s">
        <v>52</v>
      </c>
      <c r="I237" t="s">
        <v>230</v>
      </c>
      <c r="J237" t="s">
        <v>55</v>
      </c>
      <c r="K237" t="s">
        <v>234</v>
      </c>
      <c r="M237" t="s">
        <v>6</v>
      </c>
    </row>
    <row r="238" spans="2:13" hidden="1">
      <c r="B238">
        <v>236</v>
      </c>
      <c r="C238">
        <v>29</v>
      </c>
      <c r="D238">
        <v>28</v>
      </c>
      <c r="E238">
        <v>9</v>
      </c>
      <c r="F238">
        <v>0</v>
      </c>
      <c r="G238" t="s">
        <v>183</v>
      </c>
      <c r="H238" t="s">
        <v>52</v>
      </c>
      <c r="I238" t="s">
        <v>230</v>
      </c>
      <c r="J238" t="s">
        <v>99</v>
      </c>
      <c r="K238" t="s">
        <v>235</v>
      </c>
      <c r="M238" t="s">
        <v>6</v>
      </c>
    </row>
    <row r="239" spans="2:13" hidden="1">
      <c r="B239">
        <v>237</v>
      </c>
      <c r="C239">
        <v>29</v>
      </c>
      <c r="D239">
        <v>28</v>
      </c>
      <c r="E239">
        <v>10</v>
      </c>
      <c r="F239">
        <v>0</v>
      </c>
      <c r="G239" t="s">
        <v>183</v>
      </c>
      <c r="H239" t="s">
        <v>52</v>
      </c>
      <c r="I239" t="s">
        <v>230</v>
      </c>
      <c r="J239" t="s">
        <v>99</v>
      </c>
      <c r="K239" t="s">
        <v>236</v>
      </c>
      <c r="M239" t="s">
        <v>6</v>
      </c>
    </row>
    <row r="240" spans="2:13" hidden="1">
      <c r="B240">
        <v>238</v>
      </c>
      <c r="C240">
        <v>29</v>
      </c>
      <c r="D240">
        <v>28</v>
      </c>
      <c r="E240">
        <v>11</v>
      </c>
      <c r="F240">
        <v>0</v>
      </c>
      <c r="G240" t="s">
        <v>183</v>
      </c>
      <c r="H240" t="s">
        <v>52</v>
      </c>
      <c r="I240" t="s">
        <v>230</v>
      </c>
      <c r="J240" t="s">
        <v>99</v>
      </c>
      <c r="K240" t="s">
        <v>237</v>
      </c>
      <c r="M240" t="s">
        <v>6</v>
      </c>
    </row>
    <row r="241" spans="2:13" hidden="1">
      <c r="B241">
        <v>239</v>
      </c>
      <c r="C241">
        <v>29</v>
      </c>
      <c r="D241">
        <v>28</v>
      </c>
      <c r="E241">
        <v>12</v>
      </c>
      <c r="F241">
        <v>0</v>
      </c>
      <c r="G241" t="s">
        <v>183</v>
      </c>
      <c r="H241" t="s">
        <v>52</v>
      </c>
      <c r="I241" t="s">
        <v>230</v>
      </c>
      <c r="J241" t="s">
        <v>99</v>
      </c>
      <c r="K241" t="s">
        <v>238</v>
      </c>
      <c r="M241" t="s">
        <v>6</v>
      </c>
    </row>
    <row r="242" spans="2:13" hidden="1">
      <c r="B242">
        <v>240</v>
      </c>
      <c r="C242">
        <v>29</v>
      </c>
      <c r="D242">
        <v>28</v>
      </c>
      <c r="E242">
        <v>13</v>
      </c>
      <c r="F242">
        <v>0</v>
      </c>
      <c r="G242" t="s">
        <v>183</v>
      </c>
      <c r="H242" t="s">
        <v>52</v>
      </c>
      <c r="I242" t="s">
        <v>230</v>
      </c>
      <c r="J242" t="s">
        <v>55</v>
      </c>
      <c r="K242" t="s">
        <v>239</v>
      </c>
      <c r="M242" t="s">
        <v>6</v>
      </c>
    </row>
    <row r="243" spans="2:13" hidden="1">
      <c r="B243">
        <v>241</v>
      </c>
      <c r="C243">
        <v>29</v>
      </c>
      <c r="D243">
        <v>28</v>
      </c>
      <c r="E243">
        <v>14</v>
      </c>
      <c r="F243">
        <v>0</v>
      </c>
      <c r="G243" t="s">
        <v>183</v>
      </c>
      <c r="H243" t="s">
        <v>52</v>
      </c>
      <c r="I243" t="s">
        <v>230</v>
      </c>
      <c r="J243" t="s">
        <v>99</v>
      </c>
      <c r="K243" t="s">
        <v>240</v>
      </c>
      <c r="M243" t="s">
        <v>6</v>
      </c>
    </row>
    <row r="244" spans="2:13" hidden="1">
      <c r="B244">
        <v>242</v>
      </c>
      <c r="C244">
        <v>29</v>
      </c>
      <c r="D244">
        <v>28</v>
      </c>
      <c r="E244">
        <v>15</v>
      </c>
      <c r="F244">
        <v>0</v>
      </c>
      <c r="G244" t="s">
        <v>183</v>
      </c>
      <c r="H244" t="s">
        <v>52</v>
      </c>
      <c r="I244" t="s">
        <v>230</v>
      </c>
      <c r="J244" t="s">
        <v>99</v>
      </c>
      <c r="K244" t="s">
        <v>241</v>
      </c>
      <c r="M244" t="s">
        <v>6</v>
      </c>
    </row>
    <row r="245" spans="2:13" hidden="1">
      <c r="B245">
        <v>243</v>
      </c>
      <c r="C245">
        <v>29</v>
      </c>
      <c r="D245">
        <v>28</v>
      </c>
      <c r="E245">
        <v>16</v>
      </c>
      <c r="F245">
        <v>0</v>
      </c>
      <c r="G245" t="s">
        <v>183</v>
      </c>
      <c r="H245" t="s">
        <v>52</v>
      </c>
      <c r="I245" t="s">
        <v>230</v>
      </c>
      <c r="J245" t="s">
        <v>99</v>
      </c>
      <c r="K245" t="s">
        <v>242</v>
      </c>
      <c r="M245" t="s">
        <v>6</v>
      </c>
    </row>
    <row r="246" spans="2:13" hidden="1">
      <c r="B246">
        <v>244</v>
      </c>
      <c r="C246">
        <v>29</v>
      </c>
      <c r="D246">
        <v>28</v>
      </c>
      <c r="E246">
        <v>17</v>
      </c>
      <c r="F246">
        <v>0</v>
      </c>
      <c r="G246" t="s">
        <v>183</v>
      </c>
      <c r="H246" t="s">
        <v>52</v>
      </c>
      <c r="I246" t="s">
        <v>230</v>
      </c>
      <c r="J246" t="s">
        <v>55</v>
      </c>
      <c r="K246" t="s">
        <v>243</v>
      </c>
      <c r="M246" t="s">
        <v>6</v>
      </c>
    </row>
    <row r="247" spans="2:13" hidden="1">
      <c r="B247">
        <v>245</v>
      </c>
      <c r="C247">
        <v>29</v>
      </c>
      <c r="D247">
        <v>28</v>
      </c>
      <c r="E247">
        <v>18</v>
      </c>
      <c r="F247">
        <v>0</v>
      </c>
      <c r="G247" t="s">
        <v>183</v>
      </c>
      <c r="H247" t="s">
        <v>52</v>
      </c>
      <c r="I247" t="s">
        <v>230</v>
      </c>
      <c r="J247" t="s">
        <v>99</v>
      </c>
      <c r="K247" t="s">
        <v>244</v>
      </c>
      <c r="M247" t="s">
        <v>6</v>
      </c>
    </row>
    <row r="248" spans="2:13" hidden="1">
      <c r="B248">
        <v>246</v>
      </c>
      <c r="C248">
        <v>29</v>
      </c>
      <c r="D248">
        <v>28</v>
      </c>
      <c r="E248">
        <v>19</v>
      </c>
      <c r="F248">
        <v>0</v>
      </c>
      <c r="G248" t="s">
        <v>183</v>
      </c>
      <c r="H248" t="s">
        <v>52</v>
      </c>
      <c r="I248" t="s">
        <v>230</v>
      </c>
      <c r="J248" t="s">
        <v>99</v>
      </c>
      <c r="K248" t="s">
        <v>245</v>
      </c>
      <c r="M248" t="s">
        <v>6</v>
      </c>
    </row>
    <row r="249" spans="2:13" hidden="1">
      <c r="B249">
        <v>247</v>
      </c>
      <c r="C249">
        <v>29</v>
      </c>
      <c r="D249">
        <v>28</v>
      </c>
      <c r="E249">
        <v>20</v>
      </c>
      <c r="F249">
        <v>0</v>
      </c>
      <c r="G249" t="s">
        <v>183</v>
      </c>
      <c r="H249" t="s">
        <v>52</v>
      </c>
      <c r="I249" t="s">
        <v>230</v>
      </c>
      <c r="J249" t="s">
        <v>99</v>
      </c>
      <c r="K249" t="s">
        <v>246</v>
      </c>
      <c r="M249" t="s">
        <v>6</v>
      </c>
    </row>
    <row r="250" spans="2:13" hidden="1">
      <c r="B250">
        <v>248</v>
      </c>
      <c r="C250">
        <v>29</v>
      </c>
      <c r="D250">
        <v>28</v>
      </c>
      <c r="E250">
        <v>21</v>
      </c>
      <c r="F250">
        <v>0</v>
      </c>
      <c r="G250" t="s">
        <v>183</v>
      </c>
      <c r="H250" t="s">
        <v>52</v>
      </c>
      <c r="I250" t="s">
        <v>230</v>
      </c>
      <c r="J250" t="s">
        <v>55</v>
      </c>
      <c r="K250" t="s">
        <v>247</v>
      </c>
      <c r="M250" t="s">
        <v>6</v>
      </c>
    </row>
    <row r="251" spans="2:13" hidden="1">
      <c r="B251">
        <v>249</v>
      </c>
      <c r="C251">
        <v>29</v>
      </c>
      <c r="D251">
        <v>28</v>
      </c>
      <c r="E251">
        <v>22</v>
      </c>
      <c r="F251">
        <v>0</v>
      </c>
      <c r="G251" t="s">
        <v>183</v>
      </c>
      <c r="H251" t="s">
        <v>52</v>
      </c>
      <c r="I251" t="s">
        <v>230</v>
      </c>
      <c r="J251" t="s">
        <v>99</v>
      </c>
      <c r="K251" t="s">
        <v>248</v>
      </c>
      <c r="M251" t="s">
        <v>6</v>
      </c>
    </row>
    <row r="252" spans="2:13" hidden="1">
      <c r="B252">
        <v>250</v>
      </c>
      <c r="C252">
        <v>29</v>
      </c>
      <c r="D252">
        <v>28</v>
      </c>
      <c r="E252">
        <v>23</v>
      </c>
      <c r="F252">
        <v>0</v>
      </c>
      <c r="G252" t="s">
        <v>183</v>
      </c>
      <c r="H252" t="s">
        <v>52</v>
      </c>
      <c r="I252" t="s">
        <v>230</v>
      </c>
      <c r="J252" t="s">
        <v>55</v>
      </c>
      <c r="K252" t="s">
        <v>249</v>
      </c>
      <c r="M252" t="s">
        <v>6</v>
      </c>
    </row>
    <row r="253" spans="2:13" hidden="1">
      <c r="B253">
        <v>251</v>
      </c>
      <c r="C253">
        <v>29</v>
      </c>
      <c r="D253">
        <v>28</v>
      </c>
      <c r="E253">
        <v>24</v>
      </c>
      <c r="F253">
        <v>0</v>
      </c>
      <c r="G253" t="s">
        <v>183</v>
      </c>
      <c r="H253" t="s">
        <v>52</v>
      </c>
      <c r="I253" t="s">
        <v>230</v>
      </c>
      <c r="J253" t="s">
        <v>99</v>
      </c>
      <c r="K253" t="s">
        <v>250</v>
      </c>
      <c r="M253" t="s">
        <v>6</v>
      </c>
    </row>
    <row r="254" spans="2:13" hidden="1">
      <c r="B254">
        <v>252</v>
      </c>
      <c r="C254">
        <v>29</v>
      </c>
      <c r="D254">
        <v>28</v>
      </c>
      <c r="E254">
        <v>25</v>
      </c>
      <c r="F254">
        <v>0</v>
      </c>
      <c r="G254" t="s">
        <v>183</v>
      </c>
      <c r="H254" t="s">
        <v>52</v>
      </c>
      <c r="I254" t="s">
        <v>230</v>
      </c>
      <c r="J254" t="s">
        <v>99</v>
      </c>
      <c r="K254" t="s">
        <v>251</v>
      </c>
      <c r="M254" t="s">
        <v>6</v>
      </c>
    </row>
    <row r="255" spans="2:13" hidden="1">
      <c r="B255">
        <v>253</v>
      </c>
      <c r="C255">
        <v>29</v>
      </c>
      <c r="D255">
        <v>28</v>
      </c>
      <c r="E255">
        <v>26</v>
      </c>
      <c r="F255">
        <v>0</v>
      </c>
      <c r="G255" t="s">
        <v>183</v>
      </c>
      <c r="H255" t="s">
        <v>52</v>
      </c>
      <c r="I255" t="s">
        <v>230</v>
      </c>
      <c r="J255" t="s">
        <v>99</v>
      </c>
      <c r="K255" t="s">
        <v>252</v>
      </c>
      <c r="M255" t="s">
        <v>6</v>
      </c>
    </row>
    <row r="256" spans="2:13" hidden="1">
      <c r="B256">
        <v>254</v>
      </c>
      <c r="C256">
        <v>29</v>
      </c>
      <c r="D256">
        <v>28</v>
      </c>
      <c r="E256">
        <v>27</v>
      </c>
      <c r="F256">
        <v>0</v>
      </c>
      <c r="G256" t="s">
        <v>183</v>
      </c>
      <c r="H256" t="s">
        <v>52</v>
      </c>
      <c r="I256" t="s">
        <v>230</v>
      </c>
      <c r="J256" t="s">
        <v>99</v>
      </c>
      <c r="K256" t="s">
        <v>253</v>
      </c>
      <c r="M256" t="s">
        <v>6</v>
      </c>
    </row>
    <row r="257" spans="2:13" hidden="1">
      <c r="B257">
        <v>255</v>
      </c>
      <c r="C257">
        <v>29</v>
      </c>
      <c r="D257">
        <v>28</v>
      </c>
      <c r="E257">
        <v>28</v>
      </c>
      <c r="F257">
        <v>0</v>
      </c>
      <c r="G257" t="s">
        <v>183</v>
      </c>
      <c r="H257" t="s">
        <v>52</v>
      </c>
      <c r="I257" t="s">
        <v>230</v>
      </c>
      <c r="J257" t="s">
        <v>99</v>
      </c>
      <c r="K257" t="s">
        <v>254</v>
      </c>
      <c r="M257" t="s">
        <v>6</v>
      </c>
    </row>
    <row r="258" spans="2:13" hidden="1">
      <c r="B258">
        <v>256</v>
      </c>
      <c r="C258">
        <v>30</v>
      </c>
      <c r="D258">
        <v>59</v>
      </c>
      <c r="E258">
        <v>0</v>
      </c>
      <c r="F258">
        <v>0</v>
      </c>
      <c r="G258" t="s">
        <v>183</v>
      </c>
      <c r="H258" t="s">
        <v>52</v>
      </c>
      <c r="I258" t="s">
        <v>255</v>
      </c>
      <c r="J258" t="s">
        <v>54</v>
      </c>
      <c r="K258" t="s">
        <v>255</v>
      </c>
      <c r="M258" t="s">
        <v>6</v>
      </c>
    </row>
    <row r="259" spans="2:13" hidden="1">
      <c r="B259">
        <v>257</v>
      </c>
      <c r="C259">
        <v>30</v>
      </c>
      <c r="D259">
        <v>59</v>
      </c>
      <c r="E259">
        <v>1</v>
      </c>
      <c r="F259">
        <v>0</v>
      </c>
      <c r="G259" t="s">
        <v>183</v>
      </c>
      <c r="H259" t="s">
        <v>52</v>
      </c>
      <c r="I259" t="s">
        <v>255</v>
      </c>
      <c r="J259" t="s">
        <v>55</v>
      </c>
      <c r="K259" t="s">
        <v>185</v>
      </c>
      <c r="M259" t="s">
        <v>6</v>
      </c>
    </row>
    <row r="260" spans="2:13" hidden="1">
      <c r="B260">
        <v>258</v>
      </c>
      <c r="C260">
        <v>30</v>
      </c>
      <c r="D260">
        <v>59</v>
      </c>
      <c r="E260">
        <v>2</v>
      </c>
      <c r="F260">
        <v>0</v>
      </c>
      <c r="G260" t="s">
        <v>183</v>
      </c>
      <c r="H260" t="s">
        <v>52</v>
      </c>
      <c r="I260" t="s">
        <v>255</v>
      </c>
      <c r="J260" t="s">
        <v>55</v>
      </c>
      <c r="K260" t="s">
        <v>186</v>
      </c>
      <c r="M260" t="s">
        <v>6</v>
      </c>
    </row>
    <row r="261" spans="2:13" hidden="1">
      <c r="B261">
        <v>259</v>
      </c>
      <c r="C261">
        <v>30</v>
      </c>
      <c r="D261">
        <v>59</v>
      </c>
      <c r="E261">
        <v>3</v>
      </c>
      <c r="F261">
        <v>0</v>
      </c>
      <c r="G261" t="s">
        <v>183</v>
      </c>
      <c r="H261" t="s">
        <v>52</v>
      </c>
      <c r="I261" t="s">
        <v>255</v>
      </c>
      <c r="J261" t="s">
        <v>55</v>
      </c>
      <c r="K261" t="s">
        <v>187</v>
      </c>
      <c r="M261" t="s">
        <v>6</v>
      </c>
    </row>
    <row r="262" spans="2:13" hidden="1">
      <c r="B262">
        <v>260</v>
      </c>
      <c r="C262">
        <v>30</v>
      </c>
      <c r="D262">
        <v>59</v>
      </c>
      <c r="E262">
        <v>4</v>
      </c>
      <c r="F262">
        <v>0</v>
      </c>
      <c r="G262" t="s">
        <v>183</v>
      </c>
      <c r="H262" t="s">
        <v>52</v>
      </c>
      <c r="I262" t="s">
        <v>255</v>
      </c>
      <c r="J262" t="s">
        <v>55</v>
      </c>
      <c r="K262" t="s">
        <v>188</v>
      </c>
      <c r="M262" t="s">
        <v>6</v>
      </c>
    </row>
    <row r="263" spans="2:13" hidden="1">
      <c r="B263">
        <v>261</v>
      </c>
      <c r="C263">
        <v>30</v>
      </c>
      <c r="D263">
        <v>59</v>
      </c>
      <c r="E263">
        <v>5</v>
      </c>
      <c r="F263">
        <v>0</v>
      </c>
      <c r="G263" t="s">
        <v>183</v>
      </c>
      <c r="H263" t="s">
        <v>52</v>
      </c>
      <c r="I263" t="s">
        <v>255</v>
      </c>
      <c r="J263" t="s">
        <v>55</v>
      </c>
      <c r="K263" t="s">
        <v>256</v>
      </c>
      <c r="M263" t="s">
        <v>6</v>
      </c>
    </row>
    <row r="264" spans="2:13" hidden="1">
      <c r="B264">
        <v>262</v>
      </c>
      <c r="C264">
        <v>30</v>
      </c>
      <c r="D264">
        <v>59</v>
      </c>
      <c r="E264">
        <v>6</v>
      </c>
      <c r="F264">
        <v>0</v>
      </c>
      <c r="G264" t="s">
        <v>183</v>
      </c>
      <c r="H264" t="s">
        <v>52</v>
      </c>
      <c r="I264" t="s">
        <v>255</v>
      </c>
      <c r="J264" t="s">
        <v>99</v>
      </c>
      <c r="K264" t="s">
        <v>257</v>
      </c>
      <c r="M264" t="s">
        <v>6</v>
      </c>
    </row>
    <row r="265" spans="2:13" hidden="1">
      <c r="B265">
        <v>263</v>
      </c>
      <c r="C265">
        <v>30</v>
      </c>
      <c r="D265">
        <v>59</v>
      </c>
      <c r="E265">
        <v>7</v>
      </c>
      <c r="F265">
        <v>0</v>
      </c>
      <c r="G265" t="s">
        <v>183</v>
      </c>
      <c r="H265" t="s">
        <v>52</v>
      </c>
      <c r="I265" t="s">
        <v>255</v>
      </c>
      <c r="J265" t="s">
        <v>99</v>
      </c>
      <c r="K265" t="s">
        <v>258</v>
      </c>
      <c r="M265" t="s">
        <v>6</v>
      </c>
    </row>
    <row r="266" spans="2:13" hidden="1">
      <c r="B266">
        <v>264</v>
      </c>
      <c r="C266">
        <v>30</v>
      </c>
      <c r="D266">
        <v>59</v>
      </c>
      <c r="E266">
        <v>8</v>
      </c>
      <c r="F266">
        <v>0</v>
      </c>
      <c r="G266" t="s">
        <v>183</v>
      </c>
      <c r="H266" t="s">
        <v>52</v>
      </c>
      <c r="I266" t="s">
        <v>255</v>
      </c>
      <c r="J266" t="s">
        <v>55</v>
      </c>
      <c r="K266" t="s">
        <v>259</v>
      </c>
      <c r="M266" t="s">
        <v>6</v>
      </c>
    </row>
    <row r="267" spans="2:13" hidden="1">
      <c r="B267">
        <v>265</v>
      </c>
      <c r="C267">
        <v>30</v>
      </c>
      <c r="D267">
        <v>59</v>
      </c>
      <c r="E267">
        <v>9</v>
      </c>
      <c r="F267">
        <v>0</v>
      </c>
      <c r="G267" t="s">
        <v>183</v>
      </c>
      <c r="H267" t="s">
        <v>52</v>
      </c>
      <c r="I267" t="s">
        <v>255</v>
      </c>
      <c r="J267" t="s">
        <v>99</v>
      </c>
      <c r="K267" t="s">
        <v>260</v>
      </c>
      <c r="M267" t="s">
        <v>6</v>
      </c>
    </row>
    <row r="268" spans="2:13" hidden="1">
      <c r="B268">
        <v>266</v>
      </c>
      <c r="C268">
        <v>30</v>
      </c>
      <c r="D268">
        <v>59</v>
      </c>
      <c r="E268">
        <v>10</v>
      </c>
      <c r="F268">
        <v>0</v>
      </c>
      <c r="G268" t="s">
        <v>183</v>
      </c>
      <c r="H268" t="s">
        <v>52</v>
      </c>
      <c r="I268" t="s">
        <v>255</v>
      </c>
      <c r="J268" t="s">
        <v>99</v>
      </c>
      <c r="K268" t="s">
        <v>261</v>
      </c>
      <c r="M268" t="s">
        <v>6</v>
      </c>
    </row>
    <row r="269" spans="2:13" hidden="1">
      <c r="B269">
        <v>267</v>
      </c>
      <c r="C269">
        <v>30</v>
      </c>
      <c r="D269">
        <v>59</v>
      </c>
      <c r="E269">
        <v>11</v>
      </c>
      <c r="F269">
        <v>0</v>
      </c>
      <c r="G269" t="s">
        <v>183</v>
      </c>
      <c r="H269" t="s">
        <v>52</v>
      </c>
      <c r="I269" t="s">
        <v>255</v>
      </c>
      <c r="J269" t="s">
        <v>99</v>
      </c>
      <c r="K269" t="s">
        <v>262</v>
      </c>
      <c r="M269" t="s">
        <v>6</v>
      </c>
    </row>
    <row r="270" spans="2:13" hidden="1">
      <c r="B270">
        <v>268</v>
      </c>
      <c r="C270">
        <v>30</v>
      </c>
      <c r="D270">
        <v>59</v>
      </c>
      <c r="E270">
        <v>12</v>
      </c>
      <c r="F270">
        <v>0</v>
      </c>
      <c r="G270" t="s">
        <v>183</v>
      </c>
      <c r="H270" t="s">
        <v>52</v>
      </c>
      <c r="I270" t="s">
        <v>255</v>
      </c>
      <c r="J270" t="s">
        <v>55</v>
      </c>
      <c r="K270" t="s">
        <v>263</v>
      </c>
      <c r="M270" t="s">
        <v>6</v>
      </c>
    </row>
    <row r="271" spans="2:13" hidden="1">
      <c r="B271">
        <v>269</v>
      </c>
      <c r="C271">
        <v>30</v>
      </c>
      <c r="D271">
        <v>59</v>
      </c>
      <c r="E271">
        <v>13</v>
      </c>
      <c r="F271">
        <v>0</v>
      </c>
      <c r="G271" t="s">
        <v>183</v>
      </c>
      <c r="H271" t="s">
        <v>52</v>
      </c>
      <c r="I271" t="s">
        <v>255</v>
      </c>
      <c r="J271" t="s">
        <v>99</v>
      </c>
      <c r="K271" t="s">
        <v>264</v>
      </c>
      <c r="M271" t="s">
        <v>6</v>
      </c>
    </row>
    <row r="272" spans="2:13" hidden="1">
      <c r="B272">
        <v>270</v>
      </c>
      <c r="C272">
        <v>30</v>
      </c>
      <c r="D272">
        <v>59</v>
      </c>
      <c r="E272">
        <v>14</v>
      </c>
      <c r="F272">
        <v>0</v>
      </c>
      <c r="G272" t="s">
        <v>183</v>
      </c>
      <c r="H272" t="s">
        <v>52</v>
      </c>
      <c r="I272" t="s">
        <v>255</v>
      </c>
      <c r="J272" t="s">
        <v>99</v>
      </c>
      <c r="K272" t="s">
        <v>265</v>
      </c>
      <c r="M272" t="s">
        <v>6</v>
      </c>
    </row>
    <row r="273" spans="2:13" hidden="1">
      <c r="B273">
        <v>271</v>
      </c>
      <c r="C273">
        <v>30</v>
      </c>
      <c r="D273">
        <v>59</v>
      </c>
      <c r="E273">
        <v>15</v>
      </c>
      <c r="F273">
        <v>0</v>
      </c>
      <c r="G273" t="s">
        <v>183</v>
      </c>
      <c r="H273" t="s">
        <v>52</v>
      </c>
      <c r="I273" t="s">
        <v>255</v>
      </c>
      <c r="J273" t="s">
        <v>99</v>
      </c>
      <c r="K273" t="s">
        <v>266</v>
      </c>
      <c r="M273" t="s">
        <v>6</v>
      </c>
    </row>
    <row r="274" spans="2:13" hidden="1">
      <c r="B274">
        <v>272</v>
      </c>
      <c r="C274">
        <v>30</v>
      </c>
      <c r="D274">
        <v>59</v>
      </c>
      <c r="E274">
        <v>16</v>
      </c>
      <c r="F274">
        <v>0</v>
      </c>
      <c r="G274" t="s">
        <v>183</v>
      </c>
      <c r="H274" t="s">
        <v>52</v>
      </c>
      <c r="I274" t="s">
        <v>255</v>
      </c>
      <c r="J274" t="s">
        <v>99</v>
      </c>
      <c r="K274" t="s">
        <v>267</v>
      </c>
      <c r="M274" t="s">
        <v>6</v>
      </c>
    </row>
    <row r="275" spans="2:13" hidden="1">
      <c r="B275">
        <v>273</v>
      </c>
      <c r="C275">
        <v>30</v>
      </c>
      <c r="D275">
        <v>59</v>
      </c>
      <c r="E275">
        <v>17</v>
      </c>
      <c r="F275">
        <v>0</v>
      </c>
      <c r="G275" t="s">
        <v>183</v>
      </c>
      <c r="H275" t="s">
        <v>52</v>
      </c>
      <c r="I275" t="s">
        <v>255</v>
      </c>
      <c r="J275" t="s">
        <v>99</v>
      </c>
      <c r="K275" t="s">
        <v>268</v>
      </c>
      <c r="M275" t="s">
        <v>6</v>
      </c>
    </row>
    <row r="276" spans="2:13" hidden="1">
      <c r="B276">
        <v>274</v>
      </c>
      <c r="C276">
        <v>30</v>
      </c>
      <c r="D276">
        <v>59</v>
      </c>
      <c r="E276">
        <v>18</v>
      </c>
      <c r="F276">
        <v>0</v>
      </c>
      <c r="G276" t="s">
        <v>183</v>
      </c>
      <c r="H276" t="s">
        <v>52</v>
      </c>
      <c r="I276" t="s">
        <v>255</v>
      </c>
      <c r="J276" t="s">
        <v>269</v>
      </c>
      <c r="K276" t="s">
        <v>270</v>
      </c>
      <c r="M276" t="s">
        <v>6</v>
      </c>
    </row>
    <row r="277" spans="2:13" hidden="1">
      <c r="B277">
        <v>275</v>
      </c>
      <c r="C277">
        <v>30</v>
      </c>
      <c r="D277">
        <v>59</v>
      </c>
      <c r="E277">
        <v>19</v>
      </c>
      <c r="F277">
        <v>0</v>
      </c>
      <c r="G277" t="s">
        <v>183</v>
      </c>
      <c r="H277" t="s">
        <v>52</v>
      </c>
      <c r="I277" t="s">
        <v>255</v>
      </c>
      <c r="J277" t="s">
        <v>99</v>
      </c>
      <c r="K277" t="s">
        <v>271</v>
      </c>
      <c r="M277" t="s">
        <v>6</v>
      </c>
    </row>
    <row r="278" spans="2:13" hidden="1">
      <c r="B278">
        <v>276</v>
      </c>
      <c r="C278">
        <v>30</v>
      </c>
      <c r="D278">
        <v>59</v>
      </c>
      <c r="E278">
        <v>20</v>
      </c>
      <c r="F278">
        <v>0</v>
      </c>
      <c r="G278" t="s">
        <v>183</v>
      </c>
      <c r="H278" t="s">
        <v>52</v>
      </c>
      <c r="I278" t="s">
        <v>255</v>
      </c>
      <c r="J278" t="s">
        <v>99</v>
      </c>
      <c r="K278" t="s">
        <v>272</v>
      </c>
      <c r="M278" t="s">
        <v>6</v>
      </c>
    </row>
    <row r="279" spans="2:13" hidden="1">
      <c r="B279">
        <v>277</v>
      </c>
      <c r="C279">
        <v>30</v>
      </c>
      <c r="D279">
        <v>59</v>
      </c>
      <c r="E279">
        <v>21</v>
      </c>
      <c r="F279">
        <v>0</v>
      </c>
      <c r="G279" t="s">
        <v>183</v>
      </c>
      <c r="H279" t="s">
        <v>52</v>
      </c>
      <c r="I279" t="s">
        <v>255</v>
      </c>
      <c r="J279" t="s">
        <v>99</v>
      </c>
      <c r="K279" t="s">
        <v>273</v>
      </c>
      <c r="M279" t="s">
        <v>6</v>
      </c>
    </row>
    <row r="280" spans="2:13" hidden="1">
      <c r="B280">
        <v>278</v>
      </c>
      <c r="C280">
        <v>30</v>
      </c>
      <c r="D280">
        <v>59</v>
      </c>
      <c r="E280">
        <v>22</v>
      </c>
      <c r="F280">
        <v>0</v>
      </c>
      <c r="G280" t="s">
        <v>183</v>
      </c>
      <c r="H280" t="s">
        <v>52</v>
      </c>
      <c r="I280" t="s">
        <v>255</v>
      </c>
      <c r="J280" t="s">
        <v>55</v>
      </c>
      <c r="K280" t="s">
        <v>274</v>
      </c>
      <c r="M280" t="s">
        <v>6</v>
      </c>
    </row>
    <row r="281" spans="2:13" hidden="1">
      <c r="B281">
        <v>279</v>
      </c>
      <c r="C281">
        <v>30</v>
      </c>
      <c r="D281">
        <v>59</v>
      </c>
      <c r="E281">
        <v>23</v>
      </c>
      <c r="F281">
        <v>0</v>
      </c>
      <c r="G281" t="s">
        <v>183</v>
      </c>
      <c r="H281" t="s">
        <v>52</v>
      </c>
      <c r="I281" t="s">
        <v>255</v>
      </c>
      <c r="J281" t="s">
        <v>99</v>
      </c>
      <c r="K281" t="s">
        <v>275</v>
      </c>
      <c r="M281" t="s">
        <v>6</v>
      </c>
    </row>
    <row r="282" spans="2:13" hidden="1">
      <c r="B282">
        <v>280</v>
      </c>
      <c r="C282">
        <v>30</v>
      </c>
      <c r="D282">
        <v>59</v>
      </c>
      <c r="E282">
        <v>24</v>
      </c>
      <c r="F282">
        <v>0</v>
      </c>
      <c r="G282" t="s">
        <v>183</v>
      </c>
      <c r="H282" t="s">
        <v>52</v>
      </c>
      <c r="I282" t="s">
        <v>255</v>
      </c>
      <c r="J282" t="s">
        <v>99</v>
      </c>
      <c r="K282" t="s">
        <v>276</v>
      </c>
      <c r="M282" t="s">
        <v>6</v>
      </c>
    </row>
    <row r="283" spans="2:13" hidden="1">
      <c r="B283">
        <v>281</v>
      </c>
      <c r="C283">
        <v>30</v>
      </c>
      <c r="D283">
        <v>59</v>
      </c>
      <c r="E283">
        <v>25</v>
      </c>
      <c r="F283">
        <v>0</v>
      </c>
      <c r="G283" t="s">
        <v>183</v>
      </c>
      <c r="H283" t="s">
        <v>52</v>
      </c>
      <c r="I283" t="s">
        <v>255</v>
      </c>
      <c r="J283" t="s">
        <v>99</v>
      </c>
      <c r="K283" t="s">
        <v>277</v>
      </c>
      <c r="M283" t="s">
        <v>6</v>
      </c>
    </row>
    <row r="284" spans="2:13" hidden="1">
      <c r="B284">
        <v>282</v>
      </c>
      <c r="C284">
        <v>30</v>
      </c>
      <c r="D284">
        <v>59</v>
      </c>
      <c r="E284">
        <v>26</v>
      </c>
      <c r="F284">
        <v>0</v>
      </c>
      <c r="G284" t="s">
        <v>183</v>
      </c>
      <c r="H284" t="s">
        <v>52</v>
      </c>
      <c r="I284" t="s">
        <v>255</v>
      </c>
      <c r="J284" t="s">
        <v>55</v>
      </c>
      <c r="K284" t="s">
        <v>278</v>
      </c>
      <c r="M284" t="s">
        <v>6</v>
      </c>
    </row>
    <row r="285" spans="2:13" hidden="1">
      <c r="B285">
        <v>283</v>
      </c>
      <c r="C285">
        <v>30</v>
      </c>
      <c r="D285">
        <v>59</v>
      </c>
      <c r="E285">
        <v>27</v>
      </c>
      <c r="F285">
        <v>0</v>
      </c>
      <c r="G285" t="s">
        <v>183</v>
      </c>
      <c r="H285" t="s">
        <v>52</v>
      </c>
      <c r="I285" t="s">
        <v>255</v>
      </c>
      <c r="J285" t="s">
        <v>99</v>
      </c>
      <c r="K285" t="s">
        <v>279</v>
      </c>
      <c r="M285" t="s">
        <v>6</v>
      </c>
    </row>
    <row r="286" spans="2:13" hidden="1">
      <c r="B286">
        <v>284</v>
      </c>
      <c r="C286">
        <v>30</v>
      </c>
      <c r="D286">
        <v>59</v>
      </c>
      <c r="E286">
        <v>28</v>
      </c>
      <c r="F286">
        <v>0</v>
      </c>
      <c r="G286" t="s">
        <v>183</v>
      </c>
      <c r="H286" t="s">
        <v>52</v>
      </c>
      <c r="I286" t="s">
        <v>255</v>
      </c>
      <c r="J286" t="s">
        <v>99</v>
      </c>
      <c r="K286" t="s">
        <v>280</v>
      </c>
      <c r="M286" t="s">
        <v>6</v>
      </c>
    </row>
    <row r="287" spans="2:13" hidden="1">
      <c r="B287">
        <v>285</v>
      </c>
      <c r="C287">
        <v>30</v>
      </c>
      <c r="D287">
        <v>59</v>
      </c>
      <c r="E287">
        <v>29</v>
      </c>
      <c r="F287">
        <v>0</v>
      </c>
      <c r="G287" t="s">
        <v>183</v>
      </c>
      <c r="H287" t="s">
        <v>52</v>
      </c>
      <c r="I287" t="s">
        <v>255</v>
      </c>
      <c r="J287" t="s">
        <v>99</v>
      </c>
      <c r="K287" t="s">
        <v>281</v>
      </c>
      <c r="M287" t="s">
        <v>6</v>
      </c>
    </row>
    <row r="288" spans="2:13" hidden="1">
      <c r="B288">
        <v>286</v>
      </c>
      <c r="C288">
        <v>30</v>
      </c>
      <c r="D288">
        <v>59</v>
      </c>
      <c r="E288">
        <v>30</v>
      </c>
      <c r="F288">
        <v>0</v>
      </c>
      <c r="G288" t="s">
        <v>183</v>
      </c>
      <c r="H288" t="s">
        <v>52</v>
      </c>
      <c r="I288" t="s">
        <v>255</v>
      </c>
      <c r="J288" t="s">
        <v>55</v>
      </c>
      <c r="K288" t="s">
        <v>282</v>
      </c>
      <c r="M288" t="s">
        <v>6</v>
      </c>
    </row>
    <row r="289" spans="2:13" hidden="1">
      <c r="B289">
        <v>287</v>
      </c>
      <c r="C289">
        <v>30</v>
      </c>
      <c r="D289">
        <v>59</v>
      </c>
      <c r="E289">
        <v>31</v>
      </c>
      <c r="F289">
        <v>0</v>
      </c>
      <c r="G289" t="s">
        <v>183</v>
      </c>
      <c r="H289" t="s">
        <v>52</v>
      </c>
      <c r="I289" t="s">
        <v>255</v>
      </c>
      <c r="J289" t="s">
        <v>99</v>
      </c>
      <c r="K289" t="s">
        <v>283</v>
      </c>
      <c r="M289" t="s">
        <v>6</v>
      </c>
    </row>
    <row r="290" spans="2:13" hidden="1">
      <c r="B290">
        <v>288</v>
      </c>
      <c r="C290">
        <v>30</v>
      </c>
      <c r="D290">
        <v>59</v>
      </c>
      <c r="E290">
        <v>32</v>
      </c>
      <c r="F290">
        <v>0</v>
      </c>
      <c r="G290" t="s">
        <v>183</v>
      </c>
      <c r="H290" t="s">
        <v>52</v>
      </c>
      <c r="I290" t="s">
        <v>255</v>
      </c>
      <c r="J290" t="s">
        <v>99</v>
      </c>
      <c r="K290" t="s">
        <v>284</v>
      </c>
      <c r="M290" t="s">
        <v>6</v>
      </c>
    </row>
    <row r="291" spans="2:13" hidden="1">
      <c r="B291">
        <v>289</v>
      </c>
      <c r="C291">
        <v>30</v>
      </c>
      <c r="D291">
        <v>59</v>
      </c>
      <c r="E291">
        <v>33</v>
      </c>
      <c r="F291">
        <v>0</v>
      </c>
      <c r="G291" t="s">
        <v>183</v>
      </c>
      <c r="H291" t="s">
        <v>52</v>
      </c>
      <c r="I291" t="s">
        <v>255</v>
      </c>
      <c r="J291" t="s">
        <v>99</v>
      </c>
      <c r="K291" t="s">
        <v>285</v>
      </c>
      <c r="M291" t="s">
        <v>6</v>
      </c>
    </row>
    <row r="292" spans="2:13" hidden="1">
      <c r="B292">
        <v>290</v>
      </c>
      <c r="C292">
        <v>30</v>
      </c>
      <c r="D292">
        <v>59</v>
      </c>
      <c r="E292">
        <v>34</v>
      </c>
      <c r="F292">
        <v>0</v>
      </c>
      <c r="G292" t="s">
        <v>183</v>
      </c>
      <c r="H292" t="s">
        <v>52</v>
      </c>
      <c r="I292" t="s">
        <v>255</v>
      </c>
      <c r="J292" t="s">
        <v>99</v>
      </c>
      <c r="K292" t="s">
        <v>286</v>
      </c>
      <c r="M292" t="s">
        <v>6</v>
      </c>
    </row>
    <row r="293" spans="2:13" hidden="1">
      <c r="B293">
        <v>291</v>
      </c>
      <c r="C293">
        <v>30</v>
      </c>
      <c r="D293">
        <v>59</v>
      </c>
      <c r="E293">
        <v>35</v>
      </c>
      <c r="F293">
        <v>0</v>
      </c>
      <c r="G293" t="s">
        <v>183</v>
      </c>
      <c r="H293" t="s">
        <v>52</v>
      </c>
      <c r="I293" t="s">
        <v>255</v>
      </c>
      <c r="J293" t="s">
        <v>99</v>
      </c>
      <c r="K293" t="s">
        <v>287</v>
      </c>
      <c r="M293" t="s">
        <v>6</v>
      </c>
    </row>
    <row r="294" spans="2:13" hidden="1">
      <c r="B294">
        <v>292</v>
      </c>
      <c r="C294">
        <v>30</v>
      </c>
      <c r="D294">
        <v>59</v>
      </c>
      <c r="E294">
        <v>36</v>
      </c>
      <c r="F294">
        <v>0</v>
      </c>
      <c r="G294" t="s">
        <v>183</v>
      </c>
      <c r="H294" t="s">
        <v>52</v>
      </c>
      <c r="I294" t="s">
        <v>255</v>
      </c>
      <c r="J294" t="s">
        <v>99</v>
      </c>
      <c r="K294" t="s">
        <v>288</v>
      </c>
      <c r="M294" t="s">
        <v>6</v>
      </c>
    </row>
    <row r="295" spans="2:13" hidden="1">
      <c r="B295">
        <v>293</v>
      </c>
      <c r="C295">
        <v>30</v>
      </c>
      <c r="D295">
        <v>59</v>
      </c>
      <c r="E295">
        <v>37</v>
      </c>
      <c r="F295">
        <v>0</v>
      </c>
      <c r="G295" t="s">
        <v>183</v>
      </c>
      <c r="H295" t="s">
        <v>52</v>
      </c>
      <c r="I295" t="s">
        <v>255</v>
      </c>
      <c r="J295" t="s">
        <v>269</v>
      </c>
      <c r="K295" t="s">
        <v>289</v>
      </c>
      <c r="M295" t="s">
        <v>6</v>
      </c>
    </row>
    <row r="296" spans="2:13" hidden="1">
      <c r="B296">
        <v>294</v>
      </c>
      <c r="C296">
        <v>30</v>
      </c>
      <c r="D296">
        <v>59</v>
      </c>
      <c r="E296">
        <v>38</v>
      </c>
      <c r="F296">
        <v>0</v>
      </c>
      <c r="G296" t="s">
        <v>183</v>
      </c>
      <c r="H296" t="s">
        <v>52</v>
      </c>
      <c r="I296" t="s">
        <v>255</v>
      </c>
      <c r="J296" t="s">
        <v>99</v>
      </c>
      <c r="K296" t="s">
        <v>290</v>
      </c>
      <c r="M296" t="s">
        <v>6</v>
      </c>
    </row>
    <row r="297" spans="2:13" hidden="1">
      <c r="B297">
        <v>295</v>
      </c>
      <c r="C297">
        <v>30</v>
      </c>
      <c r="D297">
        <v>59</v>
      </c>
      <c r="E297">
        <v>39</v>
      </c>
      <c r="F297">
        <v>0</v>
      </c>
      <c r="G297" t="s">
        <v>183</v>
      </c>
      <c r="H297" t="s">
        <v>52</v>
      </c>
      <c r="I297" t="s">
        <v>255</v>
      </c>
      <c r="J297" t="s">
        <v>269</v>
      </c>
      <c r="K297" t="s">
        <v>291</v>
      </c>
      <c r="M297" t="s">
        <v>6</v>
      </c>
    </row>
    <row r="298" spans="2:13" hidden="1">
      <c r="B298">
        <v>296</v>
      </c>
      <c r="C298">
        <v>30</v>
      </c>
      <c r="D298">
        <v>59</v>
      </c>
      <c r="E298">
        <v>40</v>
      </c>
      <c r="F298">
        <v>0</v>
      </c>
      <c r="G298" t="s">
        <v>183</v>
      </c>
      <c r="H298" t="s">
        <v>52</v>
      </c>
      <c r="I298" t="s">
        <v>255</v>
      </c>
      <c r="J298" t="s">
        <v>99</v>
      </c>
      <c r="K298" t="s">
        <v>292</v>
      </c>
      <c r="M298" t="s">
        <v>6</v>
      </c>
    </row>
    <row r="299" spans="2:13" hidden="1">
      <c r="B299">
        <v>297</v>
      </c>
      <c r="C299">
        <v>30</v>
      </c>
      <c r="D299">
        <v>59</v>
      </c>
      <c r="E299">
        <v>41</v>
      </c>
      <c r="F299">
        <v>0</v>
      </c>
      <c r="G299" t="s">
        <v>183</v>
      </c>
      <c r="H299" t="s">
        <v>52</v>
      </c>
      <c r="I299" t="s">
        <v>255</v>
      </c>
      <c r="J299" t="s">
        <v>269</v>
      </c>
      <c r="K299" t="s">
        <v>293</v>
      </c>
      <c r="M299" t="s">
        <v>6</v>
      </c>
    </row>
    <row r="300" spans="2:13" hidden="1">
      <c r="B300">
        <v>298</v>
      </c>
      <c r="C300">
        <v>30</v>
      </c>
      <c r="D300">
        <v>59</v>
      </c>
      <c r="E300">
        <v>42</v>
      </c>
      <c r="F300">
        <v>0</v>
      </c>
      <c r="G300" t="s">
        <v>183</v>
      </c>
      <c r="H300" t="s">
        <v>52</v>
      </c>
      <c r="I300" t="s">
        <v>255</v>
      </c>
      <c r="J300" t="s">
        <v>99</v>
      </c>
      <c r="K300" t="s">
        <v>294</v>
      </c>
      <c r="M300" t="s">
        <v>6</v>
      </c>
    </row>
    <row r="301" spans="2:13" hidden="1">
      <c r="B301">
        <v>299</v>
      </c>
      <c r="C301">
        <v>30</v>
      </c>
      <c r="D301">
        <v>59</v>
      </c>
      <c r="E301">
        <v>43</v>
      </c>
      <c r="F301">
        <v>0</v>
      </c>
      <c r="G301" t="s">
        <v>183</v>
      </c>
      <c r="H301" t="s">
        <v>52</v>
      </c>
      <c r="I301" t="s">
        <v>255</v>
      </c>
      <c r="J301" t="s">
        <v>99</v>
      </c>
      <c r="K301" t="s">
        <v>295</v>
      </c>
      <c r="M301" t="s">
        <v>6</v>
      </c>
    </row>
    <row r="302" spans="2:13" hidden="1">
      <c r="B302">
        <v>300</v>
      </c>
      <c r="C302">
        <v>30</v>
      </c>
      <c r="D302">
        <v>59</v>
      </c>
      <c r="E302">
        <v>44</v>
      </c>
      <c r="F302">
        <v>0</v>
      </c>
      <c r="G302" t="s">
        <v>183</v>
      </c>
      <c r="H302" t="s">
        <v>52</v>
      </c>
      <c r="I302" t="s">
        <v>255</v>
      </c>
      <c r="J302" t="s">
        <v>55</v>
      </c>
      <c r="K302" t="s">
        <v>296</v>
      </c>
      <c r="M302" t="s">
        <v>6</v>
      </c>
    </row>
    <row r="303" spans="2:13" hidden="1">
      <c r="B303">
        <v>301</v>
      </c>
      <c r="C303">
        <v>30</v>
      </c>
      <c r="D303">
        <v>59</v>
      </c>
      <c r="E303">
        <v>45</v>
      </c>
      <c r="F303">
        <v>0</v>
      </c>
      <c r="G303" t="s">
        <v>183</v>
      </c>
      <c r="H303" t="s">
        <v>52</v>
      </c>
      <c r="I303" t="s">
        <v>255</v>
      </c>
      <c r="J303" t="s">
        <v>99</v>
      </c>
      <c r="K303" t="s">
        <v>297</v>
      </c>
      <c r="M303" t="s">
        <v>6</v>
      </c>
    </row>
    <row r="304" spans="2:13" hidden="1">
      <c r="B304">
        <v>302</v>
      </c>
      <c r="C304">
        <v>30</v>
      </c>
      <c r="D304">
        <v>59</v>
      </c>
      <c r="E304">
        <v>46</v>
      </c>
      <c r="F304">
        <v>0</v>
      </c>
      <c r="G304" t="s">
        <v>183</v>
      </c>
      <c r="H304" t="s">
        <v>52</v>
      </c>
      <c r="I304" t="s">
        <v>255</v>
      </c>
      <c r="J304" t="s">
        <v>55</v>
      </c>
      <c r="K304" t="s">
        <v>298</v>
      </c>
      <c r="M304" t="s">
        <v>6</v>
      </c>
    </row>
    <row r="305" spans="2:13" hidden="1">
      <c r="B305">
        <v>303</v>
      </c>
      <c r="C305">
        <v>30</v>
      </c>
      <c r="D305">
        <v>59</v>
      </c>
      <c r="E305">
        <v>47</v>
      </c>
      <c r="F305">
        <v>0</v>
      </c>
      <c r="G305" t="s">
        <v>183</v>
      </c>
      <c r="H305" t="s">
        <v>52</v>
      </c>
      <c r="I305" t="s">
        <v>255</v>
      </c>
      <c r="J305" t="s">
        <v>99</v>
      </c>
      <c r="K305" t="s">
        <v>299</v>
      </c>
      <c r="M305" t="s">
        <v>6</v>
      </c>
    </row>
    <row r="306" spans="2:13" hidden="1">
      <c r="B306">
        <v>304</v>
      </c>
      <c r="C306">
        <v>30</v>
      </c>
      <c r="D306">
        <v>59</v>
      </c>
      <c r="E306">
        <v>48</v>
      </c>
      <c r="F306">
        <v>0</v>
      </c>
      <c r="G306" t="s">
        <v>183</v>
      </c>
      <c r="H306" t="s">
        <v>52</v>
      </c>
      <c r="I306" t="s">
        <v>255</v>
      </c>
      <c r="J306" t="s">
        <v>99</v>
      </c>
      <c r="K306" t="s">
        <v>300</v>
      </c>
      <c r="M306" t="s">
        <v>6</v>
      </c>
    </row>
    <row r="307" spans="2:13" hidden="1">
      <c r="B307">
        <v>305</v>
      </c>
      <c r="C307">
        <v>30</v>
      </c>
      <c r="D307">
        <v>59</v>
      </c>
      <c r="E307">
        <v>49</v>
      </c>
      <c r="F307">
        <v>0</v>
      </c>
      <c r="G307" t="s">
        <v>183</v>
      </c>
      <c r="H307" t="s">
        <v>52</v>
      </c>
      <c r="I307" t="s">
        <v>255</v>
      </c>
      <c r="J307" t="s">
        <v>99</v>
      </c>
      <c r="K307" t="s">
        <v>301</v>
      </c>
      <c r="M307" t="s">
        <v>6</v>
      </c>
    </row>
    <row r="308" spans="2:13" hidden="1">
      <c r="B308">
        <v>306</v>
      </c>
      <c r="C308">
        <v>30</v>
      </c>
      <c r="D308">
        <v>59</v>
      </c>
      <c r="E308">
        <v>50</v>
      </c>
      <c r="F308">
        <v>0</v>
      </c>
      <c r="G308" t="s">
        <v>183</v>
      </c>
      <c r="H308" t="s">
        <v>52</v>
      </c>
      <c r="I308" t="s">
        <v>255</v>
      </c>
      <c r="J308" t="s">
        <v>99</v>
      </c>
      <c r="K308" t="s">
        <v>302</v>
      </c>
      <c r="M308" t="s">
        <v>6</v>
      </c>
    </row>
    <row r="309" spans="2:13" hidden="1">
      <c r="B309">
        <v>307</v>
      </c>
      <c r="C309">
        <v>30</v>
      </c>
      <c r="D309">
        <v>59</v>
      </c>
      <c r="E309">
        <v>51</v>
      </c>
      <c r="F309">
        <v>0</v>
      </c>
      <c r="G309" t="s">
        <v>183</v>
      </c>
      <c r="H309" t="s">
        <v>52</v>
      </c>
      <c r="I309" t="s">
        <v>255</v>
      </c>
      <c r="J309" t="s">
        <v>99</v>
      </c>
      <c r="K309" t="s">
        <v>303</v>
      </c>
      <c r="M309" t="s">
        <v>6</v>
      </c>
    </row>
    <row r="310" spans="2:13" hidden="1">
      <c r="B310">
        <v>308</v>
      </c>
      <c r="C310">
        <v>30</v>
      </c>
      <c r="D310">
        <v>59</v>
      </c>
      <c r="E310">
        <v>52</v>
      </c>
      <c r="F310">
        <v>0</v>
      </c>
      <c r="G310" t="s">
        <v>183</v>
      </c>
      <c r="H310" t="s">
        <v>52</v>
      </c>
      <c r="I310" t="s">
        <v>255</v>
      </c>
      <c r="J310" t="s">
        <v>99</v>
      </c>
      <c r="K310" t="s">
        <v>304</v>
      </c>
      <c r="M310" t="s">
        <v>6</v>
      </c>
    </row>
    <row r="311" spans="2:13" hidden="1">
      <c r="B311">
        <v>309</v>
      </c>
      <c r="C311">
        <v>30</v>
      </c>
      <c r="D311">
        <v>59</v>
      </c>
      <c r="E311">
        <v>53</v>
      </c>
      <c r="F311">
        <v>0</v>
      </c>
      <c r="G311" t="s">
        <v>183</v>
      </c>
      <c r="H311" t="s">
        <v>52</v>
      </c>
      <c r="I311" t="s">
        <v>255</v>
      </c>
      <c r="J311" t="s">
        <v>99</v>
      </c>
      <c r="K311" t="s">
        <v>305</v>
      </c>
      <c r="M311" t="s">
        <v>6</v>
      </c>
    </row>
    <row r="312" spans="2:13" hidden="1">
      <c r="B312">
        <v>310</v>
      </c>
      <c r="C312">
        <v>30</v>
      </c>
      <c r="D312">
        <v>59</v>
      </c>
      <c r="E312">
        <v>54</v>
      </c>
      <c r="F312">
        <v>0</v>
      </c>
      <c r="G312" t="s">
        <v>183</v>
      </c>
      <c r="H312" t="s">
        <v>52</v>
      </c>
      <c r="I312" t="s">
        <v>255</v>
      </c>
      <c r="J312" t="s">
        <v>99</v>
      </c>
      <c r="K312" t="s">
        <v>306</v>
      </c>
      <c r="M312" t="s">
        <v>6</v>
      </c>
    </row>
    <row r="313" spans="2:13" hidden="1">
      <c r="B313">
        <v>311</v>
      </c>
      <c r="C313">
        <v>30</v>
      </c>
      <c r="D313">
        <v>59</v>
      </c>
      <c r="E313">
        <v>55</v>
      </c>
      <c r="F313">
        <v>0</v>
      </c>
      <c r="G313" t="s">
        <v>183</v>
      </c>
      <c r="H313" t="s">
        <v>52</v>
      </c>
      <c r="I313" t="s">
        <v>255</v>
      </c>
      <c r="J313" t="s">
        <v>99</v>
      </c>
      <c r="K313" t="s">
        <v>307</v>
      </c>
      <c r="M313" t="s">
        <v>6</v>
      </c>
    </row>
    <row r="314" spans="2:13" hidden="1">
      <c r="B314">
        <v>312</v>
      </c>
      <c r="C314">
        <v>30</v>
      </c>
      <c r="D314">
        <v>59</v>
      </c>
      <c r="E314">
        <v>56</v>
      </c>
      <c r="F314">
        <v>0</v>
      </c>
      <c r="G314" t="s">
        <v>183</v>
      </c>
      <c r="H314" t="s">
        <v>52</v>
      </c>
      <c r="I314" t="s">
        <v>255</v>
      </c>
      <c r="J314" t="s">
        <v>55</v>
      </c>
      <c r="K314" t="s">
        <v>308</v>
      </c>
      <c r="M314" t="s">
        <v>6</v>
      </c>
    </row>
    <row r="315" spans="2:13" hidden="1">
      <c r="B315">
        <v>313</v>
      </c>
      <c r="C315">
        <v>30</v>
      </c>
      <c r="D315">
        <v>59</v>
      </c>
      <c r="E315">
        <v>57</v>
      </c>
      <c r="F315">
        <v>0</v>
      </c>
      <c r="G315" t="s">
        <v>183</v>
      </c>
      <c r="H315" t="s">
        <v>52</v>
      </c>
      <c r="I315" t="s">
        <v>255</v>
      </c>
      <c r="J315" t="s">
        <v>99</v>
      </c>
      <c r="K315" t="s">
        <v>309</v>
      </c>
      <c r="M315" t="s">
        <v>6</v>
      </c>
    </row>
    <row r="316" spans="2:13" hidden="1">
      <c r="B316">
        <v>314</v>
      </c>
      <c r="C316">
        <v>30</v>
      </c>
      <c r="D316">
        <v>59</v>
      </c>
      <c r="E316">
        <v>58</v>
      </c>
      <c r="F316">
        <v>0</v>
      </c>
      <c r="G316" t="s">
        <v>183</v>
      </c>
      <c r="H316" t="s">
        <v>52</v>
      </c>
      <c r="I316" t="s">
        <v>255</v>
      </c>
      <c r="J316" t="s">
        <v>55</v>
      </c>
      <c r="K316" t="s">
        <v>310</v>
      </c>
      <c r="M316" t="s">
        <v>6</v>
      </c>
    </row>
    <row r="317" spans="2:13" hidden="1">
      <c r="B317">
        <v>315</v>
      </c>
      <c r="C317">
        <v>30</v>
      </c>
      <c r="D317">
        <v>59</v>
      </c>
      <c r="E317">
        <v>59</v>
      </c>
      <c r="F317">
        <v>0</v>
      </c>
      <c r="G317" t="s">
        <v>183</v>
      </c>
      <c r="H317" t="s">
        <v>52</v>
      </c>
      <c r="I317" t="s">
        <v>255</v>
      </c>
      <c r="J317" t="s">
        <v>55</v>
      </c>
      <c r="K317" t="s">
        <v>311</v>
      </c>
      <c r="M317" t="s">
        <v>6</v>
      </c>
    </row>
    <row r="318" spans="2:13" hidden="1">
      <c r="B318">
        <v>316</v>
      </c>
      <c r="C318">
        <v>31</v>
      </c>
      <c r="D318">
        <v>15</v>
      </c>
      <c r="E318">
        <v>0</v>
      </c>
      <c r="F318">
        <v>0</v>
      </c>
      <c r="G318" t="s">
        <v>183</v>
      </c>
      <c r="H318" t="s">
        <v>52</v>
      </c>
      <c r="I318" t="s">
        <v>312</v>
      </c>
      <c r="J318" t="s">
        <v>54</v>
      </c>
      <c r="K318" t="s">
        <v>312</v>
      </c>
      <c r="M318" t="s">
        <v>6</v>
      </c>
    </row>
    <row r="319" spans="2:13" hidden="1">
      <c r="B319">
        <v>317</v>
      </c>
      <c r="C319">
        <v>31</v>
      </c>
      <c r="D319">
        <v>15</v>
      </c>
      <c r="E319">
        <v>1</v>
      </c>
      <c r="F319">
        <v>0</v>
      </c>
      <c r="G319" t="s">
        <v>183</v>
      </c>
      <c r="H319" t="s">
        <v>52</v>
      </c>
      <c r="I319" t="s">
        <v>312</v>
      </c>
      <c r="J319" t="s">
        <v>55</v>
      </c>
      <c r="K319" t="s">
        <v>185</v>
      </c>
      <c r="M319" t="s">
        <v>6</v>
      </c>
    </row>
    <row r="320" spans="2:13" hidden="1">
      <c r="B320">
        <v>318</v>
      </c>
      <c r="C320">
        <v>31</v>
      </c>
      <c r="D320">
        <v>15</v>
      </c>
      <c r="E320">
        <v>2</v>
      </c>
      <c r="F320">
        <v>0</v>
      </c>
      <c r="G320" t="s">
        <v>183</v>
      </c>
      <c r="H320" t="s">
        <v>52</v>
      </c>
      <c r="I320" t="s">
        <v>312</v>
      </c>
      <c r="J320" t="s">
        <v>55</v>
      </c>
      <c r="K320" t="s">
        <v>186</v>
      </c>
      <c r="M320" t="s">
        <v>6</v>
      </c>
    </row>
    <row r="321" spans="2:13" hidden="1">
      <c r="B321">
        <v>319</v>
      </c>
      <c r="C321">
        <v>31</v>
      </c>
      <c r="D321">
        <v>15</v>
      </c>
      <c r="E321">
        <v>3</v>
      </c>
      <c r="F321">
        <v>0</v>
      </c>
      <c r="G321" t="s">
        <v>183</v>
      </c>
      <c r="H321" t="s">
        <v>52</v>
      </c>
      <c r="I321" t="s">
        <v>312</v>
      </c>
      <c r="J321" t="s">
        <v>55</v>
      </c>
      <c r="K321" t="s">
        <v>187</v>
      </c>
      <c r="M321" t="s">
        <v>6</v>
      </c>
    </row>
    <row r="322" spans="2:13" hidden="1">
      <c r="B322">
        <v>320</v>
      </c>
      <c r="C322">
        <v>31</v>
      </c>
      <c r="D322">
        <v>15</v>
      </c>
      <c r="E322">
        <v>4</v>
      </c>
      <c r="F322">
        <v>0</v>
      </c>
      <c r="G322" t="s">
        <v>183</v>
      </c>
      <c r="H322" t="s">
        <v>52</v>
      </c>
      <c r="I322" t="s">
        <v>312</v>
      </c>
      <c r="J322" t="s">
        <v>55</v>
      </c>
      <c r="K322" t="s">
        <v>313</v>
      </c>
      <c r="M322" t="s">
        <v>6</v>
      </c>
    </row>
    <row r="323" spans="2:13" hidden="1">
      <c r="B323">
        <v>321</v>
      </c>
      <c r="C323">
        <v>31</v>
      </c>
      <c r="D323">
        <v>15</v>
      </c>
      <c r="E323">
        <v>5</v>
      </c>
      <c r="F323">
        <v>0</v>
      </c>
      <c r="G323" t="s">
        <v>183</v>
      </c>
      <c r="H323" t="s">
        <v>52</v>
      </c>
      <c r="I323" t="s">
        <v>312</v>
      </c>
      <c r="J323" t="s">
        <v>55</v>
      </c>
      <c r="K323" t="s">
        <v>239</v>
      </c>
      <c r="M323" t="s">
        <v>6</v>
      </c>
    </row>
    <row r="324" spans="2:13" hidden="1">
      <c r="B324">
        <v>322</v>
      </c>
      <c r="C324">
        <v>31</v>
      </c>
      <c r="D324">
        <v>15</v>
      </c>
      <c r="E324">
        <v>6</v>
      </c>
      <c r="F324">
        <v>0</v>
      </c>
      <c r="G324" t="s">
        <v>183</v>
      </c>
      <c r="H324" t="s">
        <v>52</v>
      </c>
      <c r="I324" t="s">
        <v>312</v>
      </c>
      <c r="J324" t="s">
        <v>99</v>
      </c>
      <c r="K324" t="s">
        <v>314</v>
      </c>
      <c r="M324" t="s">
        <v>6</v>
      </c>
    </row>
    <row r="325" spans="2:13" hidden="1">
      <c r="B325">
        <v>323</v>
      </c>
      <c r="C325">
        <v>31</v>
      </c>
      <c r="D325">
        <v>15</v>
      </c>
      <c r="E325">
        <v>7</v>
      </c>
      <c r="F325">
        <v>0</v>
      </c>
      <c r="G325" t="s">
        <v>183</v>
      </c>
      <c r="H325" t="s">
        <v>52</v>
      </c>
      <c r="I325" t="s">
        <v>312</v>
      </c>
      <c r="J325" t="s">
        <v>99</v>
      </c>
      <c r="K325" t="s">
        <v>315</v>
      </c>
      <c r="M325" t="s">
        <v>6</v>
      </c>
    </row>
    <row r="326" spans="2:13" hidden="1">
      <c r="B326">
        <v>324</v>
      </c>
      <c r="C326">
        <v>31</v>
      </c>
      <c r="D326">
        <v>15</v>
      </c>
      <c r="E326">
        <v>8</v>
      </c>
      <c r="F326">
        <v>0</v>
      </c>
      <c r="G326" t="s">
        <v>183</v>
      </c>
      <c r="H326" t="s">
        <v>52</v>
      </c>
      <c r="I326" t="s">
        <v>312</v>
      </c>
      <c r="J326" t="s">
        <v>55</v>
      </c>
      <c r="K326" t="s">
        <v>316</v>
      </c>
      <c r="M326" t="s">
        <v>6</v>
      </c>
    </row>
    <row r="327" spans="2:13" hidden="1">
      <c r="B327">
        <v>325</v>
      </c>
      <c r="C327">
        <v>31</v>
      </c>
      <c r="D327">
        <v>15</v>
      </c>
      <c r="E327">
        <v>9</v>
      </c>
      <c r="F327">
        <v>0</v>
      </c>
      <c r="G327" t="s">
        <v>183</v>
      </c>
      <c r="H327" t="s">
        <v>52</v>
      </c>
      <c r="I327" t="s">
        <v>312</v>
      </c>
      <c r="J327" t="s">
        <v>99</v>
      </c>
      <c r="K327" t="s">
        <v>317</v>
      </c>
      <c r="M327" t="s">
        <v>6</v>
      </c>
    </row>
    <row r="328" spans="2:13" hidden="1">
      <c r="B328">
        <v>326</v>
      </c>
      <c r="C328">
        <v>31</v>
      </c>
      <c r="D328">
        <v>15</v>
      </c>
      <c r="E328">
        <v>10</v>
      </c>
      <c r="F328">
        <v>0</v>
      </c>
      <c r="G328" t="s">
        <v>183</v>
      </c>
      <c r="H328" t="s">
        <v>52</v>
      </c>
      <c r="I328" t="s">
        <v>312</v>
      </c>
      <c r="J328" t="s">
        <v>99</v>
      </c>
      <c r="K328" t="s">
        <v>318</v>
      </c>
      <c r="M328" t="s">
        <v>6</v>
      </c>
    </row>
    <row r="329" spans="2:13" hidden="1">
      <c r="B329">
        <v>327</v>
      </c>
      <c r="C329">
        <v>31</v>
      </c>
      <c r="D329">
        <v>15</v>
      </c>
      <c r="E329">
        <v>11</v>
      </c>
      <c r="F329">
        <v>0</v>
      </c>
      <c r="G329" t="s">
        <v>183</v>
      </c>
      <c r="H329" t="s">
        <v>52</v>
      </c>
      <c r="I329" t="s">
        <v>312</v>
      </c>
      <c r="J329" t="s">
        <v>55</v>
      </c>
      <c r="K329" t="s">
        <v>319</v>
      </c>
      <c r="M329" t="s">
        <v>6</v>
      </c>
    </row>
    <row r="330" spans="2:13" hidden="1">
      <c r="B330">
        <v>328</v>
      </c>
      <c r="C330">
        <v>31</v>
      </c>
      <c r="D330">
        <v>15</v>
      </c>
      <c r="E330">
        <v>12</v>
      </c>
      <c r="F330">
        <v>0</v>
      </c>
      <c r="G330" t="s">
        <v>183</v>
      </c>
      <c r="H330" t="s">
        <v>52</v>
      </c>
      <c r="I330" t="s">
        <v>312</v>
      </c>
      <c r="J330" t="s">
        <v>99</v>
      </c>
      <c r="K330" t="s">
        <v>320</v>
      </c>
      <c r="M330" t="s">
        <v>6</v>
      </c>
    </row>
    <row r="331" spans="2:13" hidden="1">
      <c r="B331">
        <v>329</v>
      </c>
      <c r="C331">
        <v>31</v>
      </c>
      <c r="D331">
        <v>15</v>
      </c>
      <c r="E331">
        <v>13</v>
      </c>
      <c r="F331">
        <v>0</v>
      </c>
      <c r="G331" t="s">
        <v>183</v>
      </c>
      <c r="H331" t="s">
        <v>52</v>
      </c>
      <c r="I331" t="s">
        <v>312</v>
      </c>
      <c r="J331" t="s">
        <v>55</v>
      </c>
      <c r="K331" t="s">
        <v>247</v>
      </c>
      <c r="M331" t="s">
        <v>6</v>
      </c>
    </row>
    <row r="332" spans="2:13" hidden="1">
      <c r="B332">
        <v>330</v>
      </c>
      <c r="C332">
        <v>31</v>
      </c>
      <c r="D332">
        <v>15</v>
      </c>
      <c r="E332">
        <v>14</v>
      </c>
      <c r="F332">
        <v>0</v>
      </c>
      <c r="G332" t="s">
        <v>183</v>
      </c>
      <c r="H332" t="s">
        <v>52</v>
      </c>
      <c r="I332" t="s">
        <v>312</v>
      </c>
      <c r="J332" t="s">
        <v>99</v>
      </c>
      <c r="K332" t="s">
        <v>321</v>
      </c>
      <c r="M332" t="s">
        <v>6</v>
      </c>
    </row>
    <row r="333" spans="2:13" hidden="1">
      <c r="B333">
        <v>331</v>
      </c>
      <c r="C333">
        <v>31</v>
      </c>
      <c r="D333">
        <v>15</v>
      </c>
      <c r="E333">
        <v>15</v>
      </c>
      <c r="F333">
        <v>0</v>
      </c>
      <c r="G333" t="s">
        <v>183</v>
      </c>
      <c r="H333" t="s">
        <v>52</v>
      </c>
      <c r="I333" t="s">
        <v>312</v>
      </c>
      <c r="J333" t="s">
        <v>55</v>
      </c>
      <c r="K333" t="s">
        <v>322</v>
      </c>
      <c r="M333" t="s">
        <v>6</v>
      </c>
    </row>
    <row r="334" spans="2:13" hidden="1">
      <c r="B334">
        <v>332</v>
      </c>
      <c r="C334">
        <v>32</v>
      </c>
      <c r="D334">
        <v>17</v>
      </c>
      <c r="E334">
        <v>0</v>
      </c>
      <c r="F334">
        <v>0</v>
      </c>
      <c r="G334" t="s">
        <v>183</v>
      </c>
      <c r="H334" t="s">
        <v>52</v>
      </c>
      <c r="I334" t="s">
        <v>323</v>
      </c>
      <c r="J334" t="s">
        <v>54</v>
      </c>
      <c r="K334" t="s">
        <v>323</v>
      </c>
      <c r="M334" t="s">
        <v>6</v>
      </c>
    </row>
    <row r="335" spans="2:13" hidden="1">
      <c r="B335">
        <v>333</v>
      </c>
      <c r="C335">
        <v>32</v>
      </c>
      <c r="D335">
        <v>17</v>
      </c>
      <c r="E335">
        <v>1</v>
      </c>
      <c r="F335">
        <v>0</v>
      </c>
      <c r="G335" t="s">
        <v>183</v>
      </c>
      <c r="H335" t="s">
        <v>52</v>
      </c>
      <c r="I335" t="s">
        <v>323</v>
      </c>
      <c r="J335" t="s">
        <v>55</v>
      </c>
      <c r="K335" t="s">
        <v>324</v>
      </c>
      <c r="M335" t="s">
        <v>6</v>
      </c>
    </row>
    <row r="336" spans="2:13" hidden="1">
      <c r="B336">
        <v>334</v>
      </c>
      <c r="C336">
        <v>32</v>
      </c>
      <c r="D336">
        <v>17</v>
      </c>
      <c r="E336">
        <v>2</v>
      </c>
      <c r="F336">
        <v>0</v>
      </c>
      <c r="G336" t="s">
        <v>183</v>
      </c>
      <c r="H336" t="s">
        <v>52</v>
      </c>
      <c r="I336" t="s">
        <v>323</v>
      </c>
      <c r="J336" t="s">
        <v>55</v>
      </c>
      <c r="K336" t="s">
        <v>186</v>
      </c>
      <c r="M336" t="s">
        <v>6</v>
      </c>
    </row>
    <row r="337" spans="2:13" hidden="1">
      <c r="B337">
        <v>335</v>
      </c>
      <c r="C337">
        <v>32</v>
      </c>
      <c r="D337">
        <v>17</v>
      </c>
      <c r="E337">
        <v>3</v>
      </c>
      <c r="F337">
        <v>0</v>
      </c>
      <c r="G337" t="s">
        <v>183</v>
      </c>
      <c r="H337" t="s">
        <v>52</v>
      </c>
      <c r="I337" t="s">
        <v>323</v>
      </c>
      <c r="J337" t="s">
        <v>55</v>
      </c>
      <c r="K337" t="s">
        <v>187</v>
      </c>
      <c r="M337" t="s">
        <v>6</v>
      </c>
    </row>
    <row r="338" spans="2:13" hidden="1">
      <c r="B338">
        <v>336</v>
      </c>
      <c r="C338">
        <v>32</v>
      </c>
      <c r="D338">
        <v>17</v>
      </c>
      <c r="E338">
        <v>4</v>
      </c>
      <c r="F338">
        <v>0</v>
      </c>
      <c r="G338" t="s">
        <v>183</v>
      </c>
      <c r="H338" t="s">
        <v>52</v>
      </c>
      <c r="I338" t="s">
        <v>323</v>
      </c>
      <c r="J338" t="s">
        <v>55</v>
      </c>
      <c r="K338" t="s">
        <v>188</v>
      </c>
      <c r="M338" t="s">
        <v>6</v>
      </c>
    </row>
    <row r="339" spans="2:13" hidden="1">
      <c r="B339">
        <v>337</v>
      </c>
      <c r="C339">
        <v>32</v>
      </c>
      <c r="D339">
        <v>17</v>
      </c>
      <c r="E339">
        <v>5</v>
      </c>
      <c r="F339">
        <v>0</v>
      </c>
      <c r="G339" t="s">
        <v>183</v>
      </c>
      <c r="H339" t="s">
        <v>52</v>
      </c>
      <c r="I339" t="s">
        <v>323</v>
      </c>
      <c r="J339" t="s">
        <v>55</v>
      </c>
      <c r="K339" t="s">
        <v>325</v>
      </c>
      <c r="M339" t="s">
        <v>6</v>
      </c>
    </row>
    <row r="340" spans="2:13" hidden="1">
      <c r="B340">
        <v>338</v>
      </c>
      <c r="C340">
        <v>32</v>
      </c>
      <c r="D340">
        <v>17</v>
      </c>
      <c r="E340">
        <v>6</v>
      </c>
      <c r="F340">
        <v>0</v>
      </c>
      <c r="G340" t="s">
        <v>183</v>
      </c>
      <c r="H340" t="s">
        <v>52</v>
      </c>
      <c r="I340" t="s">
        <v>323</v>
      </c>
      <c r="J340" t="s">
        <v>99</v>
      </c>
      <c r="K340" t="s">
        <v>326</v>
      </c>
      <c r="M340" t="s">
        <v>6</v>
      </c>
    </row>
    <row r="341" spans="2:13" hidden="1">
      <c r="B341">
        <v>339</v>
      </c>
      <c r="C341">
        <v>32</v>
      </c>
      <c r="D341">
        <v>17</v>
      </c>
      <c r="E341">
        <v>7</v>
      </c>
      <c r="F341">
        <v>0</v>
      </c>
      <c r="G341" t="s">
        <v>183</v>
      </c>
      <c r="H341" t="s">
        <v>52</v>
      </c>
      <c r="I341" t="s">
        <v>323</v>
      </c>
      <c r="J341" t="s">
        <v>99</v>
      </c>
      <c r="K341" t="s">
        <v>327</v>
      </c>
      <c r="M341" t="s">
        <v>6</v>
      </c>
    </row>
    <row r="342" spans="2:13" hidden="1">
      <c r="B342">
        <v>340</v>
      </c>
      <c r="C342">
        <v>32</v>
      </c>
      <c r="D342">
        <v>17</v>
      </c>
      <c r="E342">
        <v>8</v>
      </c>
      <c r="F342">
        <v>0</v>
      </c>
      <c r="G342" t="s">
        <v>183</v>
      </c>
      <c r="H342" t="s">
        <v>52</v>
      </c>
      <c r="I342" t="s">
        <v>323</v>
      </c>
      <c r="J342" t="s">
        <v>99</v>
      </c>
      <c r="K342" t="s">
        <v>328</v>
      </c>
      <c r="M342" t="s">
        <v>6</v>
      </c>
    </row>
    <row r="343" spans="2:13" hidden="1">
      <c r="B343">
        <v>341</v>
      </c>
      <c r="C343">
        <v>32</v>
      </c>
      <c r="D343">
        <v>17</v>
      </c>
      <c r="E343">
        <v>9</v>
      </c>
      <c r="F343">
        <v>0</v>
      </c>
      <c r="G343" t="s">
        <v>183</v>
      </c>
      <c r="H343" t="s">
        <v>52</v>
      </c>
      <c r="I343" t="s">
        <v>323</v>
      </c>
      <c r="J343" t="s">
        <v>99</v>
      </c>
      <c r="K343" t="s">
        <v>329</v>
      </c>
      <c r="M343" t="s">
        <v>6</v>
      </c>
    </row>
    <row r="344" spans="2:13" hidden="1">
      <c r="B344">
        <v>342</v>
      </c>
      <c r="C344">
        <v>32</v>
      </c>
      <c r="D344">
        <v>17</v>
      </c>
      <c r="E344">
        <v>10</v>
      </c>
      <c r="F344">
        <v>0</v>
      </c>
      <c r="G344" t="s">
        <v>183</v>
      </c>
      <c r="H344" t="s">
        <v>52</v>
      </c>
      <c r="I344" t="s">
        <v>323</v>
      </c>
      <c r="J344" t="s">
        <v>55</v>
      </c>
      <c r="K344" t="s">
        <v>330</v>
      </c>
      <c r="M344" t="s">
        <v>6</v>
      </c>
    </row>
    <row r="345" spans="2:13" hidden="1">
      <c r="B345">
        <v>343</v>
      </c>
      <c r="C345">
        <v>32</v>
      </c>
      <c r="D345">
        <v>17</v>
      </c>
      <c r="E345">
        <v>11</v>
      </c>
      <c r="F345">
        <v>0</v>
      </c>
      <c r="G345" t="s">
        <v>183</v>
      </c>
      <c r="H345" t="s">
        <v>52</v>
      </c>
      <c r="I345" t="s">
        <v>323</v>
      </c>
      <c r="J345" t="s">
        <v>55</v>
      </c>
      <c r="K345" t="s">
        <v>239</v>
      </c>
      <c r="M345" t="s">
        <v>6</v>
      </c>
    </row>
    <row r="346" spans="2:13" hidden="1">
      <c r="B346">
        <v>344</v>
      </c>
      <c r="C346">
        <v>32</v>
      </c>
      <c r="D346">
        <v>17</v>
      </c>
      <c r="E346">
        <v>12</v>
      </c>
      <c r="F346">
        <v>0</v>
      </c>
      <c r="G346" t="s">
        <v>183</v>
      </c>
      <c r="H346" t="s">
        <v>52</v>
      </c>
      <c r="I346" t="s">
        <v>323</v>
      </c>
      <c r="J346" t="s">
        <v>99</v>
      </c>
      <c r="K346" t="s">
        <v>314</v>
      </c>
      <c r="M346" t="s">
        <v>6</v>
      </c>
    </row>
    <row r="347" spans="2:13" hidden="1">
      <c r="B347">
        <v>345</v>
      </c>
      <c r="C347">
        <v>32</v>
      </c>
      <c r="D347">
        <v>17</v>
      </c>
      <c r="E347">
        <v>13</v>
      </c>
      <c r="F347">
        <v>0</v>
      </c>
      <c r="G347" t="s">
        <v>183</v>
      </c>
      <c r="H347" t="s">
        <v>52</v>
      </c>
      <c r="I347" t="s">
        <v>323</v>
      </c>
      <c r="J347" t="s">
        <v>99</v>
      </c>
      <c r="K347" t="s">
        <v>315</v>
      </c>
      <c r="M347" t="s">
        <v>6</v>
      </c>
    </row>
    <row r="348" spans="2:13" hidden="1">
      <c r="B348">
        <v>346</v>
      </c>
      <c r="C348">
        <v>32</v>
      </c>
      <c r="D348">
        <v>17</v>
      </c>
      <c r="E348">
        <v>14</v>
      </c>
      <c r="F348">
        <v>0</v>
      </c>
      <c r="G348" t="s">
        <v>183</v>
      </c>
      <c r="H348" t="s">
        <v>52</v>
      </c>
      <c r="I348" t="s">
        <v>323</v>
      </c>
      <c r="J348" t="s">
        <v>55</v>
      </c>
      <c r="K348" t="s">
        <v>331</v>
      </c>
      <c r="M348" t="s">
        <v>6</v>
      </c>
    </row>
    <row r="349" spans="2:13" hidden="1">
      <c r="B349">
        <v>347</v>
      </c>
      <c r="C349">
        <v>32</v>
      </c>
      <c r="D349">
        <v>17</v>
      </c>
      <c r="E349">
        <v>15</v>
      </c>
      <c r="F349">
        <v>0</v>
      </c>
      <c r="G349" t="s">
        <v>183</v>
      </c>
      <c r="H349" t="s">
        <v>52</v>
      </c>
      <c r="I349" t="s">
        <v>323</v>
      </c>
      <c r="J349" t="s">
        <v>55</v>
      </c>
      <c r="K349" t="s">
        <v>332</v>
      </c>
      <c r="M349" t="s">
        <v>6</v>
      </c>
    </row>
    <row r="350" spans="2:13" hidden="1">
      <c r="B350">
        <v>348</v>
      </c>
      <c r="C350">
        <v>32</v>
      </c>
      <c r="D350">
        <v>17</v>
      </c>
      <c r="E350">
        <v>16</v>
      </c>
      <c r="F350">
        <v>0</v>
      </c>
      <c r="G350" t="s">
        <v>183</v>
      </c>
      <c r="H350" t="s">
        <v>52</v>
      </c>
      <c r="I350" t="s">
        <v>323</v>
      </c>
      <c r="J350" t="s">
        <v>55</v>
      </c>
      <c r="K350" t="s">
        <v>333</v>
      </c>
      <c r="M350" t="s">
        <v>6</v>
      </c>
    </row>
    <row r="351" spans="2:13" hidden="1">
      <c r="B351">
        <v>349</v>
      </c>
      <c r="C351">
        <v>32</v>
      </c>
      <c r="D351">
        <v>17</v>
      </c>
      <c r="E351">
        <v>17</v>
      </c>
      <c r="F351">
        <v>0</v>
      </c>
      <c r="G351" t="s">
        <v>183</v>
      </c>
      <c r="H351" t="s">
        <v>52</v>
      </c>
      <c r="I351" t="s">
        <v>323</v>
      </c>
      <c r="J351" t="s">
        <v>55</v>
      </c>
      <c r="K351" t="s">
        <v>334</v>
      </c>
      <c r="M351" t="s">
        <v>6</v>
      </c>
    </row>
    <row r="352" spans="2:13" hidden="1">
      <c r="B352">
        <v>350</v>
      </c>
      <c r="C352">
        <v>33</v>
      </c>
      <c r="D352">
        <v>14</v>
      </c>
      <c r="E352">
        <v>0</v>
      </c>
      <c r="F352">
        <v>0</v>
      </c>
      <c r="G352" t="s">
        <v>183</v>
      </c>
      <c r="H352" t="s">
        <v>52</v>
      </c>
      <c r="I352" t="s">
        <v>335</v>
      </c>
      <c r="J352" t="s">
        <v>54</v>
      </c>
      <c r="K352" t="s">
        <v>335</v>
      </c>
      <c r="M352" t="s">
        <v>6</v>
      </c>
    </row>
    <row r="353" spans="2:13" hidden="1">
      <c r="B353">
        <v>351</v>
      </c>
      <c r="C353">
        <v>33</v>
      </c>
      <c r="D353">
        <v>14</v>
      </c>
      <c r="E353">
        <v>1</v>
      </c>
      <c r="F353">
        <v>0</v>
      </c>
      <c r="G353" t="s">
        <v>183</v>
      </c>
      <c r="H353" t="s">
        <v>52</v>
      </c>
      <c r="I353" t="s">
        <v>335</v>
      </c>
      <c r="J353" t="s">
        <v>55</v>
      </c>
      <c r="K353" t="s">
        <v>185</v>
      </c>
      <c r="M353" t="s">
        <v>6</v>
      </c>
    </row>
    <row r="354" spans="2:13" hidden="1">
      <c r="B354">
        <v>352</v>
      </c>
      <c r="C354">
        <v>33</v>
      </c>
      <c r="D354">
        <v>14</v>
      </c>
      <c r="E354">
        <v>2</v>
      </c>
      <c r="F354">
        <v>0</v>
      </c>
      <c r="G354" t="s">
        <v>183</v>
      </c>
      <c r="H354" t="s">
        <v>52</v>
      </c>
      <c r="I354" t="s">
        <v>335</v>
      </c>
      <c r="J354" t="s">
        <v>55</v>
      </c>
      <c r="K354" t="s">
        <v>186</v>
      </c>
      <c r="M354" t="s">
        <v>6</v>
      </c>
    </row>
    <row r="355" spans="2:13" hidden="1">
      <c r="B355">
        <v>353</v>
      </c>
      <c r="C355">
        <v>33</v>
      </c>
      <c r="D355">
        <v>14</v>
      </c>
      <c r="E355">
        <v>3</v>
      </c>
      <c r="F355">
        <v>0</v>
      </c>
      <c r="G355" t="s">
        <v>183</v>
      </c>
      <c r="H355" t="s">
        <v>52</v>
      </c>
      <c r="I355" t="s">
        <v>335</v>
      </c>
      <c r="J355" t="s">
        <v>55</v>
      </c>
      <c r="K355" t="s">
        <v>187</v>
      </c>
      <c r="M355" t="s">
        <v>6</v>
      </c>
    </row>
    <row r="356" spans="2:13" hidden="1">
      <c r="B356">
        <v>354</v>
      </c>
      <c r="C356">
        <v>33</v>
      </c>
      <c r="D356">
        <v>14</v>
      </c>
      <c r="E356">
        <v>4</v>
      </c>
      <c r="F356">
        <v>0</v>
      </c>
      <c r="G356" t="s">
        <v>183</v>
      </c>
      <c r="H356" t="s">
        <v>52</v>
      </c>
      <c r="I356" t="s">
        <v>335</v>
      </c>
      <c r="J356" t="s">
        <v>55</v>
      </c>
      <c r="K356" t="s">
        <v>188</v>
      </c>
      <c r="M356" t="s">
        <v>6</v>
      </c>
    </row>
    <row r="357" spans="2:13" hidden="1">
      <c r="B357">
        <v>355</v>
      </c>
      <c r="C357">
        <v>33</v>
      </c>
      <c r="D357">
        <v>14</v>
      </c>
      <c r="E357">
        <v>5</v>
      </c>
      <c r="F357">
        <v>0</v>
      </c>
      <c r="G357" t="s">
        <v>183</v>
      </c>
      <c r="H357" t="s">
        <v>52</v>
      </c>
      <c r="I357" t="s">
        <v>335</v>
      </c>
      <c r="J357" t="s">
        <v>55</v>
      </c>
      <c r="K357" t="s">
        <v>336</v>
      </c>
      <c r="M357" t="s">
        <v>6</v>
      </c>
    </row>
    <row r="358" spans="2:13" hidden="1">
      <c r="B358">
        <v>356</v>
      </c>
      <c r="C358">
        <v>33</v>
      </c>
      <c r="D358">
        <v>14</v>
      </c>
      <c r="E358">
        <v>6</v>
      </c>
      <c r="F358">
        <v>0</v>
      </c>
      <c r="G358" t="s">
        <v>183</v>
      </c>
      <c r="H358" t="s">
        <v>52</v>
      </c>
      <c r="I358" t="s">
        <v>335</v>
      </c>
      <c r="J358" t="s">
        <v>99</v>
      </c>
      <c r="K358" t="s">
        <v>337</v>
      </c>
      <c r="M358" t="s">
        <v>6</v>
      </c>
    </row>
    <row r="359" spans="2:13" hidden="1">
      <c r="B359">
        <v>357</v>
      </c>
      <c r="C359">
        <v>33</v>
      </c>
      <c r="D359">
        <v>14</v>
      </c>
      <c r="E359">
        <v>7</v>
      </c>
      <c r="F359">
        <v>0</v>
      </c>
      <c r="G359" t="s">
        <v>183</v>
      </c>
      <c r="H359" t="s">
        <v>52</v>
      </c>
      <c r="I359" t="s">
        <v>335</v>
      </c>
      <c r="J359" t="s">
        <v>99</v>
      </c>
      <c r="K359" t="s">
        <v>338</v>
      </c>
      <c r="M359" t="s">
        <v>6</v>
      </c>
    </row>
    <row r="360" spans="2:13" hidden="1">
      <c r="B360">
        <v>358</v>
      </c>
      <c r="C360">
        <v>33</v>
      </c>
      <c r="D360">
        <v>14</v>
      </c>
      <c r="E360">
        <v>8</v>
      </c>
      <c r="F360">
        <v>0</v>
      </c>
      <c r="G360" t="s">
        <v>183</v>
      </c>
      <c r="H360" t="s">
        <v>52</v>
      </c>
      <c r="I360" t="s">
        <v>335</v>
      </c>
      <c r="J360" t="s">
        <v>99</v>
      </c>
      <c r="K360" t="s">
        <v>339</v>
      </c>
      <c r="M360" t="s">
        <v>6</v>
      </c>
    </row>
    <row r="361" spans="2:13" hidden="1">
      <c r="B361">
        <v>359</v>
      </c>
      <c r="C361">
        <v>33</v>
      </c>
      <c r="D361">
        <v>14</v>
      </c>
      <c r="E361">
        <v>9</v>
      </c>
      <c r="F361">
        <v>0</v>
      </c>
      <c r="G361" t="s">
        <v>183</v>
      </c>
      <c r="H361" t="s">
        <v>52</v>
      </c>
      <c r="I361" t="s">
        <v>335</v>
      </c>
      <c r="J361" t="s">
        <v>99</v>
      </c>
      <c r="K361" t="s">
        <v>340</v>
      </c>
      <c r="M361" t="s">
        <v>6</v>
      </c>
    </row>
    <row r="362" spans="2:13" hidden="1">
      <c r="B362">
        <v>360</v>
      </c>
      <c r="C362">
        <v>33</v>
      </c>
      <c r="D362">
        <v>14</v>
      </c>
      <c r="E362">
        <v>10</v>
      </c>
      <c r="F362">
        <v>0</v>
      </c>
      <c r="G362" t="s">
        <v>183</v>
      </c>
      <c r="H362" t="s">
        <v>52</v>
      </c>
      <c r="I362" t="s">
        <v>335</v>
      </c>
      <c r="J362" t="s">
        <v>55</v>
      </c>
      <c r="K362" t="s">
        <v>341</v>
      </c>
      <c r="M362" t="s">
        <v>6</v>
      </c>
    </row>
    <row r="363" spans="2:13" hidden="1">
      <c r="B363">
        <v>361</v>
      </c>
      <c r="C363">
        <v>33</v>
      </c>
      <c r="D363">
        <v>14</v>
      </c>
      <c r="E363">
        <v>11</v>
      </c>
      <c r="F363">
        <v>0</v>
      </c>
      <c r="G363" t="s">
        <v>183</v>
      </c>
      <c r="H363" t="s">
        <v>52</v>
      </c>
      <c r="I363" t="s">
        <v>335</v>
      </c>
      <c r="J363" t="s">
        <v>55</v>
      </c>
      <c r="K363" t="s">
        <v>342</v>
      </c>
      <c r="M363" t="s">
        <v>6</v>
      </c>
    </row>
    <row r="364" spans="2:13" hidden="1">
      <c r="B364">
        <v>362</v>
      </c>
      <c r="C364">
        <v>33</v>
      </c>
      <c r="D364">
        <v>14</v>
      </c>
      <c r="E364">
        <v>12</v>
      </c>
      <c r="F364">
        <v>0</v>
      </c>
      <c r="G364" t="s">
        <v>183</v>
      </c>
      <c r="H364" t="s">
        <v>52</v>
      </c>
      <c r="I364" t="s">
        <v>335</v>
      </c>
      <c r="J364" t="s">
        <v>99</v>
      </c>
      <c r="K364" t="s">
        <v>343</v>
      </c>
      <c r="M364" t="s">
        <v>6</v>
      </c>
    </row>
    <row r="365" spans="2:13" hidden="1">
      <c r="B365">
        <v>363</v>
      </c>
      <c r="C365">
        <v>33</v>
      </c>
      <c r="D365">
        <v>14</v>
      </c>
      <c r="E365">
        <v>13</v>
      </c>
      <c r="F365">
        <v>0</v>
      </c>
      <c r="G365" t="s">
        <v>183</v>
      </c>
      <c r="H365" t="s">
        <v>52</v>
      </c>
      <c r="I365" t="s">
        <v>335</v>
      </c>
      <c r="J365" t="s">
        <v>55</v>
      </c>
      <c r="K365" t="s">
        <v>344</v>
      </c>
      <c r="M365" t="s">
        <v>6</v>
      </c>
    </row>
    <row r="366" spans="2:13" hidden="1">
      <c r="B366">
        <v>364</v>
      </c>
      <c r="C366">
        <v>33</v>
      </c>
      <c r="D366">
        <v>14</v>
      </c>
      <c r="E366">
        <v>14</v>
      </c>
      <c r="F366">
        <v>0</v>
      </c>
      <c r="G366" t="s">
        <v>183</v>
      </c>
      <c r="H366" t="s">
        <v>52</v>
      </c>
      <c r="I366" t="s">
        <v>335</v>
      </c>
      <c r="J366" t="s">
        <v>55</v>
      </c>
      <c r="K366" t="s">
        <v>311</v>
      </c>
      <c r="M366" t="s">
        <v>6</v>
      </c>
    </row>
    <row r="367" spans="2:13" hidden="1">
      <c r="B367">
        <v>365</v>
      </c>
      <c r="C367">
        <v>34</v>
      </c>
      <c r="D367">
        <v>30</v>
      </c>
      <c r="E367">
        <v>0</v>
      </c>
      <c r="F367">
        <v>0</v>
      </c>
      <c r="G367" t="s">
        <v>183</v>
      </c>
      <c r="H367" t="s">
        <v>52</v>
      </c>
      <c r="I367" t="s">
        <v>345</v>
      </c>
      <c r="J367" t="s">
        <v>54</v>
      </c>
      <c r="K367" t="s">
        <v>345</v>
      </c>
      <c r="M367" t="s">
        <v>6</v>
      </c>
    </row>
    <row r="368" spans="2:13" hidden="1">
      <c r="B368">
        <v>366</v>
      </c>
      <c r="C368">
        <v>34</v>
      </c>
      <c r="D368">
        <v>30</v>
      </c>
      <c r="E368">
        <v>1</v>
      </c>
      <c r="F368">
        <v>0</v>
      </c>
      <c r="G368" t="s">
        <v>183</v>
      </c>
      <c r="H368" t="s">
        <v>52</v>
      </c>
      <c r="I368" t="s">
        <v>345</v>
      </c>
      <c r="J368" t="s">
        <v>55</v>
      </c>
      <c r="K368" t="s">
        <v>185</v>
      </c>
      <c r="M368" t="s">
        <v>6</v>
      </c>
    </row>
    <row r="369" spans="2:13" hidden="1">
      <c r="B369">
        <v>367</v>
      </c>
      <c r="C369">
        <v>34</v>
      </c>
      <c r="D369">
        <v>30</v>
      </c>
      <c r="E369">
        <v>2</v>
      </c>
      <c r="F369">
        <v>0</v>
      </c>
      <c r="G369" t="s">
        <v>183</v>
      </c>
      <c r="H369" t="s">
        <v>52</v>
      </c>
      <c r="I369" t="s">
        <v>345</v>
      </c>
      <c r="J369" t="s">
        <v>55</v>
      </c>
      <c r="K369" t="s">
        <v>186</v>
      </c>
      <c r="M369" t="s">
        <v>6</v>
      </c>
    </row>
    <row r="370" spans="2:13" hidden="1">
      <c r="B370">
        <v>368</v>
      </c>
      <c r="C370">
        <v>34</v>
      </c>
      <c r="D370">
        <v>30</v>
      </c>
      <c r="E370">
        <v>3</v>
      </c>
      <c r="F370">
        <v>0</v>
      </c>
      <c r="G370" t="s">
        <v>183</v>
      </c>
      <c r="H370" t="s">
        <v>52</v>
      </c>
      <c r="I370" t="s">
        <v>345</v>
      </c>
      <c r="J370" t="s">
        <v>55</v>
      </c>
      <c r="K370" t="s">
        <v>187</v>
      </c>
      <c r="M370" t="s">
        <v>6</v>
      </c>
    </row>
    <row r="371" spans="2:13" hidden="1">
      <c r="B371">
        <v>369</v>
      </c>
      <c r="C371">
        <v>34</v>
      </c>
      <c r="D371">
        <v>30</v>
      </c>
      <c r="E371">
        <v>4</v>
      </c>
      <c r="F371">
        <v>0</v>
      </c>
      <c r="G371" t="s">
        <v>183</v>
      </c>
      <c r="H371" t="s">
        <v>52</v>
      </c>
      <c r="I371" t="s">
        <v>345</v>
      </c>
      <c r="J371" t="s">
        <v>55</v>
      </c>
      <c r="K371" t="s">
        <v>188</v>
      </c>
      <c r="M371" t="s">
        <v>6</v>
      </c>
    </row>
    <row r="372" spans="2:13" hidden="1">
      <c r="B372">
        <v>370</v>
      </c>
      <c r="C372">
        <v>34</v>
      </c>
      <c r="D372">
        <v>30</v>
      </c>
      <c r="E372">
        <v>5</v>
      </c>
      <c r="F372">
        <v>0</v>
      </c>
      <c r="G372" t="s">
        <v>183</v>
      </c>
      <c r="H372" t="s">
        <v>52</v>
      </c>
      <c r="I372" t="s">
        <v>345</v>
      </c>
      <c r="J372" t="s">
        <v>55</v>
      </c>
      <c r="K372" t="s">
        <v>256</v>
      </c>
      <c r="M372" t="s">
        <v>6</v>
      </c>
    </row>
    <row r="373" spans="2:13" hidden="1">
      <c r="B373">
        <v>371</v>
      </c>
      <c r="C373">
        <v>34</v>
      </c>
      <c r="D373">
        <v>30</v>
      </c>
      <c r="E373">
        <v>6</v>
      </c>
      <c r="F373">
        <v>0</v>
      </c>
      <c r="G373" t="s">
        <v>183</v>
      </c>
      <c r="H373" t="s">
        <v>52</v>
      </c>
      <c r="I373" t="s">
        <v>345</v>
      </c>
      <c r="J373" t="s">
        <v>99</v>
      </c>
      <c r="K373" t="s">
        <v>257</v>
      </c>
      <c r="M373" t="s">
        <v>6</v>
      </c>
    </row>
    <row r="374" spans="2:13" hidden="1">
      <c r="B374">
        <v>372</v>
      </c>
      <c r="C374">
        <v>34</v>
      </c>
      <c r="D374">
        <v>30</v>
      </c>
      <c r="E374">
        <v>7</v>
      </c>
      <c r="F374">
        <v>0</v>
      </c>
      <c r="G374" t="s">
        <v>183</v>
      </c>
      <c r="H374" t="s">
        <v>52</v>
      </c>
      <c r="I374" t="s">
        <v>345</v>
      </c>
      <c r="J374" t="s">
        <v>99</v>
      </c>
      <c r="K374" t="s">
        <v>258</v>
      </c>
      <c r="M374" t="s">
        <v>6</v>
      </c>
    </row>
    <row r="375" spans="2:13" hidden="1">
      <c r="B375">
        <v>373</v>
      </c>
      <c r="C375">
        <v>34</v>
      </c>
      <c r="D375">
        <v>30</v>
      </c>
      <c r="E375">
        <v>8</v>
      </c>
      <c r="F375">
        <v>0</v>
      </c>
      <c r="G375" t="s">
        <v>183</v>
      </c>
      <c r="H375" t="s">
        <v>52</v>
      </c>
      <c r="I375" t="s">
        <v>345</v>
      </c>
      <c r="J375" t="s">
        <v>55</v>
      </c>
      <c r="K375" t="s">
        <v>346</v>
      </c>
      <c r="M375" t="s">
        <v>6</v>
      </c>
    </row>
    <row r="376" spans="2:13" hidden="1">
      <c r="B376">
        <v>374</v>
      </c>
      <c r="C376">
        <v>34</v>
      </c>
      <c r="D376">
        <v>30</v>
      </c>
      <c r="E376">
        <v>9</v>
      </c>
      <c r="F376">
        <v>0</v>
      </c>
      <c r="G376" t="s">
        <v>183</v>
      </c>
      <c r="H376" t="s">
        <v>52</v>
      </c>
      <c r="I376" t="s">
        <v>345</v>
      </c>
      <c r="J376" t="s">
        <v>99</v>
      </c>
      <c r="K376" t="s">
        <v>347</v>
      </c>
      <c r="M376" t="s">
        <v>6</v>
      </c>
    </row>
    <row r="377" spans="2:13" hidden="1">
      <c r="B377">
        <v>375</v>
      </c>
      <c r="C377">
        <v>34</v>
      </c>
      <c r="D377">
        <v>30</v>
      </c>
      <c r="E377">
        <v>10</v>
      </c>
      <c r="F377">
        <v>0</v>
      </c>
      <c r="G377" t="s">
        <v>183</v>
      </c>
      <c r="H377" t="s">
        <v>52</v>
      </c>
      <c r="I377" t="s">
        <v>345</v>
      </c>
      <c r="J377" t="s">
        <v>99</v>
      </c>
      <c r="K377" t="s">
        <v>348</v>
      </c>
      <c r="M377" t="s">
        <v>6</v>
      </c>
    </row>
    <row r="378" spans="2:13" hidden="1">
      <c r="B378">
        <v>376</v>
      </c>
      <c r="C378">
        <v>34</v>
      </c>
      <c r="D378">
        <v>30</v>
      </c>
      <c r="E378">
        <v>11</v>
      </c>
      <c r="F378">
        <v>0</v>
      </c>
      <c r="G378" t="s">
        <v>183</v>
      </c>
      <c r="H378" t="s">
        <v>52</v>
      </c>
      <c r="I378" t="s">
        <v>345</v>
      </c>
      <c r="J378" t="s">
        <v>55</v>
      </c>
      <c r="K378" t="s">
        <v>349</v>
      </c>
      <c r="M378" t="s">
        <v>6</v>
      </c>
    </row>
    <row r="379" spans="2:13" hidden="1">
      <c r="B379">
        <v>377</v>
      </c>
      <c r="C379">
        <v>34</v>
      </c>
      <c r="D379">
        <v>30</v>
      </c>
      <c r="E379">
        <v>12</v>
      </c>
      <c r="F379">
        <v>0</v>
      </c>
      <c r="G379" t="s">
        <v>183</v>
      </c>
      <c r="H379" t="s">
        <v>52</v>
      </c>
      <c r="I379" t="s">
        <v>345</v>
      </c>
      <c r="J379" t="s">
        <v>99</v>
      </c>
      <c r="K379" t="s">
        <v>350</v>
      </c>
      <c r="M379" t="s">
        <v>6</v>
      </c>
    </row>
    <row r="380" spans="2:13" hidden="1">
      <c r="B380">
        <v>378</v>
      </c>
      <c r="C380">
        <v>34</v>
      </c>
      <c r="D380">
        <v>30</v>
      </c>
      <c r="E380">
        <v>13</v>
      </c>
      <c r="F380">
        <v>0</v>
      </c>
      <c r="G380" t="s">
        <v>183</v>
      </c>
      <c r="H380" t="s">
        <v>52</v>
      </c>
      <c r="I380" t="s">
        <v>345</v>
      </c>
      <c r="J380" t="s">
        <v>99</v>
      </c>
      <c r="K380" t="s">
        <v>351</v>
      </c>
      <c r="M380" t="s">
        <v>6</v>
      </c>
    </row>
    <row r="381" spans="2:13" hidden="1">
      <c r="B381">
        <v>379</v>
      </c>
      <c r="C381">
        <v>34</v>
      </c>
      <c r="D381">
        <v>30</v>
      </c>
      <c r="E381">
        <v>14</v>
      </c>
      <c r="F381">
        <v>0</v>
      </c>
      <c r="G381" t="s">
        <v>183</v>
      </c>
      <c r="H381" t="s">
        <v>52</v>
      </c>
      <c r="I381" t="s">
        <v>345</v>
      </c>
      <c r="J381" t="s">
        <v>55</v>
      </c>
      <c r="K381" t="s">
        <v>352</v>
      </c>
      <c r="M381" t="s">
        <v>6</v>
      </c>
    </row>
    <row r="382" spans="2:13" hidden="1">
      <c r="B382">
        <v>380</v>
      </c>
      <c r="C382">
        <v>34</v>
      </c>
      <c r="D382">
        <v>30</v>
      </c>
      <c r="E382">
        <v>15</v>
      </c>
      <c r="F382">
        <v>0</v>
      </c>
      <c r="G382" t="s">
        <v>183</v>
      </c>
      <c r="H382" t="s">
        <v>52</v>
      </c>
      <c r="I382" t="s">
        <v>345</v>
      </c>
      <c r="J382" t="s">
        <v>99</v>
      </c>
      <c r="K382" t="s">
        <v>353</v>
      </c>
      <c r="M382" t="s">
        <v>6</v>
      </c>
    </row>
    <row r="383" spans="2:13" hidden="1">
      <c r="B383">
        <v>381</v>
      </c>
      <c r="C383">
        <v>34</v>
      </c>
      <c r="D383">
        <v>30</v>
      </c>
      <c r="E383">
        <v>16</v>
      </c>
      <c r="F383">
        <v>0</v>
      </c>
      <c r="G383" t="s">
        <v>183</v>
      </c>
      <c r="H383" t="s">
        <v>52</v>
      </c>
      <c r="I383" t="s">
        <v>345</v>
      </c>
      <c r="J383" t="s">
        <v>99</v>
      </c>
      <c r="K383" t="s">
        <v>354</v>
      </c>
      <c r="M383" t="s">
        <v>6</v>
      </c>
    </row>
    <row r="384" spans="2:13" hidden="1">
      <c r="B384">
        <v>382</v>
      </c>
      <c r="C384">
        <v>34</v>
      </c>
      <c r="D384">
        <v>30</v>
      </c>
      <c r="E384">
        <v>17</v>
      </c>
      <c r="F384">
        <v>0</v>
      </c>
      <c r="G384" t="s">
        <v>183</v>
      </c>
      <c r="H384" t="s">
        <v>52</v>
      </c>
      <c r="I384" t="s">
        <v>345</v>
      </c>
      <c r="J384" t="s">
        <v>99</v>
      </c>
      <c r="K384" t="s">
        <v>355</v>
      </c>
      <c r="M384" t="s">
        <v>6</v>
      </c>
    </row>
    <row r="385" spans="2:13" hidden="1">
      <c r="B385">
        <v>383</v>
      </c>
      <c r="C385">
        <v>34</v>
      </c>
      <c r="D385">
        <v>30</v>
      </c>
      <c r="E385">
        <v>18</v>
      </c>
      <c r="F385">
        <v>0</v>
      </c>
      <c r="G385" t="s">
        <v>183</v>
      </c>
      <c r="H385" t="s">
        <v>52</v>
      </c>
      <c r="I385" t="s">
        <v>345</v>
      </c>
      <c r="J385" t="s">
        <v>99</v>
      </c>
      <c r="K385" t="s">
        <v>356</v>
      </c>
      <c r="M385" t="s">
        <v>6</v>
      </c>
    </row>
    <row r="386" spans="2:13" hidden="1">
      <c r="B386">
        <v>384</v>
      </c>
      <c r="C386">
        <v>34</v>
      </c>
      <c r="D386">
        <v>30</v>
      </c>
      <c r="E386">
        <v>19</v>
      </c>
      <c r="F386">
        <v>0</v>
      </c>
      <c r="G386" t="s">
        <v>183</v>
      </c>
      <c r="H386" t="s">
        <v>52</v>
      </c>
      <c r="I386" t="s">
        <v>345</v>
      </c>
      <c r="J386" t="s">
        <v>99</v>
      </c>
      <c r="K386" t="s">
        <v>288</v>
      </c>
      <c r="M386" t="s">
        <v>6</v>
      </c>
    </row>
    <row r="387" spans="2:13" hidden="1">
      <c r="B387">
        <v>385</v>
      </c>
      <c r="C387">
        <v>34</v>
      </c>
      <c r="D387">
        <v>30</v>
      </c>
      <c r="E387">
        <v>20</v>
      </c>
      <c r="F387">
        <v>0</v>
      </c>
      <c r="G387" t="s">
        <v>183</v>
      </c>
      <c r="H387" t="s">
        <v>52</v>
      </c>
      <c r="I387" t="s">
        <v>345</v>
      </c>
      <c r="J387" t="s">
        <v>55</v>
      </c>
      <c r="K387" t="s">
        <v>357</v>
      </c>
      <c r="M387" t="s">
        <v>6</v>
      </c>
    </row>
    <row r="388" spans="2:13" hidden="1">
      <c r="B388">
        <v>386</v>
      </c>
      <c r="C388">
        <v>34</v>
      </c>
      <c r="D388">
        <v>30</v>
      </c>
      <c r="E388">
        <v>21</v>
      </c>
      <c r="F388">
        <v>0</v>
      </c>
      <c r="G388" t="s">
        <v>183</v>
      </c>
      <c r="H388" t="s">
        <v>52</v>
      </c>
      <c r="I388" t="s">
        <v>345</v>
      </c>
      <c r="J388" t="s">
        <v>99</v>
      </c>
      <c r="K388" t="s">
        <v>358</v>
      </c>
      <c r="M388" t="s">
        <v>6</v>
      </c>
    </row>
    <row r="389" spans="2:13" hidden="1">
      <c r="B389">
        <v>387</v>
      </c>
      <c r="C389">
        <v>34</v>
      </c>
      <c r="D389">
        <v>30</v>
      </c>
      <c r="E389">
        <v>22</v>
      </c>
      <c r="F389">
        <v>0</v>
      </c>
      <c r="G389" t="s">
        <v>183</v>
      </c>
      <c r="H389" t="s">
        <v>52</v>
      </c>
      <c r="I389" t="s">
        <v>345</v>
      </c>
      <c r="J389" t="s">
        <v>55</v>
      </c>
      <c r="K389" t="s">
        <v>359</v>
      </c>
      <c r="M389" t="s">
        <v>6</v>
      </c>
    </row>
    <row r="390" spans="2:13" hidden="1">
      <c r="B390">
        <v>388</v>
      </c>
      <c r="C390">
        <v>34</v>
      </c>
      <c r="D390">
        <v>30</v>
      </c>
      <c r="E390">
        <v>23</v>
      </c>
      <c r="F390">
        <v>0</v>
      </c>
      <c r="G390" t="s">
        <v>183</v>
      </c>
      <c r="H390" t="s">
        <v>52</v>
      </c>
      <c r="I390" t="s">
        <v>345</v>
      </c>
      <c r="J390" t="s">
        <v>99</v>
      </c>
      <c r="K390" t="s">
        <v>360</v>
      </c>
      <c r="M390" t="s">
        <v>6</v>
      </c>
    </row>
    <row r="391" spans="2:13" hidden="1">
      <c r="B391">
        <v>389</v>
      </c>
      <c r="C391">
        <v>34</v>
      </c>
      <c r="D391">
        <v>30</v>
      </c>
      <c r="E391">
        <v>24</v>
      </c>
      <c r="F391">
        <v>0</v>
      </c>
      <c r="G391" t="s">
        <v>183</v>
      </c>
      <c r="H391" t="s">
        <v>52</v>
      </c>
      <c r="I391" t="s">
        <v>345</v>
      </c>
      <c r="J391" t="s">
        <v>99</v>
      </c>
      <c r="K391" t="s">
        <v>361</v>
      </c>
      <c r="M391" t="s">
        <v>6</v>
      </c>
    </row>
    <row r="392" spans="2:13" hidden="1">
      <c r="B392">
        <v>390</v>
      </c>
      <c r="C392">
        <v>34</v>
      </c>
      <c r="D392">
        <v>30</v>
      </c>
      <c r="E392">
        <v>25</v>
      </c>
      <c r="F392">
        <v>0</v>
      </c>
      <c r="G392" t="s">
        <v>183</v>
      </c>
      <c r="H392" t="s">
        <v>52</v>
      </c>
      <c r="I392" t="s">
        <v>345</v>
      </c>
      <c r="J392" t="s">
        <v>99</v>
      </c>
      <c r="K392" t="s">
        <v>362</v>
      </c>
      <c r="M392" t="s">
        <v>6</v>
      </c>
    </row>
    <row r="393" spans="2:13" hidden="1">
      <c r="B393">
        <v>391</v>
      </c>
      <c r="C393">
        <v>34</v>
      </c>
      <c r="D393">
        <v>30</v>
      </c>
      <c r="E393">
        <v>26</v>
      </c>
      <c r="F393">
        <v>0</v>
      </c>
      <c r="G393" t="s">
        <v>183</v>
      </c>
      <c r="H393" t="s">
        <v>52</v>
      </c>
      <c r="I393" t="s">
        <v>345</v>
      </c>
      <c r="J393" t="s">
        <v>99</v>
      </c>
      <c r="K393" t="s">
        <v>363</v>
      </c>
      <c r="M393" t="s">
        <v>6</v>
      </c>
    </row>
    <row r="394" spans="2:13" hidden="1">
      <c r="B394">
        <v>392</v>
      </c>
      <c r="C394">
        <v>34</v>
      </c>
      <c r="D394">
        <v>30</v>
      </c>
      <c r="E394">
        <v>27</v>
      </c>
      <c r="F394">
        <v>0</v>
      </c>
      <c r="G394" t="s">
        <v>183</v>
      </c>
      <c r="H394" t="s">
        <v>52</v>
      </c>
      <c r="I394" t="s">
        <v>345</v>
      </c>
      <c r="J394" t="s">
        <v>99</v>
      </c>
      <c r="K394" t="s">
        <v>355</v>
      </c>
      <c r="M394" t="s">
        <v>6</v>
      </c>
    </row>
    <row r="395" spans="2:13" hidden="1">
      <c r="B395">
        <v>393</v>
      </c>
      <c r="C395">
        <v>34</v>
      </c>
      <c r="D395">
        <v>30</v>
      </c>
      <c r="E395">
        <v>28</v>
      </c>
      <c r="F395">
        <v>0</v>
      </c>
      <c r="G395" t="s">
        <v>183</v>
      </c>
      <c r="H395" t="s">
        <v>52</v>
      </c>
      <c r="I395" t="s">
        <v>345</v>
      </c>
      <c r="J395" t="s">
        <v>99</v>
      </c>
      <c r="K395" t="s">
        <v>356</v>
      </c>
      <c r="M395" t="s">
        <v>6</v>
      </c>
    </row>
    <row r="396" spans="2:13" hidden="1">
      <c r="B396">
        <v>394</v>
      </c>
      <c r="C396">
        <v>34</v>
      </c>
      <c r="D396">
        <v>30</v>
      </c>
      <c r="E396">
        <v>29</v>
      </c>
      <c r="F396">
        <v>0</v>
      </c>
      <c r="G396" t="s">
        <v>183</v>
      </c>
      <c r="H396" t="s">
        <v>52</v>
      </c>
      <c r="I396" t="s">
        <v>345</v>
      </c>
      <c r="J396" t="s">
        <v>55</v>
      </c>
      <c r="K396" t="s">
        <v>344</v>
      </c>
      <c r="M396" t="s">
        <v>6</v>
      </c>
    </row>
    <row r="397" spans="2:13" hidden="1">
      <c r="B397">
        <v>395</v>
      </c>
      <c r="C397">
        <v>34</v>
      </c>
      <c r="D397">
        <v>30</v>
      </c>
      <c r="E397">
        <v>30</v>
      </c>
      <c r="F397">
        <v>0</v>
      </c>
      <c r="G397" t="s">
        <v>183</v>
      </c>
      <c r="H397" t="s">
        <v>52</v>
      </c>
      <c r="I397" t="s">
        <v>345</v>
      </c>
      <c r="J397" t="s">
        <v>55</v>
      </c>
      <c r="K397" t="s">
        <v>311</v>
      </c>
      <c r="M397" t="s">
        <v>6</v>
      </c>
    </row>
    <row r="398" spans="2:13" hidden="1">
      <c r="B398">
        <v>396</v>
      </c>
      <c r="C398">
        <v>35</v>
      </c>
      <c r="D398">
        <v>14</v>
      </c>
      <c r="E398">
        <v>0</v>
      </c>
      <c r="F398">
        <v>0</v>
      </c>
      <c r="G398" t="s">
        <v>183</v>
      </c>
      <c r="H398" t="s">
        <v>52</v>
      </c>
      <c r="I398" t="s">
        <v>364</v>
      </c>
      <c r="J398" t="s">
        <v>54</v>
      </c>
      <c r="K398" t="s">
        <v>364</v>
      </c>
      <c r="M398" t="s">
        <v>6</v>
      </c>
    </row>
    <row r="399" spans="2:13" hidden="1">
      <c r="B399">
        <v>397</v>
      </c>
      <c r="C399">
        <v>35</v>
      </c>
      <c r="D399">
        <v>14</v>
      </c>
      <c r="E399">
        <v>1</v>
      </c>
      <c r="F399">
        <v>0</v>
      </c>
      <c r="G399" t="s">
        <v>183</v>
      </c>
      <c r="H399" t="s">
        <v>52</v>
      </c>
      <c r="I399" t="s">
        <v>364</v>
      </c>
      <c r="J399" t="s">
        <v>55</v>
      </c>
      <c r="K399" t="s">
        <v>365</v>
      </c>
      <c r="M399" t="s">
        <v>6</v>
      </c>
    </row>
    <row r="400" spans="2:13" hidden="1">
      <c r="B400">
        <v>398</v>
      </c>
      <c r="C400">
        <v>35</v>
      </c>
      <c r="D400">
        <v>14</v>
      </c>
      <c r="E400">
        <v>2</v>
      </c>
      <c r="F400">
        <v>0</v>
      </c>
      <c r="G400" t="s">
        <v>183</v>
      </c>
      <c r="H400" t="s">
        <v>52</v>
      </c>
      <c r="I400" t="s">
        <v>364</v>
      </c>
      <c r="J400" t="s">
        <v>55</v>
      </c>
      <c r="K400" t="s">
        <v>186</v>
      </c>
      <c r="M400" t="s">
        <v>6</v>
      </c>
    </row>
    <row r="401" spans="2:13" hidden="1">
      <c r="B401">
        <v>399</v>
      </c>
      <c r="C401">
        <v>35</v>
      </c>
      <c r="D401">
        <v>14</v>
      </c>
      <c r="E401">
        <v>3</v>
      </c>
      <c r="F401">
        <v>0</v>
      </c>
      <c r="G401" t="s">
        <v>183</v>
      </c>
      <c r="H401" t="s">
        <v>52</v>
      </c>
      <c r="I401" t="s">
        <v>364</v>
      </c>
      <c r="J401" t="s">
        <v>55</v>
      </c>
      <c r="K401" t="s">
        <v>187</v>
      </c>
      <c r="M401" t="s">
        <v>6</v>
      </c>
    </row>
    <row r="402" spans="2:13" hidden="1">
      <c r="B402">
        <v>400</v>
      </c>
      <c r="C402">
        <v>35</v>
      </c>
      <c r="D402">
        <v>14</v>
      </c>
      <c r="E402">
        <v>4</v>
      </c>
      <c r="F402">
        <v>0</v>
      </c>
      <c r="G402" t="s">
        <v>183</v>
      </c>
      <c r="H402" t="s">
        <v>52</v>
      </c>
      <c r="I402" t="s">
        <v>364</v>
      </c>
      <c r="J402" t="s">
        <v>55</v>
      </c>
      <c r="K402" t="s">
        <v>188</v>
      </c>
      <c r="M402" t="s">
        <v>6</v>
      </c>
    </row>
    <row r="403" spans="2:13" hidden="1">
      <c r="B403">
        <v>401</v>
      </c>
      <c r="C403">
        <v>35</v>
      </c>
      <c r="D403">
        <v>14</v>
      </c>
      <c r="E403">
        <v>5</v>
      </c>
      <c r="F403">
        <v>0</v>
      </c>
      <c r="G403" t="s">
        <v>183</v>
      </c>
      <c r="H403" t="s">
        <v>52</v>
      </c>
      <c r="I403" t="s">
        <v>364</v>
      </c>
      <c r="J403" t="s">
        <v>55</v>
      </c>
      <c r="K403" t="s">
        <v>366</v>
      </c>
      <c r="M403" t="s">
        <v>6</v>
      </c>
    </row>
    <row r="404" spans="2:13" hidden="1">
      <c r="B404">
        <v>402</v>
      </c>
      <c r="C404">
        <v>35</v>
      </c>
      <c r="D404">
        <v>14</v>
      </c>
      <c r="E404">
        <v>6</v>
      </c>
      <c r="F404">
        <v>0</v>
      </c>
      <c r="G404" t="s">
        <v>183</v>
      </c>
      <c r="H404" t="s">
        <v>52</v>
      </c>
      <c r="I404" t="s">
        <v>364</v>
      </c>
      <c r="J404" t="s">
        <v>99</v>
      </c>
      <c r="K404" t="s">
        <v>367</v>
      </c>
      <c r="M404" t="s">
        <v>6</v>
      </c>
    </row>
    <row r="405" spans="2:13" hidden="1">
      <c r="B405">
        <v>403</v>
      </c>
      <c r="C405">
        <v>35</v>
      </c>
      <c r="D405">
        <v>14</v>
      </c>
      <c r="E405">
        <v>7</v>
      </c>
      <c r="F405">
        <v>0</v>
      </c>
      <c r="G405" t="s">
        <v>183</v>
      </c>
      <c r="H405" t="s">
        <v>52</v>
      </c>
      <c r="I405" t="s">
        <v>364</v>
      </c>
      <c r="J405" t="s">
        <v>99</v>
      </c>
      <c r="K405" t="s">
        <v>368</v>
      </c>
      <c r="M405" t="s">
        <v>6</v>
      </c>
    </row>
    <row r="406" spans="2:13" hidden="1">
      <c r="B406">
        <v>404</v>
      </c>
      <c r="C406">
        <v>35</v>
      </c>
      <c r="D406">
        <v>14</v>
      </c>
      <c r="E406">
        <v>8</v>
      </c>
      <c r="F406">
        <v>0</v>
      </c>
      <c r="G406" t="s">
        <v>183</v>
      </c>
      <c r="H406" t="s">
        <v>52</v>
      </c>
      <c r="I406" t="s">
        <v>364</v>
      </c>
      <c r="J406" t="s">
        <v>99</v>
      </c>
      <c r="K406" t="s">
        <v>369</v>
      </c>
      <c r="M406" t="s">
        <v>6</v>
      </c>
    </row>
    <row r="407" spans="2:13" hidden="1">
      <c r="B407">
        <v>405</v>
      </c>
      <c r="C407">
        <v>35</v>
      </c>
      <c r="D407">
        <v>14</v>
      </c>
      <c r="E407">
        <v>9</v>
      </c>
      <c r="F407">
        <v>0</v>
      </c>
      <c r="G407" t="s">
        <v>183</v>
      </c>
      <c r="H407" t="s">
        <v>52</v>
      </c>
      <c r="I407" t="s">
        <v>364</v>
      </c>
      <c r="J407" t="s">
        <v>99</v>
      </c>
      <c r="K407" t="s">
        <v>333</v>
      </c>
      <c r="M407" t="s">
        <v>6</v>
      </c>
    </row>
    <row r="408" spans="2:13" hidden="1">
      <c r="B408">
        <v>406</v>
      </c>
      <c r="C408">
        <v>35</v>
      </c>
      <c r="D408">
        <v>14</v>
      </c>
      <c r="E408">
        <v>10</v>
      </c>
      <c r="F408">
        <v>0</v>
      </c>
      <c r="G408" t="s">
        <v>183</v>
      </c>
      <c r="H408" t="s">
        <v>52</v>
      </c>
      <c r="I408" t="s">
        <v>364</v>
      </c>
      <c r="J408" t="s">
        <v>55</v>
      </c>
      <c r="K408" t="s">
        <v>370</v>
      </c>
      <c r="M408" t="s">
        <v>6</v>
      </c>
    </row>
    <row r="409" spans="2:13" hidden="1">
      <c r="B409">
        <v>407</v>
      </c>
      <c r="C409">
        <v>35</v>
      </c>
      <c r="D409">
        <v>14</v>
      </c>
      <c r="E409">
        <v>11</v>
      </c>
      <c r="F409">
        <v>0</v>
      </c>
      <c r="G409" t="s">
        <v>183</v>
      </c>
      <c r="H409" t="s">
        <v>52</v>
      </c>
      <c r="I409" t="s">
        <v>364</v>
      </c>
      <c r="J409" t="s">
        <v>55</v>
      </c>
      <c r="K409" t="s">
        <v>371</v>
      </c>
      <c r="M409" t="s">
        <v>6</v>
      </c>
    </row>
    <row r="410" spans="2:13" hidden="1">
      <c r="B410">
        <v>408</v>
      </c>
      <c r="C410">
        <v>35</v>
      </c>
      <c r="D410">
        <v>14</v>
      </c>
      <c r="E410">
        <v>12</v>
      </c>
      <c r="F410">
        <v>0</v>
      </c>
      <c r="G410" t="s">
        <v>183</v>
      </c>
      <c r="H410" t="s">
        <v>52</v>
      </c>
      <c r="I410" t="s">
        <v>364</v>
      </c>
      <c r="J410" t="s">
        <v>55</v>
      </c>
      <c r="K410" t="s">
        <v>334</v>
      </c>
      <c r="M410" t="s">
        <v>6</v>
      </c>
    </row>
    <row r="411" spans="2:13" hidden="1">
      <c r="B411">
        <v>409</v>
      </c>
      <c r="C411">
        <v>35</v>
      </c>
      <c r="D411">
        <v>14</v>
      </c>
      <c r="E411">
        <v>13</v>
      </c>
      <c r="F411">
        <v>0</v>
      </c>
      <c r="G411" t="s">
        <v>183</v>
      </c>
      <c r="H411" t="s">
        <v>52</v>
      </c>
      <c r="I411" t="s">
        <v>364</v>
      </c>
      <c r="J411" t="s">
        <v>55</v>
      </c>
      <c r="K411" t="s">
        <v>331</v>
      </c>
      <c r="M411" t="s">
        <v>6</v>
      </c>
    </row>
    <row r="412" spans="2:13" hidden="1">
      <c r="B412">
        <v>410</v>
      </c>
      <c r="C412">
        <v>35</v>
      </c>
      <c r="D412">
        <v>14</v>
      </c>
      <c r="E412">
        <v>14</v>
      </c>
      <c r="F412">
        <v>0</v>
      </c>
      <c r="G412" t="s">
        <v>183</v>
      </c>
      <c r="H412" t="s">
        <v>52</v>
      </c>
      <c r="I412" t="s">
        <v>364</v>
      </c>
      <c r="J412" t="s">
        <v>55</v>
      </c>
      <c r="K412" t="s">
        <v>332</v>
      </c>
      <c r="M412" t="s">
        <v>6</v>
      </c>
    </row>
    <row r="413" spans="2:13" hidden="1">
      <c r="B413">
        <v>411</v>
      </c>
      <c r="C413">
        <v>36</v>
      </c>
      <c r="D413">
        <v>18</v>
      </c>
      <c r="E413">
        <v>0</v>
      </c>
      <c r="F413">
        <v>0</v>
      </c>
      <c r="G413" t="s">
        <v>183</v>
      </c>
      <c r="H413" t="s">
        <v>52</v>
      </c>
      <c r="I413" t="s">
        <v>372</v>
      </c>
      <c r="J413" t="s">
        <v>54</v>
      </c>
      <c r="K413" t="s">
        <v>372</v>
      </c>
      <c r="M413" t="s">
        <v>6</v>
      </c>
    </row>
    <row r="414" spans="2:13" hidden="1">
      <c r="B414">
        <v>412</v>
      </c>
      <c r="C414">
        <v>36</v>
      </c>
      <c r="D414">
        <v>18</v>
      </c>
      <c r="E414">
        <v>1</v>
      </c>
      <c r="F414">
        <v>0</v>
      </c>
      <c r="G414" t="s">
        <v>183</v>
      </c>
      <c r="H414" t="s">
        <v>52</v>
      </c>
      <c r="I414" t="s">
        <v>372</v>
      </c>
      <c r="J414" t="s">
        <v>55</v>
      </c>
      <c r="K414" t="s">
        <v>185</v>
      </c>
      <c r="M414" t="s">
        <v>6</v>
      </c>
    </row>
    <row r="415" spans="2:13" hidden="1">
      <c r="B415">
        <v>413</v>
      </c>
      <c r="C415">
        <v>36</v>
      </c>
      <c r="D415">
        <v>18</v>
      </c>
      <c r="E415">
        <v>2</v>
      </c>
      <c r="F415">
        <v>0</v>
      </c>
      <c r="G415" t="s">
        <v>183</v>
      </c>
      <c r="H415" t="s">
        <v>52</v>
      </c>
      <c r="I415" t="s">
        <v>372</v>
      </c>
      <c r="J415" t="s">
        <v>55</v>
      </c>
      <c r="K415" t="s">
        <v>186</v>
      </c>
      <c r="M415" t="s">
        <v>6</v>
      </c>
    </row>
    <row r="416" spans="2:13" hidden="1">
      <c r="B416">
        <v>414</v>
      </c>
      <c r="C416">
        <v>36</v>
      </c>
      <c r="D416">
        <v>18</v>
      </c>
      <c r="E416">
        <v>3</v>
      </c>
      <c r="F416">
        <v>0</v>
      </c>
      <c r="G416" t="s">
        <v>183</v>
      </c>
      <c r="H416" t="s">
        <v>52</v>
      </c>
      <c r="I416" t="s">
        <v>372</v>
      </c>
      <c r="J416" t="s">
        <v>55</v>
      </c>
      <c r="K416" t="s">
        <v>187</v>
      </c>
      <c r="M416" t="s">
        <v>6</v>
      </c>
    </row>
    <row r="417" spans="2:13" hidden="1">
      <c r="B417">
        <v>415</v>
      </c>
      <c r="C417">
        <v>36</v>
      </c>
      <c r="D417">
        <v>18</v>
      </c>
      <c r="E417">
        <v>4</v>
      </c>
      <c r="F417">
        <v>0</v>
      </c>
      <c r="G417" t="s">
        <v>183</v>
      </c>
      <c r="H417" t="s">
        <v>52</v>
      </c>
      <c r="I417" t="s">
        <v>372</v>
      </c>
      <c r="J417" t="s">
        <v>55</v>
      </c>
      <c r="K417" t="s">
        <v>188</v>
      </c>
      <c r="M417" t="s">
        <v>6</v>
      </c>
    </row>
    <row r="418" spans="2:13" hidden="1">
      <c r="B418">
        <v>416</v>
      </c>
      <c r="C418">
        <v>36</v>
      </c>
      <c r="D418">
        <v>18</v>
      </c>
      <c r="E418">
        <v>5</v>
      </c>
      <c r="F418">
        <v>0</v>
      </c>
      <c r="G418" t="s">
        <v>183</v>
      </c>
      <c r="H418" t="s">
        <v>52</v>
      </c>
      <c r="I418" t="s">
        <v>372</v>
      </c>
      <c r="J418" t="s">
        <v>55</v>
      </c>
      <c r="K418" t="s">
        <v>373</v>
      </c>
      <c r="M418" t="s">
        <v>6</v>
      </c>
    </row>
    <row r="419" spans="2:13" hidden="1">
      <c r="B419">
        <v>417</v>
      </c>
      <c r="C419">
        <v>36</v>
      </c>
      <c r="D419">
        <v>18</v>
      </c>
      <c r="E419">
        <v>6</v>
      </c>
      <c r="F419">
        <v>0</v>
      </c>
      <c r="G419" t="s">
        <v>183</v>
      </c>
      <c r="H419" t="s">
        <v>52</v>
      </c>
      <c r="I419" t="s">
        <v>372</v>
      </c>
      <c r="J419" t="s">
        <v>99</v>
      </c>
      <c r="K419" t="s">
        <v>374</v>
      </c>
      <c r="M419" t="s">
        <v>6</v>
      </c>
    </row>
    <row r="420" spans="2:13" hidden="1">
      <c r="B420">
        <v>418</v>
      </c>
      <c r="C420">
        <v>36</v>
      </c>
      <c r="D420">
        <v>18</v>
      </c>
      <c r="E420">
        <v>7</v>
      </c>
      <c r="F420">
        <v>0</v>
      </c>
      <c r="G420" t="s">
        <v>183</v>
      </c>
      <c r="H420" t="s">
        <v>52</v>
      </c>
      <c r="I420" t="s">
        <v>372</v>
      </c>
      <c r="J420" t="s">
        <v>99</v>
      </c>
      <c r="K420" t="s">
        <v>375</v>
      </c>
      <c r="M420" t="s">
        <v>6</v>
      </c>
    </row>
    <row r="421" spans="2:13" hidden="1">
      <c r="B421">
        <v>419</v>
      </c>
      <c r="C421">
        <v>36</v>
      </c>
      <c r="D421">
        <v>18</v>
      </c>
      <c r="E421">
        <v>8</v>
      </c>
      <c r="F421">
        <v>0</v>
      </c>
      <c r="G421" t="s">
        <v>183</v>
      </c>
      <c r="H421" t="s">
        <v>52</v>
      </c>
      <c r="I421" t="s">
        <v>372</v>
      </c>
      <c r="J421" t="s">
        <v>99</v>
      </c>
      <c r="K421" t="s">
        <v>376</v>
      </c>
      <c r="M421" t="s">
        <v>6</v>
      </c>
    </row>
    <row r="422" spans="2:13" hidden="1">
      <c r="B422">
        <v>420</v>
      </c>
      <c r="C422">
        <v>36</v>
      </c>
      <c r="D422">
        <v>18</v>
      </c>
      <c r="E422">
        <v>9</v>
      </c>
      <c r="F422">
        <v>0</v>
      </c>
      <c r="G422" t="s">
        <v>183</v>
      </c>
      <c r="H422" t="s">
        <v>52</v>
      </c>
      <c r="I422" t="s">
        <v>372</v>
      </c>
      <c r="J422" t="s">
        <v>99</v>
      </c>
      <c r="K422" t="s">
        <v>377</v>
      </c>
      <c r="M422" t="s">
        <v>6</v>
      </c>
    </row>
    <row r="423" spans="2:13" hidden="1">
      <c r="B423">
        <v>421</v>
      </c>
      <c r="C423">
        <v>36</v>
      </c>
      <c r="D423">
        <v>18</v>
      </c>
      <c r="E423">
        <v>10</v>
      </c>
      <c r="F423">
        <v>0</v>
      </c>
      <c r="G423" t="s">
        <v>183</v>
      </c>
      <c r="H423" t="s">
        <v>52</v>
      </c>
      <c r="I423" t="s">
        <v>372</v>
      </c>
      <c r="J423" t="s">
        <v>99</v>
      </c>
      <c r="K423" t="s">
        <v>378</v>
      </c>
      <c r="M423" t="s">
        <v>6</v>
      </c>
    </row>
    <row r="424" spans="2:13" hidden="1">
      <c r="B424">
        <v>422</v>
      </c>
      <c r="C424">
        <v>36</v>
      </c>
      <c r="D424">
        <v>18</v>
      </c>
      <c r="E424">
        <v>11</v>
      </c>
      <c r="F424">
        <v>0</v>
      </c>
      <c r="G424" t="s">
        <v>183</v>
      </c>
      <c r="H424" t="s">
        <v>52</v>
      </c>
      <c r="I424" t="s">
        <v>372</v>
      </c>
      <c r="J424" t="s">
        <v>99</v>
      </c>
      <c r="K424" t="s">
        <v>379</v>
      </c>
      <c r="M424" t="s">
        <v>6</v>
      </c>
    </row>
    <row r="425" spans="2:13" hidden="1">
      <c r="B425">
        <v>423</v>
      </c>
      <c r="C425">
        <v>36</v>
      </c>
      <c r="D425">
        <v>18</v>
      </c>
      <c r="E425">
        <v>12</v>
      </c>
      <c r="F425">
        <v>0</v>
      </c>
      <c r="G425" t="s">
        <v>183</v>
      </c>
      <c r="H425" t="s">
        <v>52</v>
      </c>
      <c r="I425" t="s">
        <v>372</v>
      </c>
      <c r="J425" t="s">
        <v>99</v>
      </c>
      <c r="K425" t="s">
        <v>380</v>
      </c>
      <c r="M425" t="s">
        <v>6</v>
      </c>
    </row>
    <row r="426" spans="2:13" hidden="1">
      <c r="B426">
        <v>424</v>
      </c>
      <c r="C426">
        <v>36</v>
      </c>
      <c r="D426">
        <v>18</v>
      </c>
      <c r="E426">
        <v>13</v>
      </c>
      <c r="F426">
        <v>0</v>
      </c>
      <c r="G426" t="s">
        <v>183</v>
      </c>
      <c r="H426" t="s">
        <v>52</v>
      </c>
      <c r="I426" t="s">
        <v>372</v>
      </c>
      <c r="J426" t="s">
        <v>99</v>
      </c>
      <c r="K426" t="s">
        <v>381</v>
      </c>
      <c r="M426" t="s">
        <v>6</v>
      </c>
    </row>
    <row r="427" spans="2:13" hidden="1">
      <c r="B427">
        <v>425</v>
      </c>
      <c r="C427">
        <v>36</v>
      </c>
      <c r="D427">
        <v>18</v>
      </c>
      <c r="E427">
        <v>14</v>
      </c>
      <c r="F427">
        <v>0</v>
      </c>
      <c r="G427" t="s">
        <v>183</v>
      </c>
      <c r="H427" t="s">
        <v>52</v>
      </c>
      <c r="I427" t="s">
        <v>372</v>
      </c>
      <c r="J427" t="s">
        <v>99</v>
      </c>
      <c r="K427" t="s">
        <v>382</v>
      </c>
      <c r="M427" t="s">
        <v>6</v>
      </c>
    </row>
    <row r="428" spans="2:13" hidden="1">
      <c r="B428">
        <v>426</v>
      </c>
      <c r="C428">
        <v>36</v>
      </c>
      <c r="D428">
        <v>18</v>
      </c>
      <c r="E428">
        <v>15</v>
      </c>
      <c r="F428">
        <v>0</v>
      </c>
      <c r="G428" t="s">
        <v>183</v>
      </c>
      <c r="H428" t="s">
        <v>52</v>
      </c>
      <c r="I428" t="s">
        <v>372</v>
      </c>
      <c r="J428" t="s">
        <v>99</v>
      </c>
      <c r="K428" t="s">
        <v>383</v>
      </c>
      <c r="M428" t="s">
        <v>6</v>
      </c>
    </row>
    <row r="429" spans="2:13" hidden="1">
      <c r="B429">
        <v>427</v>
      </c>
      <c r="C429">
        <v>36</v>
      </c>
      <c r="D429">
        <v>18</v>
      </c>
      <c r="E429">
        <v>16</v>
      </c>
      <c r="F429">
        <v>0</v>
      </c>
      <c r="G429" t="s">
        <v>183</v>
      </c>
      <c r="H429" t="s">
        <v>52</v>
      </c>
      <c r="I429" t="s">
        <v>372</v>
      </c>
      <c r="J429" t="s">
        <v>99</v>
      </c>
      <c r="K429" t="s">
        <v>384</v>
      </c>
      <c r="M429" t="s">
        <v>6</v>
      </c>
    </row>
    <row r="430" spans="2:13" hidden="1">
      <c r="B430">
        <v>428</v>
      </c>
      <c r="C430">
        <v>36</v>
      </c>
      <c r="D430">
        <v>18</v>
      </c>
      <c r="E430">
        <v>17</v>
      </c>
      <c r="F430">
        <v>0</v>
      </c>
      <c r="G430" t="s">
        <v>183</v>
      </c>
      <c r="H430" t="s">
        <v>52</v>
      </c>
      <c r="I430" t="s">
        <v>372</v>
      </c>
      <c r="J430" t="s">
        <v>99</v>
      </c>
      <c r="K430" t="s">
        <v>239</v>
      </c>
      <c r="M430" t="s">
        <v>6</v>
      </c>
    </row>
    <row r="431" spans="2:13" hidden="1">
      <c r="B431">
        <v>429</v>
      </c>
      <c r="C431">
        <v>36</v>
      </c>
      <c r="D431">
        <v>18</v>
      </c>
      <c r="E431">
        <v>18</v>
      </c>
      <c r="F431">
        <v>0</v>
      </c>
      <c r="G431" t="s">
        <v>183</v>
      </c>
      <c r="H431" t="s">
        <v>52</v>
      </c>
      <c r="I431" t="s">
        <v>372</v>
      </c>
      <c r="J431" t="s">
        <v>55</v>
      </c>
      <c r="K431" t="s">
        <v>385</v>
      </c>
      <c r="M431" t="s">
        <v>6</v>
      </c>
    </row>
    <row r="432" spans="2:13" hidden="1">
      <c r="B432">
        <v>430</v>
      </c>
      <c r="C432">
        <v>37</v>
      </c>
      <c r="D432">
        <v>5</v>
      </c>
      <c r="E432">
        <v>0</v>
      </c>
      <c r="F432">
        <v>0</v>
      </c>
      <c r="G432" t="s">
        <v>183</v>
      </c>
      <c r="H432" t="s">
        <v>52</v>
      </c>
      <c r="I432" t="s">
        <v>386</v>
      </c>
      <c r="J432" t="s">
        <v>54</v>
      </c>
      <c r="K432" t="s">
        <v>386</v>
      </c>
      <c r="M432" t="s">
        <v>6</v>
      </c>
    </row>
    <row r="433" spans="2:13" hidden="1">
      <c r="B433">
        <v>431</v>
      </c>
      <c r="C433">
        <v>37</v>
      </c>
      <c r="D433">
        <v>5</v>
      </c>
      <c r="E433">
        <v>1</v>
      </c>
      <c r="F433">
        <v>0</v>
      </c>
      <c r="G433" t="s">
        <v>183</v>
      </c>
      <c r="H433" t="s">
        <v>52</v>
      </c>
      <c r="I433" t="s">
        <v>386</v>
      </c>
      <c r="J433" t="s">
        <v>269</v>
      </c>
      <c r="K433" t="s">
        <v>387</v>
      </c>
      <c r="M433" t="s">
        <v>6</v>
      </c>
    </row>
    <row r="434" spans="2:13" hidden="1">
      <c r="B434">
        <v>432</v>
      </c>
      <c r="C434">
        <v>37</v>
      </c>
      <c r="D434">
        <v>5</v>
      </c>
      <c r="E434">
        <v>2</v>
      </c>
      <c r="F434">
        <v>0</v>
      </c>
      <c r="G434" t="s">
        <v>183</v>
      </c>
      <c r="H434" t="s">
        <v>52</v>
      </c>
      <c r="I434" t="s">
        <v>386</v>
      </c>
      <c r="J434" t="s">
        <v>269</v>
      </c>
      <c r="K434" t="s">
        <v>388</v>
      </c>
      <c r="M434" t="s">
        <v>6</v>
      </c>
    </row>
    <row r="435" spans="2:13" hidden="1">
      <c r="B435">
        <v>433</v>
      </c>
      <c r="C435">
        <v>37</v>
      </c>
      <c r="D435">
        <v>5</v>
      </c>
      <c r="E435">
        <v>3</v>
      </c>
      <c r="F435">
        <v>0</v>
      </c>
      <c r="G435" t="s">
        <v>183</v>
      </c>
      <c r="H435" t="s">
        <v>52</v>
      </c>
      <c r="I435" t="s">
        <v>386</v>
      </c>
      <c r="J435" t="s">
        <v>269</v>
      </c>
      <c r="K435" t="s">
        <v>389</v>
      </c>
      <c r="M435" t="s">
        <v>6</v>
      </c>
    </row>
    <row r="436" spans="2:13" hidden="1">
      <c r="B436">
        <v>434</v>
      </c>
      <c r="C436">
        <v>37</v>
      </c>
      <c r="D436">
        <v>5</v>
      </c>
      <c r="E436">
        <v>4</v>
      </c>
      <c r="F436">
        <v>0</v>
      </c>
      <c r="G436" t="s">
        <v>183</v>
      </c>
      <c r="H436" t="s">
        <v>52</v>
      </c>
      <c r="I436" t="s">
        <v>386</v>
      </c>
      <c r="J436" t="s">
        <v>269</v>
      </c>
      <c r="K436" t="s">
        <v>390</v>
      </c>
      <c r="M436" t="s">
        <v>6</v>
      </c>
    </row>
    <row r="437" spans="2:13" hidden="1">
      <c r="B437">
        <v>435</v>
      </c>
      <c r="C437">
        <v>37</v>
      </c>
      <c r="D437">
        <v>5</v>
      </c>
      <c r="E437">
        <v>5</v>
      </c>
      <c r="F437">
        <v>0</v>
      </c>
      <c r="G437" t="s">
        <v>183</v>
      </c>
      <c r="H437" t="s">
        <v>52</v>
      </c>
      <c r="I437" t="s">
        <v>386</v>
      </c>
      <c r="J437" t="s">
        <v>269</v>
      </c>
      <c r="K437" t="s">
        <v>391</v>
      </c>
      <c r="M437" t="s">
        <v>6</v>
      </c>
    </row>
    <row r="438" spans="2:13" hidden="1">
      <c r="B438">
        <v>436</v>
      </c>
      <c r="C438">
        <v>38</v>
      </c>
      <c r="D438">
        <v>33</v>
      </c>
      <c r="E438">
        <v>0</v>
      </c>
      <c r="F438">
        <v>0</v>
      </c>
      <c r="G438" t="s">
        <v>183</v>
      </c>
      <c r="H438" t="s">
        <v>52</v>
      </c>
      <c r="I438" t="s">
        <v>392</v>
      </c>
      <c r="J438" t="s">
        <v>54</v>
      </c>
      <c r="K438" t="s">
        <v>392</v>
      </c>
      <c r="M438" t="s">
        <v>6</v>
      </c>
    </row>
    <row r="439" spans="2:13" hidden="1">
      <c r="B439">
        <v>437</v>
      </c>
      <c r="C439">
        <v>38</v>
      </c>
      <c r="D439">
        <v>33</v>
      </c>
      <c r="E439">
        <v>1</v>
      </c>
      <c r="F439">
        <v>0</v>
      </c>
      <c r="G439" t="s">
        <v>183</v>
      </c>
      <c r="H439" t="s">
        <v>52</v>
      </c>
      <c r="I439" t="s">
        <v>392</v>
      </c>
      <c r="J439" t="s">
        <v>55</v>
      </c>
      <c r="K439" t="s">
        <v>185</v>
      </c>
      <c r="M439" t="s">
        <v>6</v>
      </c>
    </row>
    <row r="440" spans="2:13" hidden="1">
      <c r="B440">
        <v>438</v>
      </c>
      <c r="C440">
        <v>38</v>
      </c>
      <c r="D440">
        <v>33</v>
      </c>
      <c r="E440">
        <v>2</v>
      </c>
      <c r="F440">
        <v>0</v>
      </c>
      <c r="G440" t="s">
        <v>183</v>
      </c>
      <c r="H440" t="s">
        <v>52</v>
      </c>
      <c r="I440" t="s">
        <v>392</v>
      </c>
      <c r="J440" t="s">
        <v>55</v>
      </c>
      <c r="K440" t="s">
        <v>186</v>
      </c>
      <c r="M440" t="s">
        <v>6</v>
      </c>
    </row>
    <row r="441" spans="2:13" hidden="1">
      <c r="B441">
        <v>439</v>
      </c>
      <c r="C441">
        <v>38</v>
      </c>
      <c r="D441">
        <v>33</v>
      </c>
      <c r="E441">
        <v>3</v>
      </c>
      <c r="F441">
        <v>0</v>
      </c>
      <c r="G441" t="s">
        <v>183</v>
      </c>
      <c r="H441" t="s">
        <v>52</v>
      </c>
      <c r="I441" t="s">
        <v>392</v>
      </c>
      <c r="J441" t="s">
        <v>55</v>
      </c>
      <c r="K441" t="s">
        <v>187</v>
      </c>
      <c r="M441" t="s">
        <v>6</v>
      </c>
    </row>
    <row r="442" spans="2:13" hidden="1">
      <c r="B442">
        <v>440</v>
      </c>
      <c r="C442">
        <v>38</v>
      </c>
      <c r="D442">
        <v>33</v>
      </c>
      <c r="E442">
        <v>4</v>
      </c>
      <c r="F442">
        <v>0</v>
      </c>
      <c r="G442" t="s">
        <v>183</v>
      </c>
      <c r="H442" t="s">
        <v>52</v>
      </c>
      <c r="I442" t="s">
        <v>392</v>
      </c>
      <c r="J442" t="s">
        <v>55</v>
      </c>
      <c r="K442" t="s">
        <v>188</v>
      </c>
      <c r="M442" t="s">
        <v>6</v>
      </c>
    </row>
    <row r="443" spans="2:13" hidden="1">
      <c r="B443">
        <v>441</v>
      </c>
      <c r="C443">
        <v>38</v>
      </c>
      <c r="D443">
        <v>33</v>
      </c>
      <c r="E443">
        <v>5</v>
      </c>
      <c r="F443">
        <v>0</v>
      </c>
      <c r="G443" t="s">
        <v>183</v>
      </c>
      <c r="H443" t="s">
        <v>52</v>
      </c>
      <c r="I443" t="s">
        <v>392</v>
      </c>
      <c r="J443" t="s">
        <v>55</v>
      </c>
      <c r="K443" t="s">
        <v>325</v>
      </c>
      <c r="M443" t="s">
        <v>6</v>
      </c>
    </row>
    <row r="444" spans="2:13" hidden="1">
      <c r="B444">
        <v>442</v>
      </c>
      <c r="C444">
        <v>38</v>
      </c>
      <c r="D444">
        <v>33</v>
      </c>
      <c r="E444">
        <v>6</v>
      </c>
      <c r="F444">
        <v>0</v>
      </c>
      <c r="G444" t="s">
        <v>183</v>
      </c>
      <c r="H444" t="s">
        <v>52</v>
      </c>
      <c r="I444" t="s">
        <v>392</v>
      </c>
      <c r="J444" t="s">
        <v>99</v>
      </c>
      <c r="K444" t="s">
        <v>393</v>
      </c>
      <c r="M444" t="s">
        <v>6</v>
      </c>
    </row>
    <row r="445" spans="2:13" hidden="1">
      <c r="B445">
        <v>443</v>
      </c>
      <c r="C445">
        <v>38</v>
      </c>
      <c r="D445">
        <v>33</v>
      </c>
      <c r="E445">
        <v>7</v>
      </c>
      <c r="F445">
        <v>0</v>
      </c>
      <c r="G445" t="s">
        <v>183</v>
      </c>
      <c r="H445" t="s">
        <v>52</v>
      </c>
      <c r="I445" t="s">
        <v>392</v>
      </c>
      <c r="J445" t="s">
        <v>99</v>
      </c>
      <c r="K445" t="s">
        <v>394</v>
      </c>
      <c r="M445" t="s">
        <v>6</v>
      </c>
    </row>
    <row r="446" spans="2:13" hidden="1">
      <c r="B446">
        <v>444</v>
      </c>
      <c r="C446">
        <v>38</v>
      </c>
      <c r="D446">
        <v>33</v>
      </c>
      <c r="E446">
        <v>8</v>
      </c>
      <c r="F446">
        <v>0</v>
      </c>
      <c r="G446" t="s">
        <v>183</v>
      </c>
      <c r="H446" t="s">
        <v>52</v>
      </c>
      <c r="I446" t="s">
        <v>392</v>
      </c>
      <c r="J446" t="s">
        <v>99</v>
      </c>
      <c r="K446" t="s">
        <v>395</v>
      </c>
      <c r="M446" t="s">
        <v>6</v>
      </c>
    </row>
    <row r="447" spans="2:13" hidden="1">
      <c r="B447">
        <v>445</v>
      </c>
      <c r="C447">
        <v>38</v>
      </c>
      <c r="D447">
        <v>33</v>
      </c>
      <c r="E447">
        <v>9</v>
      </c>
      <c r="F447">
        <v>0</v>
      </c>
      <c r="G447" t="s">
        <v>183</v>
      </c>
      <c r="H447" t="s">
        <v>52</v>
      </c>
      <c r="I447" t="s">
        <v>392</v>
      </c>
      <c r="J447" t="s">
        <v>55</v>
      </c>
      <c r="K447" t="s">
        <v>396</v>
      </c>
      <c r="M447" t="s">
        <v>6</v>
      </c>
    </row>
    <row r="448" spans="2:13" hidden="1">
      <c r="B448">
        <v>446</v>
      </c>
      <c r="C448">
        <v>38</v>
      </c>
      <c r="D448">
        <v>33</v>
      </c>
      <c r="E448">
        <v>10</v>
      </c>
      <c r="F448">
        <v>0</v>
      </c>
      <c r="G448" t="s">
        <v>183</v>
      </c>
      <c r="H448" t="s">
        <v>52</v>
      </c>
      <c r="I448" t="s">
        <v>392</v>
      </c>
      <c r="J448" t="s">
        <v>99</v>
      </c>
      <c r="K448" t="s">
        <v>397</v>
      </c>
      <c r="M448" t="s">
        <v>6</v>
      </c>
    </row>
    <row r="449" spans="2:13" hidden="1">
      <c r="B449">
        <v>447</v>
      </c>
      <c r="C449">
        <v>38</v>
      </c>
      <c r="D449">
        <v>33</v>
      </c>
      <c r="E449">
        <v>11</v>
      </c>
      <c r="F449">
        <v>0</v>
      </c>
      <c r="G449" t="s">
        <v>183</v>
      </c>
      <c r="H449" t="s">
        <v>52</v>
      </c>
      <c r="I449" t="s">
        <v>392</v>
      </c>
      <c r="J449" t="s">
        <v>99</v>
      </c>
      <c r="K449" t="s">
        <v>398</v>
      </c>
      <c r="M449" t="s">
        <v>6</v>
      </c>
    </row>
    <row r="450" spans="2:13" hidden="1">
      <c r="B450">
        <v>448</v>
      </c>
      <c r="C450">
        <v>38</v>
      </c>
      <c r="D450">
        <v>33</v>
      </c>
      <c r="E450">
        <v>12</v>
      </c>
      <c r="F450">
        <v>0</v>
      </c>
      <c r="G450" t="s">
        <v>183</v>
      </c>
      <c r="H450" t="s">
        <v>52</v>
      </c>
      <c r="I450" t="s">
        <v>392</v>
      </c>
      <c r="J450" t="s">
        <v>99</v>
      </c>
      <c r="K450" t="s">
        <v>399</v>
      </c>
      <c r="M450" t="s">
        <v>6</v>
      </c>
    </row>
    <row r="451" spans="2:13" hidden="1">
      <c r="B451">
        <v>449</v>
      </c>
      <c r="C451">
        <v>38</v>
      </c>
      <c r="D451">
        <v>33</v>
      </c>
      <c r="E451">
        <v>13</v>
      </c>
      <c r="F451">
        <v>0</v>
      </c>
      <c r="G451" t="s">
        <v>183</v>
      </c>
      <c r="H451" t="s">
        <v>52</v>
      </c>
      <c r="I451" t="s">
        <v>392</v>
      </c>
      <c r="J451" t="s">
        <v>55</v>
      </c>
      <c r="K451" t="s">
        <v>259</v>
      </c>
      <c r="M451" t="s">
        <v>6</v>
      </c>
    </row>
    <row r="452" spans="2:13" hidden="1">
      <c r="B452">
        <v>450</v>
      </c>
      <c r="C452">
        <v>38</v>
      </c>
      <c r="D452">
        <v>33</v>
      </c>
      <c r="E452">
        <v>14</v>
      </c>
      <c r="F452">
        <v>0</v>
      </c>
      <c r="G452" t="s">
        <v>183</v>
      </c>
      <c r="H452" t="s">
        <v>52</v>
      </c>
      <c r="I452" t="s">
        <v>392</v>
      </c>
      <c r="J452" t="s">
        <v>99</v>
      </c>
      <c r="K452" t="s">
        <v>260</v>
      </c>
      <c r="M452" t="s">
        <v>6</v>
      </c>
    </row>
    <row r="453" spans="2:13" hidden="1">
      <c r="B453">
        <v>451</v>
      </c>
      <c r="C453">
        <v>38</v>
      </c>
      <c r="D453">
        <v>33</v>
      </c>
      <c r="E453">
        <v>15</v>
      </c>
      <c r="F453">
        <v>0</v>
      </c>
      <c r="G453" t="s">
        <v>183</v>
      </c>
      <c r="H453" t="s">
        <v>52</v>
      </c>
      <c r="I453" t="s">
        <v>392</v>
      </c>
      <c r="J453" t="s">
        <v>99</v>
      </c>
      <c r="K453" t="s">
        <v>261</v>
      </c>
      <c r="M453" t="s">
        <v>6</v>
      </c>
    </row>
    <row r="454" spans="2:13" hidden="1">
      <c r="B454">
        <v>452</v>
      </c>
      <c r="C454">
        <v>38</v>
      </c>
      <c r="D454">
        <v>33</v>
      </c>
      <c r="E454">
        <v>16</v>
      </c>
      <c r="F454">
        <v>0</v>
      </c>
      <c r="G454" t="s">
        <v>183</v>
      </c>
      <c r="H454" t="s">
        <v>52</v>
      </c>
      <c r="I454" t="s">
        <v>392</v>
      </c>
      <c r="J454" t="s">
        <v>99</v>
      </c>
      <c r="K454" t="s">
        <v>262</v>
      </c>
      <c r="M454" t="s">
        <v>6</v>
      </c>
    </row>
    <row r="455" spans="2:13" hidden="1">
      <c r="B455">
        <v>453</v>
      </c>
      <c r="C455">
        <v>38</v>
      </c>
      <c r="D455">
        <v>33</v>
      </c>
      <c r="E455">
        <v>17</v>
      </c>
      <c r="F455">
        <v>0</v>
      </c>
      <c r="G455" t="s">
        <v>183</v>
      </c>
      <c r="H455" t="s">
        <v>52</v>
      </c>
      <c r="I455" t="s">
        <v>392</v>
      </c>
      <c r="J455" t="s">
        <v>269</v>
      </c>
      <c r="K455" t="s">
        <v>400</v>
      </c>
      <c r="M455" t="s">
        <v>6</v>
      </c>
    </row>
    <row r="456" spans="2:13" hidden="1">
      <c r="B456">
        <v>454</v>
      </c>
      <c r="C456">
        <v>38</v>
      </c>
      <c r="D456">
        <v>33</v>
      </c>
      <c r="E456">
        <v>18</v>
      </c>
      <c r="F456">
        <v>0</v>
      </c>
      <c r="G456" t="s">
        <v>183</v>
      </c>
      <c r="H456" t="s">
        <v>52</v>
      </c>
      <c r="I456" t="s">
        <v>392</v>
      </c>
      <c r="J456" t="s">
        <v>99</v>
      </c>
      <c r="K456" t="s">
        <v>401</v>
      </c>
      <c r="M456" t="s">
        <v>6</v>
      </c>
    </row>
    <row r="457" spans="2:13" hidden="1">
      <c r="B457">
        <v>455</v>
      </c>
      <c r="C457">
        <v>38</v>
      </c>
      <c r="D457">
        <v>33</v>
      </c>
      <c r="E457">
        <v>19</v>
      </c>
      <c r="F457">
        <v>0</v>
      </c>
      <c r="G457" t="s">
        <v>183</v>
      </c>
      <c r="H457" t="s">
        <v>52</v>
      </c>
      <c r="I457" t="s">
        <v>392</v>
      </c>
      <c r="J457" t="s">
        <v>99</v>
      </c>
      <c r="K457" t="s">
        <v>402</v>
      </c>
      <c r="M457" t="s">
        <v>6</v>
      </c>
    </row>
    <row r="458" spans="2:13" hidden="1">
      <c r="B458">
        <v>456</v>
      </c>
      <c r="C458">
        <v>38</v>
      </c>
      <c r="D458">
        <v>33</v>
      </c>
      <c r="E458">
        <v>20</v>
      </c>
      <c r="F458">
        <v>0</v>
      </c>
      <c r="G458" t="s">
        <v>183</v>
      </c>
      <c r="H458" t="s">
        <v>52</v>
      </c>
      <c r="I458" t="s">
        <v>392</v>
      </c>
      <c r="J458" t="s">
        <v>269</v>
      </c>
      <c r="K458" t="s">
        <v>403</v>
      </c>
      <c r="M458" t="s">
        <v>6</v>
      </c>
    </row>
    <row r="459" spans="2:13" hidden="1">
      <c r="B459">
        <v>457</v>
      </c>
      <c r="C459">
        <v>38</v>
      </c>
      <c r="D459">
        <v>33</v>
      </c>
      <c r="E459">
        <v>21</v>
      </c>
      <c r="F459">
        <v>0</v>
      </c>
      <c r="G459" t="s">
        <v>183</v>
      </c>
      <c r="H459" t="s">
        <v>52</v>
      </c>
      <c r="I459" t="s">
        <v>392</v>
      </c>
      <c r="J459" t="s">
        <v>99</v>
      </c>
      <c r="K459" t="s">
        <v>404</v>
      </c>
      <c r="M459" t="s">
        <v>6</v>
      </c>
    </row>
    <row r="460" spans="2:13" hidden="1">
      <c r="B460">
        <v>458</v>
      </c>
      <c r="C460">
        <v>38</v>
      </c>
      <c r="D460">
        <v>33</v>
      </c>
      <c r="E460">
        <v>22</v>
      </c>
      <c r="F460">
        <v>0</v>
      </c>
      <c r="G460" t="s">
        <v>183</v>
      </c>
      <c r="H460" t="s">
        <v>52</v>
      </c>
      <c r="I460" t="s">
        <v>392</v>
      </c>
      <c r="J460" t="s">
        <v>99</v>
      </c>
      <c r="K460" t="s">
        <v>405</v>
      </c>
      <c r="M460" t="s">
        <v>6</v>
      </c>
    </row>
    <row r="461" spans="2:13" hidden="1">
      <c r="B461">
        <v>459</v>
      </c>
      <c r="C461">
        <v>38</v>
      </c>
      <c r="D461">
        <v>33</v>
      </c>
      <c r="E461">
        <v>23</v>
      </c>
      <c r="F461">
        <v>0</v>
      </c>
      <c r="G461" t="s">
        <v>183</v>
      </c>
      <c r="H461" t="s">
        <v>52</v>
      </c>
      <c r="I461" t="s">
        <v>392</v>
      </c>
      <c r="J461" t="s">
        <v>99</v>
      </c>
      <c r="K461" t="s">
        <v>406</v>
      </c>
      <c r="M461" t="s">
        <v>6</v>
      </c>
    </row>
    <row r="462" spans="2:13" hidden="1">
      <c r="B462">
        <v>460</v>
      </c>
      <c r="C462">
        <v>38</v>
      </c>
      <c r="D462">
        <v>33</v>
      </c>
      <c r="E462">
        <v>24</v>
      </c>
      <c r="F462">
        <v>0</v>
      </c>
      <c r="G462" t="s">
        <v>183</v>
      </c>
      <c r="H462" t="s">
        <v>52</v>
      </c>
      <c r="I462" t="s">
        <v>392</v>
      </c>
      <c r="J462" t="s">
        <v>99</v>
      </c>
      <c r="K462" t="s">
        <v>407</v>
      </c>
      <c r="M462" t="s">
        <v>6</v>
      </c>
    </row>
    <row r="463" spans="2:13" hidden="1">
      <c r="B463">
        <v>461</v>
      </c>
      <c r="C463">
        <v>38</v>
      </c>
      <c r="D463">
        <v>33</v>
      </c>
      <c r="E463">
        <v>25</v>
      </c>
      <c r="F463">
        <v>0</v>
      </c>
      <c r="G463" t="s">
        <v>183</v>
      </c>
      <c r="H463" t="s">
        <v>52</v>
      </c>
      <c r="I463" t="s">
        <v>392</v>
      </c>
      <c r="J463" t="s">
        <v>99</v>
      </c>
      <c r="K463" t="s">
        <v>408</v>
      </c>
      <c r="M463" t="s">
        <v>6</v>
      </c>
    </row>
    <row r="464" spans="2:13" hidden="1">
      <c r="B464">
        <v>462</v>
      </c>
      <c r="C464">
        <v>38</v>
      </c>
      <c r="D464">
        <v>33</v>
      </c>
      <c r="E464">
        <v>26</v>
      </c>
      <c r="F464">
        <v>0</v>
      </c>
      <c r="G464" t="s">
        <v>183</v>
      </c>
      <c r="H464" t="s">
        <v>52</v>
      </c>
      <c r="I464" t="s">
        <v>392</v>
      </c>
      <c r="J464" t="s">
        <v>99</v>
      </c>
      <c r="K464" t="s">
        <v>409</v>
      </c>
      <c r="M464" t="s">
        <v>6</v>
      </c>
    </row>
    <row r="465" spans="2:13" hidden="1">
      <c r="B465">
        <v>463</v>
      </c>
      <c r="C465">
        <v>38</v>
      </c>
      <c r="D465">
        <v>33</v>
      </c>
      <c r="E465">
        <v>27</v>
      </c>
      <c r="F465">
        <v>0</v>
      </c>
      <c r="G465" t="s">
        <v>183</v>
      </c>
      <c r="H465" t="s">
        <v>52</v>
      </c>
      <c r="I465" t="s">
        <v>392</v>
      </c>
      <c r="J465" t="s">
        <v>99</v>
      </c>
      <c r="K465" t="s">
        <v>410</v>
      </c>
      <c r="M465" t="s">
        <v>6</v>
      </c>
    </row>
    <row r="466" spans="2:13" hidden="1">
      <c r="B466">
        <v>464</v>
      </c>
      <c r="C466">
        <v>38</v>
      </c>
      <c r="D466">
        <v>33</v>
      </c>
      <c r="E466">
        <v>28</v>
      </c>
      <c r="F466">
        <v>0</v>
      </c>
      <c r="G466" t="s">
        <v>183</v>
      </c>
      <c r="H466" t="s">
        <v>52</v>
      </c>
      <c r="I466" t="s">
        <v>392</v>
      </c>
      <c r="J466" t="s">
        <v>99</v>
      </c>
      <c r="K466" t="s">
        <v>411</v>
      </c>
      <c r="M466" t="s">
        <v>6</v>
      </c>
    </row>
    <row r="467" spans="2:13" hidden="1">
      <c r="B467">
        <v>465</v>
      </c>
      <c r="C467">
        <v>38</v>
      </c>
      <c r="D467">
        <v>33</v>
      </c>
      <c r="E467">
        <v>29</v>
      </c>
      <c r="F467">
        <v>0</v>
      </c>
      <c r="G467" t="s">
        <v>183</v>
      </c>
      <c r="H467" t="s">
        <v>52</v>
      </c>
      <c r="I467" t="s">
        <v>392</v>
      </c>
      <c r="J467" t="s">
        <v>99</v>
      </c>
      <c r="K467" t="s">
        <v>412</v>
      </c>
      <c r="M467" t="s">
        <v>6</v>
      </c>
    </row>
    <row r="468" spans="2:13" hidden="1">
      <c r="B468">
        <v>466</v>
      </c>
      <c r="C468">
        <v>38</v>
      </c>
      <c r="D468">
        <v>33</v>
      </c>
      <c r="E468">
        <v>30</v>
      </c>
      <c r="F468">
        <v>0</v>
      </c>
      <c r="G468" t="s">
        <v>183</v>
      </c>
      <c r="H468" t="s">
        <v>52</v>
      </c>
      <c r="I468" t="s">
        <v>392</v>
      </c>
      <c r="J468" t="s">
        <v>99</v>
      </c>
      <c r="K468" t="s">
        <v>413</v>
      </c>
      <c r="M468" t="s">
        <v>6</v>
      </c>
    </row>
    <row r="469" spans="2:13" hidden="1">
      <c r="B469">
        <v>467</v>
      </c>
      <c r="C469">
        <v>38</v>
      </c>
      <c r="D469">
        <v>33</v>
      </c>
      <c r="E469">
        <v>31</v>
      </c>
      <c r="F469">
        <v>0</v>
      </c>
      <c r="G469" t="s">
        <v>183</v>
      </c>
      <c r="H469" t="s">
        <v>52</v>
      </c>
      <c r="I469" t="s">
        <v>392</v>
      </c>
      <c r="J469" t="s">
        <v>99</v>
      </c>
      <c r="K469" t="s">
        <v>414</v>
      </c>
      <c r="M469" t="s">
        <v>6</v>
      </c>
    </row>
    <row r="470" spans="2:13" hidden="1">
      <c r="B470">
        <v>468</v>
      </c>
      <c r="C470">
        <v>38</v>
      </c>
      <c r="D470">
        <v>33</v>
      </c>
      <c r="E470">
        <v>32</v>
      </c>
      <c r="F470">
        <v>0</v>
      </c>
      <c r="G470" t="s">
        <v>183</v>
      </c>
      <c r="H470" t="s">
        <v>52</v>
      </c>
      <c r="I470" t="s">
        <v>392</v>
      </c>
      <c r="J470" t="s">
        <v>99</v>
      </c>
      <c r="K470" t="s">
        <v>415</v>
      </c>
      <c r="M470" t="s">
        <v>6</v>
      </c>
    </row>
    <row r="471" spans="2:13" hidden="1">
      <c r="B471">
        <v>469</v>
      </c>
      <c r="C471">
        <v>38</v>
      </c>
      <c r="D471">
        <v>33</v>
      </c>
      <c r="E471">
        <v>33</v>
      </c>
      <c r="F471">
        <v>0</v>
      </c>
      <c r="G471" t="s">
        <v>183</v>
      </c>
      <c r="H471" t="s">
        <v>52</v>
      </c>
      <c r="I471" t="s">
        <v>392</v>
      </c>
      <c r="J471" t="s">
        <v>55</v>
      </c>
      <c r="K471" t="s">
        <v>416</v>
      </c>
      <c r="M471" t="s">
        <v>6</v>
      </c>
    </row>
    <row r="472" spans="2:13" hidden="1">
      <c r="B472">
        <v>470</v>
      </c>
      <c r="C472">
        <v>39</v>
      </c>
      <c r="D472">
        <v>6</v>
      </c>
      <c r="E472">
        <v>0</v>
      </c>
      <c r="F472">
        <v>0</v>
      </c>
      <c r="G472" t="s">
        <v>183</v>
      </c>
      <c r="H472" t="s">
        <v>9</v>
      </c>
      <c r="I472" t="s">
        <v>417</v>
      </c>
      <c r="J472" t="s">
        <v>54</v>
      </c>
      <c r="K472" t="s">
        <v>417</v>
      </c>
      <c r="M472" t="s">
        <v>6</v>
      </c>
    </row>
    <row r="473" spans="2:13" hidden="1">
      <c r="B473">
        <v>471</v>
      </c>
      <c r="C473">
        <v>39</v>
      </c>
      <c r="D473">
        <v>6</v>
      </c>
      <c r="E473">
        <v>1</v>
      </c>
      <c r="F473">
        <v>0</v>
      </c>
      <c r="G473" t="s">
        <v>183</v>
      </c>
      <c r="H473" t="s">
        <v>9</v>
      </c>
      <c r="I473" t="s">
        <v>417</v>
      </c>
      <c r="J473" t="s">
        <v>55</v>
      </c>
      <c r="K473" t="s">
        <v>418</v>
      </c>
      <c r="M473" t="s">
        <v>6</v>
      </c>
    </row>
    <row r="474" spans="2:13" hidden="1">
      <c r="B474">
        <v>472</v>
      </c>
      <c r="C474">
        <v>39</v>
      </c>
      <c r="D474">
        <v>6</v>
      </c>
      <c r="E474">
        <v>2</v>
      </c>
      <c r="F474">
        <v>0</v>
      </c>
      <c r="G474" t="s">
        <v>183</v>
      </c>
      <c r="H474" t="s">
        <v>9</v>
      </c>
      <c r="I474" t="s">
        <v>417</v>
      </c>
      <c r="J474" t="s">
        <v>99</v>
      </c>
      <c r="K474" t="s">
        <v>419</v>
      </c>
      <c r="M474" t="s">
        <v>6</v>
      </c>
    </row>
    <row r="475" spans="2:13" hidden="1">
      <c r="B475">
        <v>473</v>
      </c>
      <c r="C475">
        <v>39</v>
      </c>
      <c r="D475">
        <v>6</v>
      </c>
      <c r="E475">
        <v>3</v>
      </c>
      <c r="F475">
        <v>0</v>
      </c>
      <c r="G475" t="s">
        <v>183</v>
      </c>
      <c r="H475" t="s">
        <v>9</v>
      </c>
      <c r="I475" t="s">
        <v>417</v>
      </c>
      <c r="J475" t="s">
        <v>420</v>
      </c>
      <c r="K475" t="s">
        <v>421</v>
      </c>
      <c r="M475" t="s">
        <v>6</v>
      </c>
    </row>
    <row r="476" spans="2:13" hidden="1">
      <c r="B476">
        <v>474</v>
      </c>
      <c r="C476">
        <v>39</v>
      </c>
      <c r="D476">
        <v>6</v>
      </c>
      <c r="E476">
        <v>4</v>
      </c>
      <c r="F476">
        <v>0</v>
      </c>
      <c r="G476" t="s">
        <v>183</v>
      </c>
      <c r="H476" t="s">
        <v>9</v>
      </c>
      <c r="I476" t="s">
        <v>417</v>
      </c>
      <c r="J476" t="s">
        <v>64</v>
      </c>
      <c r="K476" t="s">
        <v>422</v>
      </c>
      <c r="M476" t="s">
        <v>6</v>
      </c>
    </row>
    <row r="477" spans="2:13" hidden="1">
      <c r="B477">
        <v>475</v>
      </c>
      <c r="C477">
        <v>39</v>
      </c>
      <c r="D477">
        <v>6</v>
      </c>
      <c r="E477">
        <v>5</v>
      </c>
      <c r="F477">
        <v>0</v>
      </c>
      <c r="G477" t="s">
        <v>183</v>
      </c>
      <c r="H477" t="s">
        <v>9</v>
      </c>
      <c r="I477" t="s">
        <v>417</v>
      </c>
      <c r="J477" t="s">
        <v>55</v>
      </c>
      <c r="K477" t="s">
        <v>93</v>
      </c>
      <c r="M477" t="s">
        <v>6</v>
      </c>
    </row>
    <row r="478" spans="2:13" hidden="1">
      <c r="B478">
        <v>476</v>
      </c>
      <c r="C478">
        <v>39</v>
      </c>
      <c r="D478">
        <v>6</v>
      </c>
      <c r="E478">
        <v>6</v>
      </c>
      <c r="F478">
        <v>0</v>
      </c>
      <c r="G478" t="s">
        <v>183</v>
      </c>
      <c r="H478" t="s">
        <v>9</v>
      </c>
      <c r="I478" t="s">
        <v>417</v>
      </c>
      <c r="J478" t="s">
        <v>64</v>
      </c>
      <c r="K478" t="s">
        <v>94</v>
      </c>
      <c r="M478" t="s">
        <v>6</v>
      </c>
    </row>
    <row r="479" spans="2:13" hidden="1">
      <c r="B479">
        <v>477</v>
      </c>
      <c r="C479">
        <v>40</v>
      </c>
      <c r="D479">
        <v>4</v>
      </c>
      <c r="E479">
        <v>0</v>
      </c>
      <c r="F479">
        <v>0</v>
      </c>
      <c r="G479" t="s">
        <v>13</v>
      </c>
      <c r="H479" t="s">
        <v>52</v>
      </c>
      <c r="I479" t="s">
        <v>423</v>
      </c>
      <c r="J479" t="s">
        <v>54</v>
      </c>
      <c r="K479" t="s">
        <v>423</v>
      </c>
      <c r="M479" t="s">
        <v>6</v>
      </c>
    </row>
    <row r="480" spans="2:13" hidden="1">
      <c r="B480">
        <v>478</v>
      </c>
      <c r="C480">
        <v>40</v>
      </c>
      <c r="D480">
        <v>4</v>
      </c>
      <c r="E480">
        <v>1</v>
      </c>
      <c r="F480">
        <v>0</v>
      </c>
      <c r="G480" t="s">
        <v>13</v>
      </c>
      <c r="H480" t="s">
        <v>52</v>
      </c>
      <c r="I480" t="s">
        <v>423</v>
      </c>
      <c r="J480" t="s">
        <v>55</v>
      </c>
      <c r="K480" t="s">
        <v>62</v>
      </c>
      <c r="M480" t="s">
        <v>6</v>
      </c>
    </row>
    <row r="481" spans="2:13" hidden="1">
      <c r="B481">
        <v>479</v>
      </c>
      <c r="C481">
        <v>40</v>
      </c>
      <c r="D481">
        <v>4</v>
      </c>
      <c r="E481">
        <v>2</v>
      </c>
      <c r="F481">
        <v>0</v>
      </c>
      <c r="G481" t="s">
        <v>13</v>
      </c>
      <c r="H481" t="s">
        <v>52</v>
      </c>
      <c r="I481" t="s">
        <v>423</v>
      </c>
      <c r="J481" t="s">
        <v>55</v>
      </c>
      <c r="K481" t="s">
        <v>63</v>
      </c>
      <c r="M481" t="s">
        <v>6</v>
      </c>
    </row>
    <row r="482" spans="2:13" hidden="1">
      <c r="B482">
        <v>480</v>
      </c>
      <c r="C482">
        <v>40</v>
      </c>
      <c r="D482">
        <v>4</v>
      </c>
      <c r="E482">
        <v>3</v>
      </c>
      <c r="F482">
        <v>0</v>
      </c>
      <c r="G482" t="s">
        <v>13</v>
      </c>
      <c r="H482" t="s">
        <v>52</v>
      </c>
      <c r="I482" t="s">
        <v>423</v>
      </c>
      <c r="J482" t="s">
        <v>64</v>
      </c>
      <c r="K482" t="s">
        <v>65</v>
      </c>
      <c r="M482" t="s">
        <v>6</v>
      </c>
    </row>
    <row r="483" spans="2:13" hidden="1">
      <c r="B483">
        <v>481</v>
      </c>
      <c r="C483">
        <v>40</v>
      </c>
      <c r="D483">
        <v>4</v>
      </c>
      <c r="E483">
        <v>4</v>
      </c>
      <c r="F483">
        <v>0</v>
      </c>
      <c r="G483" t="s">
        <v>13</v>
      </c>
      <c r="H483" t="s">
        <v>52</v>
      </c>
      <c r="I483" t="s">
        <v>423</v>
      </c>
      <c r="J483" t="s">
        <v>55</v>
      </c>
      <c r="K483" t="s">
        <v>424</v>
      </c>
      <c r="M483" t="s">
        <v>6</v>
      </c>
    </row>
    <row r="484" spans="2:13" hidden="1">
      <c r="B484">
        <v>482</v>
      </c>
      <c r="C484">
        <v>41</v>
      </c>
      <c r="D484">
        <v>4</v>
      </c>
      <c r="E484">
        <v>0</v>
      </c>
      <c r="F484">
        <v>0</v>
      </c>
      <c r="G484" t="s">
        <v>13</v>
      </c>
      <c r="H484" t="s">
        <v>52</v>
      </c>
      <c r="I484" t="s">
        <v>425</v>
      </c>
      <c r="J484" t="s">
        <v>54</v>
      </c>
      <c r="K484" t="s">
        <v>425</v>
      </c>
      <c r="M484" t="s">
        <v>6</v>
      </c>
    </row>
    <row r="485" spans="2:13" hidden="1">
      <c r="B485">
        <v>483</v>
      </c>
      <c r="C485">
        <v>41</v>
      </c>
      <c r="D485">
        <v>4</v>
      </c>
      <c r="E485">
        <v>1</v>
      </c>
      <c r="F485">
        <v>0</v>
      </c>
      <c r="G485" t="s">
        <v>13</v>
      </c>
      <c r="H485" t="s">
        <v>52</v>
      </c>
      <c r="I485" t="s">
        <v>425</v>
      </c>
      <c r="J485" t="s">
        <v>55</v>
      </c>
      <c r="K485" t="s">
        <v>62</v>
      </c>
      <c r="M485" t="s">
        <v>6</v>
      </c>
    </row>
    <row r="486" spans="2:13" hidden="1">
      <c r="B486">
        <v>484</v>
      </c>
      <c r="C486">
        <v>41</v>
      </c>
      <c r="D486">
        <v>4</v>
      </c>
      <c r="E486">
        <v>2</v>
      </c>
      <c r="F486">
        <v>0</v>
      </c>
      <c r="G486" t="s">
        <v>13</v>
      </c>
      <c r="H486" t="s">
        <v>52</v>
      </c>
      <c r="I486" t="s">
        <v>425</v>
      </c>
      <c r="J486" t="s">
        <v>55</v>
      </c>
      <c r="K486" t="s">
        <v>63</v>
      </c>
      <c r="M486" t="s">
        <v>6</v>
      </c>
    </row>
    <row r="487" spans="2:13" hidden="1">
      <c r="B487">
        <v>485</v>
      </c>
      <c r="C487">
        <v>41</v>
      </c>
      <c r="D487">
        <v>4</v>
      </c>
      <c r="E487">
        <v>3</v>
      </c>
      <c r="F487">
        <v>0</v>
      </c>
      <c r="G487" t="s">
        <v>13</v>
      </c>
      <c r="H487" t="s">
        <v>52</v>
      </c>
      <c r="I487" t="s">
        <v>425</v>
      </c>
      <c r="J487" t="s">
        <v>64</v>
      </c>
      <c r="K487" t="s">
        <v>65</v>
      </c>
      <c r="M487" t="s">
        <v>6</v>
      </c>
    </row>
    <row r="488" spans="2:13" hidden="1">
      <c r="B488">
        <v>486</v>
      </c>
      <c r="C488">
        <v>41</v>
      </c>
      <c r="D488">
        <v>4</v>
      </c>
      <c r="E488">
        <v>4</v>
      </c>
      <c r="F488">
        <v>0</v>
      </c>
      <c r="G488" t="s">
        <v>13</v>
      </c>
      <c r="H488" t="s">
        <v>52</v>
      </c>
      <c r="I488" t="s">
        <v>425</v>
      </c>
      <c r="J488" t="s">
        <v>55</v>
      </c>
      <c r="K488" t="s">
        <v>426</v>
      </c>
      <c r="M488" t="s">
        <v>6</v>
      </c>
    </row>
    <row r="489" spans="2:13" hidden="1">
      <c r="B489">
        <v>487</v>
      </c>
      <c r="C489">
        <v>42</v>
      </c>
      <c r="D489">
        <v>19</v>
      </c>
      <c r="E489">
        <v>0</v>
      </c>
      <c r="F489">
        <v>0</v>
      </c>
      <c r="G489" t="s">
        <v>13</v>
      </c>
      <c r="H489" t="s">
        <v>52</v>
      </c>
      <c r="I489" t="s">
        <v>427</v>
      </c>
      <c r="J489" t="s">
        <v>54</v>
      </c>
      <c r="K489" t="s">
        <v>427</v>
      </c>
      <c r="M489" t="s">
        <v>6</v>
      </c>
    </row>
    <row r="490" spans="2:13" hidden="1">
      <c r="B490">
        <v>488</v>
      </c>
      <c r="C490">
        <v>42</v>
      </c>
      <c r="D490">
        <v>19</v>
      </c>
      <c r="E490">
        <v>1</v>
      </c>
      <c r="F490">
        <v>0</v>
      </c>
      <c r="G490" t="s">
        <v>13</v>
      </c>
      <c r="H490" t="s">
        <v>52</v>
      </c>
      <c r="I490" t="s">
        <v>427</v>
      </c>
      <c r="J490" t="s">
        <v>55</v>
      </c>
      <c r="K490" t="s">
        <v>62</v>
      </c>
      <c r="M490" t="s">
        <v>6</v>
      </c>
    </row>
    <row r="491" spans="2:13" hidden="1">
      <c r="B491">
        <v>489</v>
      </c>
      <c r="C491">
        <v>42</v>
      </c>
      <c r="D491">
        <v>19</v>
      </c>
      <c r="E491">
        <v>2</v>
      </c>
      <c r="F491">
        <v>0</v>
      </c>
      <c r="G491" t="s">
        <v>13</v>
      </c>
      <c r="H491" t="s">
        <v>52</v>
      </c>
      <c r="I491" t="s">
        <v>427</v>
      </c>
      <c r="J491" t="s">
        <v>55</v>
      </c>
      <c r="K491" t="s">
        <v>63</v>
      </c>
      <c r="M491" t="s">
        <v>6</v>
      </c>
    </row>
    <row r="492" spans="2:13" hidden="1">
      <c r="B492">
        <v>490</v>
      </c>
      <c r="C492">
        <v>42</v>
      </c>
      <c r="D492">
        <v>19</v>
      </c>
      <c r="E492">
        <v>3</v>
      </c>
      <c r="F492">
        <v>0</v>
      </c>
      <c r="G492" t="s">
        <v>13</v>
      </c>
      <c r="H492" t="s">
        <v>52</v>
      </c>
      <c r="I492" t="s">
        <v>427</v>
      </c>
      <c r="J492" t="s">
        <v>64</v>
      </c>
      <c r="K492" t="s">
        <v>65</v>
      </c>
      <c r="M492" t="s">
        <v>6</v>
      </c>
    </row>
    <row r="493" spans="2:13" hidden="1">
      <c r="B493">
        <v>491</v>
      </c>
      <c r="C493">
        <v>42</v>
      </c>
      <c r="D493">
        <v>19</v>
      </c>
      <c r="E493">
        <v>4</v>
      </c>
      <c r="F493">
        <v>0</v>
      </c>
      <c r="G493" t="s">
        <v>13</v>
      </c>
      <c r="H493" t="s">
        <v>52</v>
      </c>
      <c r="I493" t="s">
        <v>427</v>
      </c>
      <c r="J493" t="s">
        <v>55</v>
      </c>
      <c r="K493" t="s">
        <v>428</v>
      </c>
      <c r="M493" t="s">
        <v>6</v>
      </c>
    </row>
    <row r="494" spans="2:13" hidden="1">
      <c r="B494">
        <v>492</v>
      </c>
      <c r="C494">
        <v>42</v>
      </c>
      <c r="D494">
        <v>19</v>
      </c>
      <c r="E494">
        <v>5</v>
      </c>
      <c r="F494">
        <v>0</v>
      </c>
      <c r="G494" t="s">
        <v>13</v>
      </c>
      <c r="H494" t="s">
        <v>52</v>
      </c>
      <c r="I494" t="s">
        <v>427</v>
      </c>
      <c r="J494" t="s">
        <v>55</v>
      </c>
      <c r="K494" t="s">
        <v>429</v>
      </c>
      <c r="M494" t="s">
        <v>6</v>
      </c>
    </row>
    <row r="495" spans="2:13" hidden="1">
      <c r="B495">
        <v>493</v>
      </c>
      <c r="C495">
        <v>42</v>
      </c>
      <c r="D495">
        <v>19</v>
      </c>
      <c r="E495">
        <v>6</v>
      </c>
      <c r="F495">
        <v>0</v>
      </c>
      <c r="G495" t="s">
        <v>13</v>
      </c>
      <c r="H495" t="s">
        <v>52</v>
      </c>
      <c r="I495" t="s">
        <v>427</v>
      </c>
      <c r="J495" t="s">
        <v>55</v>
      </c>
      <c r="K495" t="s">
        <v>430</v>
      </c>
      <c r="M495" t="s">
        <v>6</v>
      </c>
    </row>
    <row r="496" spans="2:13" hidden="1">
      <c r="B496">
        <v>494</v>
      </c>
      <c r="C496">
        <v>42</v>
      </c>
      <c r="D496">
        <v>19</v>
      </c>
      <c r="E496">
        <v>7</v>
      </c>
      <c r="F496">
        <v>0</v>
      </c>
      <c r="G496" t="s">
        <v>13</v>
      </c>
      <c r="H496" t="s">
        <v>52</v>
      </c>
      <c r="I496" t="s">
        <v>427</v>
      </c>
      <c r="J496" t="s">
        <v>55</v>
      </c>
      <c r="K496" t="s">
        <v>431</v>
      </c>
      <c r="M496" t="s">
        <v>6</v>
      </c>
    </row>
    <row r="497" spans="2:13" hidden="1">
      <c r="B497">
        <v>495</v>
      </c>
      <c r="C497">
        <v>42</v>
      </c>
      <c r="D497">
        <v>19</v>
      </c>
      <c r="E497">
        <v>8</v>
      </c>
      <c r="F497">
        <v>0</v>
      </c>
      <c r="G497" t="s">
        <v>13</v>
      </c>
      <c r="H497" t="s">
        <v>52</v>
      </c>
      <c r="I497" t="s">
        <v>427</v>
      </c>
      <c r="J497" t="s">
        <v>55</v>
      </c>
      <c r="K497" t="s">
        <v>432</v>
      </c>
      <c r="M497" t="s">
        <v>6</v>
      </c>
    </row>
    <row r="498" spans="2:13" hidden="1">
      <c r="B498">
        <v>496</v>
      </c>
      <c r="C498">
        <v>42</v>
      </c>
      <c r="D498">
        <v>19</v>
      </c>
      <c r="E498">
        <v>9</v>
      </c>
      <c r="F498">
        <v>0</v>
      </c>
      <c r="G498" t="s">
        <v>13</v>
      </c>
      <c r="H498" t="s">
        <v>52</v>
      </c>
      <c r="I498" t="s">
        <v>427</v>
      </c>
      <c r="J498" t="s">
        <v>55</v>
      </c>
      <c r="K498" t="s">
        <v>433</v>
      </c>
      <c r="M498" t="s">
        <v>6</v>
      </c>
    </row>
    <row r="499" spans="2:13" hidden="1">
      <c r="B499">
        <v>497</v>
      </c>
      <c r="C499">
        <v>42</v>
      </c>
      <c r="D499">
        <v>19</v>
      </c>
      <c r="E499">
        <v>10</v>
      </c>
      <c r="F499">
        <v>0</v>
      </c>
      <c r="G499" t="s">
        <v>13</v>
      </c>
      <c r="H499" t="s">
        <v>52</v>
      </c>
      <c r="I499" t="s">
        <v>427</v>
      </c>
      <c r="J499" t="s">
        <v>55</v>
      </c>
      <c r="K499" t="s">
        <v>434</v>
      </c>
      <c r="M499" t="s">
        <v>6</v>
      </c>
    </row>
    <row r="500" spans="2:13" hidden="1">
      <c r="B500">
        <v>498</v>
      </c>
      <c r="C500">
        <v>42</v>
      </c>
      <c r="D500">
        <v>19</v>
      </c>
      <c r="E500">
        <v>11</v>
      </c>
      <c r="F500">
        <v>0</v>
      </c>
      <c r="G500" t="s">
        <v>13</v>
      </c>
      <c r="H500" t="s">
        <v>52</v>
      </c>
      <c r="I500" t="s">
        <v>427</v>
      </c>
      <c r="J500" t="s">
        <v>55</v>
      </c>
      <c r="K500" t="s">
        <v>435</v>
      </c>
      <c r="M500" t="s">
        <v>6</v>
      </c>
    </row>
    <row r="501" spans="2:13" hidden="1">
      <c r="B501">
        <v>499</v>
      </c>
      <c r="C501">
        <v>42</v>
      </c>
      <c r="D501">
        <v>19</v>
      </c>
      <c r="E501">
        <v>12</v>
      </c>
      <c r="F501">
        <v>0</v>
      </c>
      <c r="G501" t="s">
        <v>13</v>
      </c>
      <c r="H501" t="s">
        <v>52</v>
      </c>
      <c r="I501" t="s">
        <v>427</v>
      </c>
      <c r="J501" t="s">
        <v>55</v>
      </c>
      <c r="K501" t="s">
        <v>436</v>
      </c>
      <c r="M501" t="s">
        <v>6</v>
      </c>
    </row>
    <row r="502" spans="2:13" hidden="1">
      <c r="B502">
        <v>500</v>
      </c>
      <c r="C502">
        <v>42</v>
      </c>
      <c r="D502">
        <v>19</v>
      </c>
      <c r="E502">
        <v>13</v>
      </c>
      <c r="F502">
        <v>0</v>
      </c>
      <c r="G502" t="s">
        <v>13</v>
      </c>
      <c r="H502" t="s">
        <v>52</v>
      </c>
      <c r="I502" t="s">
        <v>427</v>
      </c>
      <c r="J502" t="s">
        <v>437</v>
      </c>
      <c r="K502" t="s">
        <v>438</v>
      </c>
      <c r="L502" t="s">
        <v>439</v>
      </c>
      <c r="M502" t="s">
        <v>6</v>
      </c>
    </row>
    <row r="503" spans="2:13" hidden="1">
      <c r="B503">
        <v>501</v>
      </c>
      <c r="C503">
        <v>42</v>
      </c>
      <c r="D503">
        <v>19</v>
      </c>
      <c r="E503">
        <v>14</v>
      </c>
      <c r="F503">
        <v>0</v>
      </c>
      <c r="G503" t="s">
        <v>13</v>
      </c>
      <c r="H503" t="s">
        <v>52</v>
      </c>
      <c r="I503" t="s">
        <v>427</v>
      </c>
      <c r="J503" t="s">
        <v>64</v>
      </c>
      <c r="K503" t="s">
        <v>440</v>
      </c>
      <c r="M503" t="s">
        <v>6</v>
      </c>
    </row>
    <row r="504" spans="2:13" hidden="1">
      <c r="B504">
        <v>502</v>
      </c>
      <c r="C504">
        <v>42</v>
      </c>
      <c r="D504">
        <v>19</v>
      </c>
      <c r="E504">
        <v>15</v>
      </c>
      <c r="F504">
        <v>0</v>
      </c>
      <c r="G504" t="s">
        <v>13</v>
      </c>
      <c r="H504" t="s">
        <v>52</v>
      </c>
      <c r="I504" t="s">
        <v>427</v>
      </c>
      <c r="J504" t="s">
        <v>55</v>
      </c>
      <c r="K504" t="s">
        <v>441</v>
      </c>
      <c r="M504" t="s">
        <v>6</v>
      </c>
    </row>
    <row r="505" spans="2:13" hidden="1">
      <c r="B505">
        <v>503</v>
      </c>
      <c r="C505">
        <v>42</v>
      </c>
      <c r="D505">
        <v>19</v>
      </c>
      <c r="E505">
        <v>16</v>
      </c>
      <c r="F505">
        <v>0</v>
      </c>
      <c r="G505" t="s">
        <v>13</v>
      </c>
      <c r="H505" t="s">
        <v>52</v>
      </c>
      <c r="I505" t="s">
        <v>427</v>
      </c>
      <c r="J505" t="s">
        <v>437</v>
      </c>
      <c r="K505" t="s">
        <v>438</v>
      </c>
      <c r="L505" t="s">
        <v>439</v>
      </c>
      <c r="M505" t="s">
        <v>6</v>
      </c>
    </row>
    <row r="506" spans="2:13" hidden="1">
      <c r="B506">
        <v>504</v>
      </c>
      <c r="C506">
        <v>42</v>
      </c>
      <c r="D506">
        <v>19</v>
      </c>
      <c r="E506">
        <v>17</v>
      </c>
      <c r="F506">
        <v>0</v>
      </c>
      <c r="G506" t="s">
        <v>13</v>
      </c>
      <c r="H506" t="s">
        <v>52</v>
      </c>
      <c r="I506" t="s">
        <v>427</v>
      </c>
      <c r="J506" t="s">
        <v>64</v>
      </c>
      <c r="K506" t="s">
        <v>440</v>
      </c>
      <c r="M506" t="s">
        <v>6</v>
      </c>
    </row>
    <row r="507" spans="2:13" hidden="1">
      <c r="B507">
        <v>505</v>
      </c>
      <c r="C507">
        <v>42</v>
      </c>
      <c r="D507">
        <v>19</v>
      </c>
      <c r="E507">
        <v>18</v>
      </c>
      <c r="F507">
        <v>0</v>
      </c>
      <c r="G507" t="s">
        <v>13</v>
      </c>
      <c r="H507" t="s">
        <v>52</v>
      </c>
      <c r="I507" t="s">
        <v>427</v>
      </c>
      <c r="J507" t="s">
        <v>55</v>
      </c>
      <c r="K507" t="s">
        <v>442</v>
      </c>
      <c r="M507" t="s">
        <v>6</v>
      </c>
    </row>
    <row r="508" spans="2:13" hidden="1">
      <c r="B508">
        <v>506</v>
      </c>
      <c r="C508">
        <v>42</v>
      </c>
      <c r="D508">
        <v>19</v>
      </c>
      <c r="E508">
        <v>19</v>
      </c>
      <c r="F508">
        <v>0</v>
      </c>
      <c r="G508" t="s">
        <v>13</v>
      </c>
      <c r="H508" t="s">
        <v>52</v>
      </c>
      <c r="I508" t="s">
        <v>427</v>
      </c>
      <c r="J508" t="s">
        <v>214</v>
      </c>
      <c r="K508" t="s">
        <v>443</v>
      </c>
      <c r="M508" t="s">
        <v>6</v>
      </c>
    </row>
    <row r="509" spans="2:13" hidden="1">
      <c r="B509">
        <v>507</v>
      </c>
      <c r="C509">
        <v>43</v>
      </c>
      <c r="D509">
        <v>4</v>
      </c>
      <c r="E509">
        <v>0</v>
      </c>
      <c r="F509">
        <v>0</v>
      </c>
      <c r="G509" t="s">
        <v>13</v>
      </c>
      <c r="H509" t="s">
        <v>52</v>
      </c>
      <c r="I509" t="s">
        <v>444</v>
      </c>
      <c r="J509" t="s">
        <v>54</v>
      </c>
      <c r="K509" t="s">
        <v>444</v>
      </c>
      <c r="M509" t="s">
        <v>6</v>
      </c>
    </row>
    <row r="510" spans="2:13" hidden="1">
      <c r="B510">
        <v>508</v>
      </c>
      <c r="C510">
        <v>43</v>
      </c>
      <c r="D510">
        <v>4</v>
      </c>
      <c r="E510">
        <v>1</v>
      </c>
      <c r="F510">
        <v>0</v>
      </c>
      <c r="G510" t="s">
        <v>13</v>
      </c>
      <c r="H510" t="s">
        <v>52</v>
      </c>
      <c r="I510" t="s">
        <v>444</v>
      </c>
      <c r="J510" t="s">
        <v>55</v>
      </c>
      <c r="K510" t="s">
        <v>62</v>
      </c>
      <c r="M510" t="s">
        <v>6</v>
      </c>
    </row>
    <row r="511" spans="2:13" hidden="1">
      <c r="B511">
        <v>509</v>
      </c>
      <c r="C511">
        <v>43</v>
      </c>
      <c r="D511">
        <v>4</v>
      </c>
      <c r="E511">
        <v>2</v>
      </c>
      <c r="F511">
        <v>0</v>
      </c>
      <c r="G511" t="s">
        <v>13</v>
      </c>
      <c r="H511" t="s">
        <v>52</v>
      </c>
      <c r="I511" t="s">
        <v>444</v>
      </c>
      <c r="J511" t="s">
        <v>55</v>
      </c>
      <c r="K511" t="s">
        <v>63</v>
      </c>
      <c r="M511" t="s">
        <v>6</v>
      </c>
    </row>
    <row r="512" spans="2:13" hidden="1">
      <c r="B512">
        <v>510</v>
      </c>
      <c r="C512">
        <v>43</v>
      </c>
      <c r="D512">
        <v>4</v>
      </c>
      <c r="E512">
        <v>3</v>
      </c>
      <c r="F512">
        <v>0</v>
      </c>
      <c r="G512" t="s">
        <v>13</v>
      </c>
      <c r="H512" t="s">
        <v>52</v>
      </c>
      <c r="I512" t="s">
        <v>444</v>
      </c>
      <c r="J512" t="s">
        <v>64</v>
      </c>
      <c r="K512" t="s">
        <v>65</v>
      </c>
      <c r="M512" t="s">
        <v>6</v>
      </c>
    </row>
    <row r="513" spans="2:13" hidden="1">
      <c r="B513">
        <v>511</v>
      </c>
      <c r="C513">
        <v>43</v>
      </c>
      <c r="D513">
        <v>4</v>
      </c>
      <c r="E513">
        <v>4</v>
      </c>
      <c r="F513">
        <v>0</v>
      </c>
      <c r="G513" t="s">
        <v>13</v>
      </c>
      <c r="H513" t="s">
        <v>52</v>
      </c>
      <c r="I513" t="s">
        <v>444</v>
      </c>
      <c r="J513" t="s">
        <v>55</v>
      </c>
      <c r="K513" t="s">
        <v>445</v>
      </c>
      <c r="M513" t="s">
        <v>6</v>
      </c>
    </row>
    <row r="514" spans="2:13" hidden="1">
      <c r="B514">
        <v>512</v>
      </c>
      <c r="C514">
        <v>44</v>
      </c>
      <c r="D514">
        <v>4</v>
      </c>
      <c r="E514">
        <v>0</v>
      </c>
      <c r="F514">
        <v>0</v>
      </c>
      <c r="G514" t="s">
        <v>13</v>
      </c>
      <c r="H514" t="s">
        <v>52</v>
      </c>
      <c r="I514" t="s">
        <v>446</v>
      </c>
      <c r="J514" t="s">
        <v>54</v>
      </c>
      <c r="K514" t="s">
        <v>446</v>
      </c>
      <c r="M514" t="s">
        <v>6</v>
      </c>
    </row>
    <row r="515" spans="2:13" hidden="1">
      <c r="B515">
        <v>513</v>
      </c>
      <c r="C515">
        <v>44</v>
      </c>
      <c r="D515">
        <v>4</v>
      </c>
      <c r="E515">
        <v>1</v>
      </c>
      <c r="F515">
        <v>0</v>
      </c>
      <c r="G515" t="s">
        <v>13</v>
      </c>
      <c r="H515" t="s">
        <v>52</v>
      </c>
      <c r="I515" t="s">
        <v>446</v>
      </c>
      <c r="J515" t="s">
        <v>55</v>
      </c>
      <c r="K515" t="s">
        <v>62</v>
      </c>
      <c r="M515" t="s">
        <v>6</v>
      </c>
    </row>
    <row r="516" spans="2:13" hidden="1">
      <c r="B516">
        <v>514</v>
      </c>
      <c r="C516">
        <v>44</v>
      </c>
      <c r="D516">
        <v>4</v>
      </c>
      <c r="E516">
        <v>2</v>
      </c>
      <c r="F516">
        <v>0</v>
      </c>
      <c r="G516" t="s">
        <v>13</v>
      </c>
      <c r="H516" t="s">
        <v>52</v>
      </c>
      <c r="I516" t="s">
        <v>446</v>
      </c>
      <c r="J516" t="s">
        <v>55</v>
      </c>
      <c r="K516" t="s">
        <v>63</v>
      </c>
      <c r="M516" t="s">
        <v>6</v>
      </c>
    </row>
    <row r="517" spans="2:13" hidden="1">
      <c r="B517">
        <v>515</v>
      </c>
      <c r="C517">
        <v>44</v>
      </c>
      <c r="D517">
        <v>4</v>
      </c>
      <c r="E517">
        <v>3</v>
      </c>
      <c r="F517">
        <v>0</v>
      </c>
      <c r="G517" t="s">
        <v>13</v>
      </c>
      <c r="H517" t="s">
        <v>52</v>
      </c>
      <c r="I517" t="s">
        <v>446</v>
      </c>
      <c r="J517" t="s">
        <v>64</v>
      </c>
      <c r="K517" t="s">
        <v>65</v>
      </c>
      <c r="M517" t="s">
        <v>6</v>
      </c>
    </row>
    <row r="518" spans="2:13" hidden="1">
      <c r="B518">
        <v>516</v>
      </c>
      <c r="C518">
        <v>44</v>
      </c>
      <c r="D518">
        <v>4</v>
      </c>
      <c r="E518">
        <v>4</v>
      </c>
      <c r="F518">
        <v>0</v>
      </c>
      <c r="G518" t="s">
        <v>13</v>
      </c>
      <c r="H518" t="s">
        <v>52</v>
      </c>
      <c r="I518" t="s">
        <v>446</v>
      </c>
      <c r="J518" t="s">
        <v>55</v>
      </c>
      <c r="K518" t="s">
        <v>447</v>
      </c>
      <c r="M518" t="s">
        <v>6</v>
      </c>
    </row>
    <row r="519" spans="2:13" hidden="1">
      <c r="B519">
        <v>517</v>
      </c>
      <c r="C519">
        <v>45</v>
      </c>
      <c r="D519">
        <v>1</v>
      </c>
      <c r="E519">
        <v>0</v>
      </c>
      <c r="F519">
        <v>0</v>
      </c>
      <c r="G519" t="s">
        <v>13</v>
      </c>
      <c r="H519" t="s">
        <v>52</v>
      </c>
      <c r="I519" t="s">
        <v>448</v>
      </c>
      <c r="J519" t="s">
        <v>54</v>
      </c>
      <c r="K519" t="s">
        <v>448</v>
      </c>
      <c r="M519" t="s">
        <v>6</v>
      </c>
    </row>
    <row r="520" spans="2:13" hidden="1">
      <c r="B520">
        <v>518</v>
      </c>
      <c r="C520">
        <v>45</v>
      </c>
      <c r="D520">
        <v>1</v>
      </c>
      <c r="E520">
        <v>1</v>
      </c>
      <c r="F520">
        <v>0</v>
      </c>
      <c r="G520" t="s">
        <v>13</v>
      </c>
      <c r="H520" t="s">
        <v>52</v>
      </c>
      <c r="I520" t="s">
        <v>448</v>
      </c>
      <c r="J520" t="s">
        <v>55</v>
      </c>
      <c r="K520" t="s">
        <v>449</v>
      </c>
      <c r="M520" t="s">
        <v>6</v>
      </c>
    </row>
    <row r="521" spans="2:13" hidden="1">
      <c r="B521">
        <v>519</v>
      </c>
      <c r="C521">
        <v>46</v>
      </c>
      <c r="D521">
        <v>4</v>
      </c>
      <c r="E521">
        <v>0</v>
      </c>
      <c r="F521">
        <v>0</v>
      </c>
      <c r="G521" t="s">
        <v>13</v>
      </c>
      <c r="H521" t="s">
        <v>52</v>
      </c>
      <c r="I521" t="s">
        <v>450</v>
      </c>
      <c r="J521" t="s">
        <v>54</v>
      </c>
      <c r="K521" t="s">
        <v>450</v>
      </c>
      <c r="M521" t="s">
        <v>6</v>
      </c>
    </row>
    <row r="522" spans="2:13" hidden="1">
      <c r="B522">
        <v>520</v>
      </c>
      <c r="C522">
        <v>46</v>
      </c>
      <c r="D522">
        <v>4</v>
      </c>
      <c r="E522">
        <v>1</v>
      </c>
      <c r="F522">
        <v>0</v>
      </c>
      <c r="G522" t="s">
        <v>13</v>
      </c>
      <c r="H522" t="s">
        <v>52</v>
      </c>
      <c r="I522" t="s">
        <v>450</v>
      </c>
      <c r="J522" t="s">
        <v>55</v>
      </c>
      <c r="K522" t="s">
        <v>62</v>
      </c>
      <c r="M522" t="s">
        <v>6</v>
      </c>
    </row>
    <row r="523" spans="2:13" hidden="1">
      <c r="B523">
        <v>521</v>
      </c>
      <c r="C523">
        <v>46</v>
      </c>
      <c r="D523">
        <v>4</v>
      </c>
      <c r="E523">
        <v>2</v>
      </c>
      <c r="F523">
        <v>0</v>
      </c>
      <c r="G523" t="s">
        <v>13</v>
      </c>
      <c r="H523" t="s">
        <v>52</v>
      </c>
      <c r="I523" t="s">
        <v>450</v>
      </c>
      <c r="J523" t="s">
        <v>55</v>
      </c>
      <c r="K523" t="s">
        <v>63</v>
      </c>
      <c r="M523" t="s">
        <v>6</v>
      </c>
    </row>
    <row r="524" spans="2:13" hidden="1">
      <c r="B524">
        <v>522</v>
      </c>
      <c r="C524">
        <v>46</v>
      </c>
      <c r="D524">
        <v>4</v>
      </c>
      <c r="E524">
        <v>3</v>
      </c>
      <c r="F524">
        <v>0</v>
      </c>
      <c r="G524" t="s">
        <v>13</v>
      </c>
      <c r="H524" t="s">
        <v>52</v>
      </c>
      <c r="I524" t="s">
        <v>450</v>
      </c>
      <c r="J524" t="s">
        <v>64</v>
      </c>
      <c r="K524" t="s">
        <v>65</v>
      </c>
      <c r="M524" t="s">
        <v>6</v>
      </c>
    </row>
    <row r="525" spans="2:13" hidden="1">
      <c r="B525">
        <v>523</v>
      </c>
      <c r="C525">
        <v>46</v>
      </c>
      <c r="D525">
        <v>4</v>
      </c>
      <c r="E525">
        <v>4</v>
      </c>
      <c r="F525">
        <v>0</v>
      </c>
      <c r="G525" t="s">
        <v>13</v>
      </c>
      <c r="H525" t="s">
        <v>52</v>
      </c>
      <c r="I525" t="s">
        <v>450</v>
      </c>
      <c r="J525" t="s">
        <v>55</v>
      </c>
      <c r="K525" t="s">
        <v>451</v>
      </c>
      <c r="M525" t="s">
        <v>6</v>
      </c>
    </row>
    <row r="526" spans="2:13" hidden="1">
      <c r="B526">
        <v>524</v>
      </c>
      <c r="C526">
        <v>47</v>
      </c>
      <c r="D526">
        <v>4</v>
      </c>
      <c r="E526">
        <v>0</v>
      </c>
      <c r="F526">
        <v>0</v>
      </c>
      <c r="G526" t="s">
        <v>13</v>
      </c>
      <c r="H526" t="s">
        <v>52</v>
      </c>
      <c r="I526" t="s">
        <v>452</v>
      </c>
      <c r="J526" t="s">
        <v>54</v>
      </c>
      <c r="K526" t="s">
        <v>452</v>
      </c>
      <c r="M526" t="s">
        <v>6</v>
      </c>
    </row>
    <row r="527" spans="2:13" hidden="1">
      <c r="B527">
        <v>525</v>
      </c>
      <c r="C527">
        <v>47</v>
      </c>
      <c r="D527">
        <v>4</v>
      </c>
      <c r="E527">
        <v>1</v>
      </c>
      <c r="F527">
        <v>0</v>
      </c>
      <c r="G527" t="s">
        <v>13</v>
      </c>
      <c r="H527" t="s">
        <v>52</v>
      </c>
      <c r="I527" t="s">
        <v>452</v>
      </c>
      <c r="J527" t="s">
        <v>55</v>
      </c>
      <c r="K527" t="s">
        <v>62</v>
      </c>
      <c r="M527" t="s">
        <v>6</v>
      </c>
    </row>
    <row r="528" spans="2:13" hidden="1">
      <c r="B528">
        <v>526</v>
      </c>
      <c r="C528">
        <v>47</v>
      </c>
      <c r="D528">
        <v>4</v>
      </c>
      <c r="E528">
        <v>2</v>
      </c>
      <c r="F528">
        <v>0</v>
      </c>
      <c r="G528" t="s">
        <v>13</v>
      </c>
      <c r="H528" t="s">
        <v>52</v>
      </c>
      <c r="I528" t="s">
        <v>452</v>
      </c>
      <c r="J528" t="s">
        <v>55</v>
      </c>
      <c r="K528" t="s">
        <v>63</v>
      </c>
      <c r="M528" t="s">
        <v>6</v>
      </c>
    </row>
    <row r="529" spans="2:13" hidden="1">
      <c r="B529">
        <v>527</v>
      </c>
      <c r="C529">
        <v>47</v>
      </c>
      <c r="D529">
        <v>4</v>
      </c>
      <c r="E529">
        <v>3</v>
      </c>
      <c r="F529">
        <v>0</v>
      </c>
      <c r="G529" t="s">
        <v>13</v>
      </c>
      <c r="H529" t="s">
        <v>52</v>
      </c>
      <c r="I529" t="s">
        <v>452</v>
      </c>
      <c r="J529" t="s">
        <v>64</v>
      </c>
      <c r="K529" t="s">
        <v>65</v>
      </c>
      <c r="M529" t="s">
        <v>6</v>
      </c>
    </row>
    <row r="530" spans="2:13" hidden="1">
      <c r="B530">
        <v>528</v>
      </c>
      <c r="C530">
        <v>47</v>
      </c>
      <c r="D530">
        <v>4</v>
      </c>
      <c r="E530">
        <v>4</v>
      </c>
      <c r="F530">
        <v>0</v>
      </c>
      <c r="G530" t="s">
        <v>13</v>
      </c>
      <c r="H530" t="s">
        <v>52</v>
      </c>
      <c r="I530" t="s">
        <v>452</v>
      </c>
      <c r="J530" t="s">
        <v>55</v>
      </c>
      <c r="K530" t="s">
        <v>453</v>
      </c>
      <c r="M530" t="s">
        <v>6</v>
      </c>
    </row>
    <row r="531" spans="2:13" hidden="1">
      <c r="B531">
        <v>529</v>
      </c>
      <c r="C531">
        <v>48</v>
      </c>
      <c r="D531">
        <v>4</v>
      </c>
      <c r="E531">
        <v>0</v>
      </c>
      <c r="F531">
        <v>0</v>
      </c>
      <c r="G531" t="s">
        <v>13</v>
      </c>
      <c r="H531" t="s">
        <v>52</v>
      </c>
      <c r="I531" t="s">
        <v>454</v>
      </c>
      <c r="J531" t="s">
        <v>54</v>
      </c>
      <c r="K531" t="s">
        <v>454</v>
      </c>
      <c r="M531" t="s">
        <v>6</v>
      </c>
    </row>
    <row r="532" spans="2:13" hidden="1">
      <c r="B532">
        <v>530</v>
      </c>
      <c r="C532">
        <v>48</v>
      </c>
      <c r="D532">
        <v>4</v>
      </c>
      <c r="E532">
        <v>1</v>
      </c>
      <c r="F532">
        <v>0</v>
      </c>
      <c r="G532" t="s">
        <v>13</v>
      </c>
      <c r="H532" t="s">
        <v>52</v>
      </c>
      <c r="I532" t="s">
        <v>454</v>
      </c>
      <c r="J532" t="s">
        <v>55</v>
      </c>
      <c r="K532" t="s">
        <v>62</v>
      </c>
      <c r="M532" t="s">
        <v>6</v>
      </c>
    </row>
    <row r="533" spans="2:13" hidden="1">
      <c r="B533">
        <v>531</v>
      </c>
      <c r="C533">
        <v>48</v>
      </c>
      <c r="D533">
        <v>4</v>
      </c>
      <c r="E533">
        <v>2</v>
      </c>
      <c r="F533">
        <v>0</v>
      </c>
      <c r="G533" t="s">
        <v>13</v>
      </c>
      <c r="H533" t="s">
        <v>52</v>
      </c>
      <c r="I533" t="s">
        <v>454</v>
      </c>
      <c r="J533" t="s">
        <v>55</v>
      </c>
      <c r="K533" t="s">
        <v>63</v>
      </c>
      <c r="M533" t="s">
        <v>6</v>
      </c>
    </row>
    <row r="534" spans="2:13" hidden="1">
      <c r="B534">
        <v>532</v>
      </c>
      <c r="C534">
        <v>48</v>
      </c>
      <c r="D534">
        <v>4</v>
      </c>
      <c r="E534">
        <v>3</v>
      </c>
      <c r="F534">
        <v>0</v>
      </c>
      <c r="G534" t="s">
        <v>13</v>
      </c>
      <c r="H534" t="s">
        <v>52</v>
      </c>
      <c r="I534" t="s">
        <v>454</v>
      </c>
      <c r="J534" t="s">
        <v>64</v>
      </c>
      <c r="K534" t="s">
        <v>65</v>
      </c>
      <c r="M534" t="s">
        <v>6</v>
      </c>
    </row>
    <row r="535" spans="2:13" hidden="1">
      <c r="B535">
        <v>533</v>
      </c>
      <c r="C535">
        <v>48</v>
      </c>
      <c r="D535">
        <v>4</v>
      </c>
      <c r="E535">
        <v>4</v>
      </c>
      <c r="F535">
        <v>0</v>
      </c>
      <c r="G535" t="s">
        <v>13</v>
      </c>
      <c r="H535" t="s">
        <v>52</v>
      </c>
      <c r="I535" t="s">
        <v>454</v>
      </c>
      <c r="J535" t="s">
        <v>55</v>
      </c>
      <c r="K535" t="s">
        <v>455</v>
      </c>
      <c r="M535" t="s">
        <v>6</v>
      </c>
    </row>
    <row r="536" spans="2:13" hidden="1">
      <c r="B536">
        <v>534</v>
      </c>
      <c r="C536">
        <v>49</v>
      </c>
      <c r="D536">
        <v>5</v>
      </c>
      <c r="E536">
        <v>0</v>
      </c>
      <c r="F536">
        <v>0</v>
      </c>
      <c r="G536" t="s">
        <v>13</v>
      </c>
      <c r="H536" t="s">
        <v>9</v>
      </c>
      <c r="I536" t="s">
        <v>456</v>
      </c>
      <c r="J536" t="s">
        <v>54</v>
      </c>
      <c r="K536" t="s">
        <v>456</v>
      </c>
      <c r="M536" t="s">
        <v>6</v>
      </c>
    </row>
    <row r="537" spans="2:13" hidden="1">
      <c r="B537">
        <v>535</v>
      </c>
      <c r="C537">
        <v>49</v>
      </c>
      <c r="D537">
        <v>5</v>
      </c>
      <c r="E537">
        <v>1</v>
      </c>
      <c r="F537">
        <v>0</v>
      </c>
      <c r="G537" t="s">
        <v>13</v>
      </c>
      <c r="H537" t="s">
        <v>9</v>
      </c>
      <c r="I537" t="s">
        <v>456</v>
      </c>
      <c r="J537" t="s">
        <v>55</v>
      </c>
      <c r="K537" t="s">
        <v>457</v>
      </c>
      <c r="M537" t="s">
        <v>6</v>
      </c>
    </row>
    <row r="538" spans="2:13" hidden="1">
      <c r="B538">
        <v>536</v>
      </c>
      <c r="C538">
        <v>49</v>
      </c>
      <c r="D538">
        <v>5</v>
      </c>
      <c r="E538">
        <v>2</v>
      </c>
      <c r="F538">
        <v>0</v>
      </c>
      <c r="G538" t="s">
        <v>13</v>
      </c>
      <c r="H538" t="s">
        <v>9</v>
      </c>
      <c r="I538" t="s">
        <v>456</v>
      </c>
      <c r="J538" t="s">
        <v>55</v>
      </c>
      <c r="K538" t="s">
        <v>458</v>
      </c>
      <c r="M538" t="s">
        <v>6</v>
      </c>
    </row>
    <row r="539" spans="2:13" hidden="1">
      <c r="B539">
        <v>537</v>
      </c>
      <c r="C539">
        <v>49</v>
      </c>
      <c r="D539">
        <v>5</v>
      </c>
      <c r="E539">
        <v>3</v>
      </c>
      <c r="F539">
        <v>0</v>
      </c>
      <c r="G539" t="s">
        <v>13</v>
      </c>
      <c r="H539" t="s">
        <v>9</v>
      </c>
      <c r="I539" t="s">
        <v>456</v>
      </c>
      <c r="J539" t="s">
        <v>55</v>
      </c>
      <c r="K539" t="s">
        <v>459</v>
      </c>
      <c r="M539" t="s">
        <v>6</v>
      </c>
    </row>
    <row r="540" spans="2:13" hidden="1">
      <c r="B540">
        <v>538</v>
      </c>
      <c r="C540">
        <v>49</v>
      </c>
      <c r="D540">
        <v>5</v>
      </c>
      <c r="E540">
        <v>4</v>
      </c>
      <c r="F540">
        <v>0</v>
      </c>
      <c r="G540" t="s">
        <v>13</v>
      </c>
      <c r="H540" t="s">
        <v>9</v>
      </c>
      <c r="I540" t="s">
        <v>456</v>
      </c>
      <c r="J540" t="s">
        <v>55</v>
      </c>
      <c r="K540" t="s">
        <v>93</v>
      </c>
      <c r="M540" t="s">
        <v>6</v>
      </c>
    </row>
    <row r="541" spans="2:13" hidden="1">
      <c r="B541">
        <v>539</v>
      </c>
      <c r="C541">
        <v>49</v>
      </c>
      <c r="D541">
        <v>5</v>
      </c>
      <c r="E541">
        <v>5</v>
      </c>
      <c r="F541">
        <v>0</v>
      </c>
      <c r="G541" t="s">
        <v>13</v>
      </c>
      <c r="H541" t="s">
        <v>9</v>
      </c>
      <c r="I541" t="s">
        <v>456</v>
      </c>
      <c r="J541" t="s">
        <v>64</v>
      </c>
      <c r="K541" t="s">
        <v>94</v>
      </c>
      <c r="M541" t="s">
        <v>6</v>
      </c>
    </row>
    <row r="542" spans="2:13" hidden="1">
      <c r="B542">
        <v>540</v>
      </c>
      <c r="C542">
        <v>50</v>
      </c>
      <c r="D542">
        <v>10</v>
      </c>
      <c r="E542">
        <v>0</v>
      </c>
      <c r="F542">
        <v>0</v>
      </c>
      <c r="G542" t="s">
        <v>13</v>
      </c>
      <c r="H542" t="s">
        <v>9</v>
      </c>
      <c r="I542" t="s">
        <v>460</v>
      </c>
      <c r="J542" t="s">
        <v>54</v>
      </c>
      <c r="K542" t="s">
        <v>460</v>
      </c>
      <c r="M542" t="s">
        <v>6</v>
      </c>
    </row>
    <row r="543" spans="2:13" hidden="1">
      <c r="B543">
        <v>541</v>
      </c>
      <c r="C543">
        <v>50</v>
      </c>
      <c r="D543">
        <v>10</v>
      </c>
      <c r="E543">
        <v>1</v>
      </c>
      <c r="F543">
        <v>0</v>
      </c>
      <c r="G543" t="s">
        <v>13</v>
      </c>
      <c r="H543" t="s">
        <v>9</v>
      </c>
      <c r="I543" t="s">
        <v>460</v>
      </c>
      <c r="J543" t="s">
        <v>55</v>
      </c>
      <c r="K543" t="s">
        <v>461</v>
      </c>
      <c r="M543" t="s">
        <v>6</v>
      </c>
    </row>
    <row r="544" spans="2:13" hidden="1">
      <c r="B544">
        <v>542</v>
      </c>
      <c r="C544">
        <v>50</v>
      </c>
      <c r="D544">
        <v>10</v>
      </c>
      <c r="E544">
        <v>2</v>
      </c>
      <c r="F544">
        <v>0</v>
      </c>
      <c r="G544" t="s">
        <v>13</v>
      </c>
      <c r="H544" t="s">
        <v>9</v>
      </c>
      <c r="I544" t="s">
        <v>460</v>
      </c>
      <c r="J544" t="s">
        <v>55</v>
      </c>
      <c r="K544" t="s">
        <v>462</v>
      </c>
      <c r="M544" t="s">
        <v>6</v>
      </c>
    </row>
    <row r="545" spans="2:13" hidden="1">
      <c r="B545">
        <v>543</v>
      </c>
      <c r="C545">
        <v>50</v>
      </c>
      <c r="D545">
        <v>10</v>
      </c>
      <c r="E545">
        <v>3</v>
      </c>
      <c r="F545">
        <v>0</v>
      </c>
      <c r="G545" t="s">
        <v>13</v>
      </c>
      <c r="H545" t="s">
        <v>9</v>
      </c>
      <c r="I545" t="s">
        <v>460</v>
      </c>
      <c r="J545" t="s">
        <v>55</v>
      </c>
      <c r="K545" t="s">
        <v>463</v>
      </c>
      <c r="M545" t="s">
        <v>6</v>
      </c>
    </row>
    <row r="546" spans="2:13" hidden="1">
      <c r="B546">
        <v>544</v>
      </c>
      <c r="C546">
        <v>50</v>
      </c>
      <c r="D546">
        <v>10</v>
      </c>
      <c r="E546">
        <v>4</v>
      </c>
      <c r="F546">
        <v>0</v>
      </c>
      <c r="G546" t="s">
        <v>13</v>
      </c>
      <c r="H546" t="s">
        <v>9</v>
      </c>
      <c r="I546" t="s">
        <v>460</v>
      </c>
      <c r="J546" t="s">
        <v>55</v>
      </c>
      <c r="K546" t="s">
        <v>464</v>
      </c>
      <c r="M546" t="s">
        <v>6</v>
      </c>
    </row>
    <row r="547" spans="2:13" hidden="1">
      <c r="B547">
        <v>545</v>
      </c>
      <c r="C547">
        <v>50</v>
      </c>
      <c r="D547">
        <v>10</v>
      </c>
      <c r="E547">
        <v>5</v>
      </c>
      <c r="F547">
        <v>0</v>
      </c>
      <c r="G547" t="s">
        <v>13</v>
      </c>
      <c r="H547" t="s">
        <v>9</v>
      </c>
      <c r="I547" t="s">
        <v>460</v>
      </c>
      <c r="J547" t="s">
        <v>55</v>
      </c>
      <c r="K547" t="s">
        <v>465</v>
      </c>
      <c r="M547" t="s">
        <v>6</v>
      </c>
    </row>
    <row r="548" spans="2:13" hidden="1">
      <c r="B548">
        <v>546</v>
      </c>
      <c r="C548">
        <v>50</v>
      </c>
      <c r="D548">
        <v>10</v>
      </c>
      <c r="E548">
        <v>6</v>
      </c>
      <c r="F548">
        <v>0</v>
      </c>
      <c r="G548" t="s">
        <v>13</v>
      </c>
      <c r="H548" t="s">
        <v>9</v>
      </c>
      <c r="I548" t="s">
        <v>460</v>
      </c>
      <c r="J548" t="s">
        <v>55</v>
      </c>
      <c r="K548" t="s">
        <v>466</v>
      </c>
      <c r="M548" t="s">
        <v>6</v>
      </c>
    </row>
    <row r="549" spans="2:13" hidden="1">
      <c r="B549">
        <v>547</v>
      </c>
      <c r="C549">
        <v>50</v>
      </c>
      <c r="D549">
        <v>10</v>
      </c>
      <c r="E549">
        <v>7</v>
      </c>
      <c r="F549">
        <v>0</v>
      </c>
      <c r="G549" t="s">
        <v>13</v>
      </c>
      <c r="H549" t="s">
        <v>9</v>
      </c>
      <c r="I549" t="s">
        <v>460</v>
      </c>
      <c r="J549" t="s">
        <v>55</v>
      </c>
      <c r="K549" t="s">
        <v>467</v>
      </c>
      <c r="M549" t="s">
        <v>6</v>
      </c>
    </row>
    <row r="550" spans="2:13" hidden="1">
      <c r="B550">
        <v>548</v>
      </c>
      <c r="C550">
        <v>50</v>
      </c>
      <c r="D550">
        <v>10</v>
      </c>
      <c r="E550">
        <v>8</v>
      </c>
      <c r="F550">
        <v>0</v>
      </c>
      <c r="G550" t="s">
        <v>13</v>
      </c>
      <c r="H550" t="s">
        <v>9</v>
      </c>
      <c r="I550" t="s">
        <v>460</v>
      </c>
      <c r="J550" t="s">
        <v>55</v>
      </c>
      <c r="K550" t="s">
        <v>468</v>
      </c>
      <c r="M550" t="s">
        <v>6</v>
      </c>
    </row>
    <row r="551" spans="2:13" hidden="1">
      <c r="B551">
        <v>549</v>
      </c>
      <c r="C551">
        <v>50</v>
      </c>
      <c r="D551">
        <v>10</v>
      </c>
      <c r="E551">
        <v>9</v>
      </c>
      <c r="F551">
        <v>0</v>
      </c>
      <c r="G551" t="s">
        <v>13</v>
      </c>
      <c r="H551" t="s">
        <v>9</v>
      </c>
      <c r="I551" t="s">
        <v>460</v>
      </c>
      <c r="J551" t="s">
        <v>55</v>
      </c>
      <c r="K551" t="s">
        <v>93</v>
      </c>
      <c r="M551" t="s">
        <v>6</v>
      </c>
    </row>
    <row r="552" spans="2:13" hidden="1">
      <c r="B552">
        <v>550</v>
      </c>
      <c r="C552">
        <v>50</v>
      </c>
      <c r="D552">
        <v>10</v>
      </c>
      <c r="E552">
        <v>10</v>
      </c>
      <c r="F552">
        <v>0</v>
      </c>
      <c r="G552" t="s">
        <v>13</v>
      </c>
      <c r="H552" t="s">
        <v>9</v>
      </c>
      <c r="I552" t="s">
        <v>460</v>
      </c>
      <c r="J552" t="s">
        <v>64</v>
      </c>
      <c r="K552" t="s">
        <v>94</v>
      </c>
      <c r="M552" t="s">
        <v>6</v>
      </c>
    </row>
    <row r="553" spans="2:13" hidden="1">
      <c r="B553">
        <v>551</v>
      </c>
      <c r="C553">
        <v>51</v>
      </c>
      <c r="D553">
        <v>7</v>
      </c>
      <c r="E553">
        <v>0</v>
      </c>
      <c r="F553">
        <v>0</v>
      </c>
      <c r="G553" t="s">
        <v>13</v>
      </c>
      <c r="H553" t="s">
        <v>9</v>
      </c>
      <c r="I553" t="s">
        <v>469</v>
      </c>
      <c r="J553" t="s">
        <v>54</v>
      </c>
      <c r="K553" t="s">
        <v>469</v>
      </c>
      <c r="M553" t="s">
        <v>470</v>
      </c>
    </row>
    <row r="554" spans="2:13" hidden="1">
      <c r="B554">
        <v>552</v>
      </c>
      <c r="C554">
        <v>51</v>
      </c>
      <c r="D554">
        <v>7</v>
      </c>
      <c r="E554">
        <v>1</v>
      </c>
      <c r="F554">
        <v>0</v>
      </c>
      <c r="G554" t="s">
        <v>13</v>
      </c>
      <c r="H554" t="s">
        <v>9</v>
      </c>
      <c r="I554" t="s">
        <v>469</v>
      </c>
      <c r="J554" t="s">
        <v>55</v>
      </c>
      <c r="K554" t="s">
        <v>471</v>
      </c>
      <c r="M554" t="s">
        <v>470</v>
      </c>
    </row>
    <row r="555" spans="2:13" hidden="1">
      <c r="B555">
        <v>553</v>
      </c>
      <c r="C555">
        <v>51</v>
      </c>
      <c r="D555">
        <v>7</v>
      </c>
      <c r="E555">
        <v>2</v>
      </c>
      <c r="F555">
        <v>0</v>
      </c>
      <c r="G555" t="s">
        <v>13</v>
      </c>
      <c r="H555" t="s">
        <v>9</v>
      </c>
      <c r="I555" t="s">
        <v>469</v>
      </c>
      <c r="J555" t="s">
        <v>55</v>
      </c>
      <c r="K555" t="s">
        <v>472</v>
      </c>
      <c r="M555" t="s">
        <v>470</v>
      </c>
    </row>
    <row r="556" spans="2:13" hidden="1">
      <c r="B556">
        <v>554</v>
      </c>
      <c r="C556">
        <v>51</v>
      </c>
      <c r="D556">
        <v>7</v>
      </c>
      <c r="E556">
        <v>3</v>
      </c>
      <c r="F556">
        <v>0</v>
      </c>
      <c r="G556" t="s">
        <v>13</v>
      </c>
      <c r="H556" t="s">
        <v>9</v>
      </c>
      <c r="I556" t="s">
        <v>469</v>
      </c>
      <c r="J556" t="s">
        <v>55</v>
      </c>
      <c r="K556" t="s">
        <v>473</v>
      </c>
      <c r="M556" t="s">
        <v>470</v>
      </c>
    </row>
    <row r="557" spans="2:13" hidden="1">
      <c r="B557">
        <v>555</v>
      </c>
      <c r="C557">
        <v>51</v>
      </c>
      <c r="D557">
        <v>7</v>
      </c>
      <c r="E557">
        <v>4</v>
      </c>
      <c r="F557">
        <v>0</v>
      </c>
      <c r="G557" t="s">
        <v>13</v>
      </c>
      <c r="H557" t="s">
        <v>9</v>
      </c>
      <c r="I557" t="s">
        <v>469</v>
      </c>
      <c r="J557" t="s">
        <v>55</v>
      </c>
      <c r="K557" t="s">
        <v>474</v>
      </c>
      <c r="M557" t="s">
        <v>470</v>
      </c>
    </row>
    <row r="558" spans="2:13" hidden="1">
      <c r="B558">
        <v>556</v>
      </c>
      <c r="C558">
        <v>51</v>
      </c>
      <c r="D558">
        <v>7</v>
      </c>
      <c r="E558">
        <v>5</v>
      </c>
      <c r="F558">
        <v>0</v>
      </c>
      <c r="G558" t="s">
        <v>13</v>
      </c>
      <c r="H558" t="s">
        <v>9</v>
      </c>
      <c r="I558" t="s">
        <v>469</v>
      </c>
      <c r="J558" t="s">
        <v>55</v>
      </c>
      <c r="K558" t="s">
        <v>475</v>
      </c>
      <c r="M558" t="s">
        <v>470</v>
      </c>
    </row>
    <row r="559" spans="2:13" hidden="1">
      <c r="B559">
        <v>557</v>
      </c>
      <c r="C559">
        <v>51</v>
      </c>
      <c r="D559">
        <v>7</v>
      </c>
      <c r="E559">
        <v>6</v>
      </c>
      <c r="F559">
        <v>0</v>
      </c>
      <c r="G559" t="s">
        <v>13</v>
      </c>
      <c r="H559" t="s">
        <v>9</v>
      </c>
      <c r="I559" t="s">
        <v>469</v>
      </c>
      <c r="J559" t="s">
        <v>55</v>
      </c>
      <c r="K559" t="s">
        <v>476</v>
      </c>
      <c r="M559" t="s">
        <v>470</v>
      </c>
    </row>
    <row r="560" spans="2:13" hidden="1">
      <c r="B560">
        <v>558</v>
      </c>
      <c r="C560">
        <v>51</v>
      </c>
      <c r="D560">
        <v>7</v>
      </c>
      <c r="E560">
        <v>7</v>
      </c>
      <c r="F560">
        <v>0</v>
      </c>
      <c r="G560" t="s">
        <v>13</v>
      </c>
      <c r="H560" t="s">
        <v>9</v>
      </c>
      <c r="I560" t="s">
        <v>469</v>
      </c>
      <c r="J560" t="s">
        <v>64</v>
      </c>
      <c r="K560" t="s">
        <v>94</v>
      </c>
      <c r="M560" t="s">
        <v>470</v>
      </c>
    </row>
    <row r="561" spans="2:13" hidden="1">
      <c r="B561">
        <v>559</v>
      </c>
      <c r="C561">
        <v>52</v>
      </c>
      <c r="D561">
        <v>85</v>
      </c>
      <c r="E561">
        <v>0</v>
      </c>
      <c r="F561">
        <v>0</v>
      </c>
      <c r="G561" t="s">
        <v>13</v>
      </c>
      <c r="H561" t="s">
        <v>9</v>
      </c>
      <c r="I561" t="s">
        <v>477</v>
      </c>
      <c r="J561" t="s">
        <v>478</v>
      </c>
      <c r="K561" t="s">
        <v>477</v>
      </c>
      <c r="M561" t="s">
        <v>6</v>
      </c>
    </row>
    <row r="562" spans="2:13" hidden="1">
      <c r="B562">
        <v>560</v>
      </c>
      <c r="C562">
        <v>52</v>
      </c>
      <c r="D562">
        <v>85</v>
      </c>
      <c r="E562">
        <v>1</v>
      </c>
      <c r="F562">
        <v>0</v>
      </c>
      <c r="G562" t="s">
        <v>13</v>
      </c>
      <c r="H562" t="s">
        <v>9</v>
      </c>
      <c r="I562" t="s">
        <v>477</v>
      </c>
      <c r="J562" t="s">
        <v>479</v>
      </c>
      <c r="K562" t="s">
        <v>480</v>
      </c>
      <c r="L562" t="s">
        <v>481</v>
      </c>
      <c r="M562" t="s">
        <v>6</v>
      </c>
    </row>
    <row r="563" spans="2:13" hidden="1">
      <c r="B563">
        <v>561</v>
      </c>
      <c r="C563">
        <v>52</v>
      </c>
      <c r="D563">
        <v>85</v>
      </c>
      <c r="E563">
        <v>2</v>
      </c>
      <c r="F563">
        <v>0</v>
      </c>
      <c r="G563" t="s">
        <v>13</v>
      </c>
      <c r="H563" t="s">
        <v>9</v>
      </c>
      <c r="I563" t="s">
        <v>477</v>
      </c>
      <c r="J563" t="s">
        <v>55</v>
      </c>
      <c r="K563" t="s">
        <v>482</v>
      </c>
      <c r="M563" t="s">
        <v>6</v>
      </c>
    </row>
    <row r="564" spans="2:13" hidden="1">
      <c r="B564">
        <v>562</v>
      </c>
      <c r="C564">
        <v>52</v>
      </c>
      <c r="D564">
        <v>85</v>
      </c>
      <c r="E564">
        <v>3</v>
      </c>
      <c r="F564">
        <v>0</v>
      </c>
      <c r="G564" t="s">
        <v>13</v>
      </c>
      <c r="H564" t="s">
        <v>9</v>
      </c>
      <c r="I564" t="s">
        <v>477</v>
      </c>
      <c r="J564" t="s">
        <v>214</v>
      </c>
      <c r="K564" t="s">
        <v>483</v>
      </c>
      <c r="M564" t="s">
        <v>6</v>
      </c>
    </row>
    <row r="565" spans="2:13" hidden="1">
      <c r="B565">
        <v>563</v>
      </c>
      <c r="C565">
        <v>52</v>
      </c>
      <c r="D565">
        <v>85</v>
      </c>
      <c r="E565">
        <v>4</v>
      </c>
      <c r="F565">
        <v>0</v>
      </c>
      <c r="G565" t="s">
        <v>13</v>
      </c>
      <c r="H565" t="s">
        <v>9</v>
      </c>
      <c r="I565" t="s">
        <v>477</v>
      </c>
      <c r="J565" t="s">
        <v>214</v>
      </c>
      <c r="K565" t="s">
        <v>484</v>
      </c>
      <c r="M565" t="s">
        <v>6</v>
      </c>
    </row>
    <row r="566" spans="2:13" hidden="1">
      <c r="B566">
        <v>564</v>
      </c>
      <c r="C566">
        <v>52</v>
      </c>
      <c r="D566">
        <v>85</v>
      </c>
      <c r="E566">
        <v>5</v>
      </c>
      <c r="F566">
        <v>0</v>
      </c>
      <c r="G566" t="s">
        <v>13</v>
      </c>
      <c r="H566" t="s">
        <v>9</v>
      </c>
      <c r="I566" t="s">
        <v>477</v>
      </c>
      <c r="J566" t="s">
        <v>99</v>
      </c>
      <c r="K566" t="s">
        <v>485</v>
      </c>
      <c r="L566" t="s">
        <v>486</v>
      </c>
      <c r="M566" t="s">
        <v>6</v>
      </c>
    </row>
    <row r="567" spans="2:13" hidden="1">
      <c r="B567">
        <v>565</v>
      </c>
      <c r="C567">
        <v>52</v>
      </c>
      <c r="D567">
        <v>85</v>
      </c>
      <c r="E567">
        <v>6</v>
      </c>
      <c r="F567">
        <v>0</v>
      </c>
      <c r="G567" t="s">
        <v>13</v>
      </c>
      <c r="H567" t="s">
        <v>9</v>
      </c>
      <c r="I567" t="s">
        <v>477</v>
      </c>
      <c r="J567" t="s">
        <v>214</v>
      </c>
      <c r="K567" t="s">
        <v>487</v>
      </c>
      <c r="M567" t="s">
        <v>6</v>
      </c>
    </row>
    <row r="568" spans="2:13" hidden="1">
      <c r="B568">
        <v>566</v>
      </c>
      <c r="C568">
        <v>52</v>
      </c>
      <c r="D568">
        <v>85</v>
      </c>
      <c r="E568">
        <v>7</v>
      </c>
      <c r="F568">
        <v>0</v>
      </c>
      <c r="G568" t="s">
        <v>13</v>
      </c>
      <c r="H568" t="s">
        <v>9</v>
      </c>
      <c r="I568" t="s">
        <v>477</v>
      </c>
      <c r="J568" t="s">
        <v>55</v>
      </c>
      <c r="K568" t="s">
        <v>488</v>
      </c>
      <c r="M568" t="s">
        <v>6</v>
      </c>
    </row>
    <row r="569" spans="2:13" hidden="1">
      <c r="B569">
        <v>567</v>
      </c>
      <c r="C569">
        <v>52</v>
      </c>
      <c r="D569">
        <v>85</v>
      </c>
      <c r="E569">
        <v>8</v>
      </c>
      <c r="F569">
        <v>0</v>
      </c>
      <c r="G569" t="s">
        <v>13</v>
      </c>
      <c r="H569" t="s">
        <v>9</v>
      </c>
      <c r="I569" t="s">
        <v>477</v>
      </c>
      <c r="J569" t="s">
        <v>437</v>
      </c>
      <c r="K569" t="s">
        <v>489</v>
      </c>
      <c r="L569" t="s">
        <v>490</v>
      </c>
      <c r="M569" t="s">
        <v>6</v>
      </c>
    </row>
    <row r="570" spans="2:13" hidden="1">
      <c r="B570">
        <v>568</v>
      </c>
      <c r="C570">
        <v>52</v>
      </c>
      <c r="D570">
        <v>85</v>
      </c>
      <c r="E570">
        <v>9</v>
      </c>
      <c r="F570">
        <v>0</v>
      </c>
      <c r="G570" t="s">
        <v>13</v>
      </c>
      <c r="H570" t="s">
        <v>9</v>
      </c>
      <c r="I570" t="s">
        <v>477</v>
      </c>
      <c r="J570" t="s">
        <v>214</v>
      </c>
      <c r="K570" t="s">
        <v>491</v>
      </c>
      <c r="M570" t="s">
        <v>6</v>
      </c>
    </row>
    <row r="571" spans="2:13" hidden="1">
      <c r="B571">
        <v>569</v>
      </c>
      <c r="C571">
        <v>52</v>
      </c>
      <c r="D571">
        <v>85</v>
      </c>
      <c r="E571">
        <v>10</v>
      </c>
      <c r="F571">
        <v>0</v>
      </c>
      <c r="G571" t="s">
        <v>13</v>
      </c>
      <c r="H571" t="s">
        <v>9</v>
      </c>
      <c r="I571" t="s">
        <v>477</v>
      </c>
      <c r="J571" t="s">
        <v>214</v>
      </c>
      <c r="K571" t="s">
        <v>492</v>
      </c>
      <c r="M571" t="s">
        <v>6</v>
      </c>
    </row>
    <row r="572" spans="2:13" hidden="1">
      <c r="B572">
        <v>570</v>
      </c>
      <c r="C572">
        <v>52</v>
      </c>
      <c r="D572">
        <v>85</v>
      </c>
      <c r="E572">
        <v>11</v>
      </c>
      <c r="F572">
        <v>0</v>
      </c>
      <c r="G572" t="s">
        <v>13</v>
      </c>
      <c r="H572" t="s">
        <v>9</v>
      </c>
      <c r="I572" t="s">
        <v>477</v>
      </c>
      <c r="J572" t="s">
        <v>99</v>
      </c>
      <c r="K572" t="s">
        <v>493</v>
      </c>
      <c r="M572" t="s">
        <v>6</v>
      </c>
    </row>
    <row r="573" spans="2:13" hidden="1">
      <c r="B573">
        <v>571</v>
      </c>
      <c r="C573">
        <v>52</v>
      </c>
      <c r="D573">
        <v>85</v>
      </c>
      <c r="E573">
        <v>12</v>
      </c>
      <c r="F573">
        <v>0</v>
      </c>
      <c r="G573" t="s">
        <v>13</v>
      </c>
      <c r="H573" t="s">
        <v>9</v>
      </c>
      <c r="I573" t="s">
        <v>477</v>
      </c>
      <c r="J573" t="s">
        <v>99</v>
      </c>
      <c r="K573" t="s">
        <v>494</v>
      </c>
      <c r="M573" t="s">
        <v>6</v>
      </c>
    </row>
    <row r="574" spans="2:13" hidden="1">
      <c r="B574">
        <v>572</v>
      </c>
      <c r="C574">
        <v>52</v>
      </c>
      <c r="D574">
        <v>85</v>
      </c>
      <c r="E574">
        <v>13</v>
      </c>
      <c r="F574">
        <v>0</v>
      </c>
      <c r="G574" t="s">
        <v>13</v>
      </c>
      <c r="H574" t="s">
        <v>9</v>
      </c>
      <c r="I574" t="s">
        <v>477</v>
      </c>
      <c r="J574" t="s">
        <v>55</v>
      </c>
      <c r="K574" t="s">
        <v>495</v>
      </c>
      <c r="M574" t="s">
        <v>6</v>
      </c>
    </row>
    <row r="575" spans="2:13" hidden="1">
      <c r="B575">
        <v>573</v>
      </c>
      <c r="C575">
        <v>52</v>
      </c>
      <c r="D575">
        <v>85</v>
      </c>
      <c r="E575">
        <v>14</v>
      </c>
      <c r="F575">
        <v>0</v>
      </c>
      <c r="G575" t="s">
        <v>13</v>
      </c>
      <c r="H575" t="s">
        <v>9</v>
      </c>
      <c r="I575" t="s">
        <v>477</v>
      </c>
      <c r="J575" t="s">
        <v>214</v>
      </c>
      <c r="K575" t="s">
        <v>496</v>
      </c>
      <c r="M575" t="s">
        <v>6</v>
      </c>
    </row>
    <row r="576" spans="2:13" hidden="1">
      <c r="B576">
        <v>574</v>
      </c>
      <c r="C576">
        <v>52</v>
      </c>
      <c r="D576">
        <v>85</v>
      </c>
      <c r="E576">
        <v>15</v>
      </c>
      <c r="F576">
        <v>0</v>
      </c>
      <c r="G576" t="s">
        <v>13</v>
      </c>
      <c r="H576" t="s">
        <v>9</v>
      </c>
      <c r="I576" t="s">
        <v>477</v>
      </c>
      <c r="J576" t="s">
        <v>214</v>
      </c>
      <c r="K576" t="s">
        <v>497</v>
      </c>
      <c r="M576" t="s">
        <v>6</v>
      </c>
    </row>
    <row r="577" spans="2:13" hidden="1">
      <c r="B577">
        <v>575</v>
      </c>
      <c r="C577">
        <v>52</v>
      </c>
      <c r="D577">
        <v>85</v>
      </c>
      <c r="E577">
        <v>16</v>
      </c>
      <c r="F577">
        <v>0</v>
      </c>
      <c r="G577" t="s">
        <v>13</v>
      </c>
      <c r="H577" t="s">
        <v>9</v>
      </c>
      <c r="I577" t="s">
        <v>477</v>
      </c>
      <c r="J577" t="s">
        <v>214</v>
      </c>
      <c r="K577" t="s">
        <v>498</v>
      </c>
      <c r="M577" t="s">
        <v>6</v>
      </c>
    </row>
    <row r="578" spans="2:13" hidden="1">
      <c r="B578">
        <v>576</v>
      </c>
      <c r="C578">
        <v>52</v>
      </c>
      <c r="D578">
        <v>85</v>
      </c>
      <c r="E578">
        <v>17</v>
      </c>
      <c r="F578">
        <v>0</v>
      </c>
      <c r="G578" t="s">
        <v>13</v>
      </c>
      <c r="H578" t="s">
        <v>9</v>
      </c>
      <c r="I578" t="s">
        <v>477</v>
      </c>
      <c r="J578" t="s">
        <v>214</v>
      </c>
      <c r="K578" t="s">
        <v>499</v>
      </c>
      <c r="M578" t="s">
        <v>6</v>
      </c>
    </row>
    <row r="579" spans="2:13" hidden="1">
      <c r="B579">
        <v>577</v>
      </c>
      <c r="C579">
        <v>52</v>
      </c>
      <c r="D579">
        <v>85</v>
      </c>
      <c r="E579">
        <v>18</v>
      </c>
      <c r="F579">
        <v>0</v>
      </c>
      <c r="G579" t="s">
        <v>13</v>
      </c>
      <c r="H579" t="s">
        <v>9</v>
      </c>
      <c r="I579" t="s">
        <v>477</v>
      </c>
      <c r="J579" t="s">
        <v>214</v>
      </c>
      <c r="K579" t="s">
        <v>500</v>
      </c>
      <c r="M579" t="s">
        <v>6</v>
      </c>
    </row>
    <row r="580" spans="2:13" hidden="1">
      <c r="B580">
        <v>578</v>
      </c>
      <c r="C580">
        <v>52</v>
      </c>
      <c r="D580">
        <v>85</v>
      </c>
      <c r="E580">
        <v>19</v>
      </c>
      <c r="F580">
        <v>0</v>
      </c>
      <c r="G580" t="s">
        <v>13</v>
      </c>
      <c r="H580" t="s">
        <v>9</v>
      </c>
      <c r="I580" t="s">
        <v>477</v>
      </c>
      <c r="J580" t="s">
        <v>214</v>
      </c>
      <c r="K580" t="s">
        <v>501</v>
      </c>
      <c r="M580" t="s">
        <v>6</v>
      </c>
    </row>
    <row r="581" spans="2:13" hidden="1">
      <c r="B581">
        <v>579</v>
      </c>
      <c r="C581">
        <v>52</v>
      </c>
      <c r="D581">
        <v>85</v>
      </c>
      <c r="E581">
        <v>20</v>
      </c>
      <c r="F581">
        <v>0</v>
      </c>
      <c r="G581" t="s">
        <v>13</v>
      </c>
      <c r="H581" t="s">
        <v>9</v>
      </c>
      <c r="I581" t="s">
        <v>477</v>
      </c>
      <c r="J581" t="s">
        <v>55</v>
      </c>
      <c r="K581" t="s">
        <v>502</v>
      </c>
      <c r="M581" t="s">
        <v>6</v>
      </c>
    </row>
    <row r="582" spans="2:13" hidden="1">
      <c r="B582">
        <v>580</v>
      </c>
      <c r="C582">
        <v>52</v>
      </c>
      <c r="D582">
        <v>85</v>
      </c>
      <c r="E582">
        <v>21</v>
      </c>
      <c r="F582">
        <v>0</v>
      </c>
      <c r="G582" t="s">
        <v>13</v>
      </c>
      <c r="H582" t="s">
        <v>9</v>
      </c>
      <c r="I582" t="s">
        <v>477</v>
      </c>
      <c r="J582" t="s">
        <v>214</v>
      </c>
      <c r="K582" t="s">
        <v>496</v>
      </c>
      <c r="M582" t="s">
        <v>6</v>
      </c>
    </row>
    <row r="583" spans="2:13" hidden="1">
      <c r="B583">
        <v>581</v>
      </c>
      <c r="C583">
        <v>52</v>
      </c>
      <c r="D583">
        <v>85</v>
      </c>
      <c r="E583">
        <v>22</v>
      </c>
      <c r="F583">
        <v>0</v>
      </c>
      <c r="G583" t="s">
        <v>13</v>
      </c>
      <c r="H583" t="s">
        <v>9</v>
      </c>
      <c r="I583" t="s">
        <v>477</v>
      </c>
      <c r="J583" t="s">
        <v>214</v>
      </c>
      <c r="K583" t="s">
        <v>497</v>
      </c>
      <c r="M583" t="s">
        <v>6</v>
      </c>
    </row>
    <row r="584" spans="2:13" hidden="1">
      <c r="B584">
        <v>582</v>
      </c>
      <c r="C584">
        <v>52</v>
      </c>
      <c r="D584">
        <v>85</v>
      </c>
      <c r="E584">
        <v>23</v>
      </c>
      <c r="F584">
        <v>0</v>
      </c>
      <c r="G584" t="s">
        <v>13</v>
      </c>
      <c r="H584" t="s">
        <v>9</v>
      </c>
      <c r="I584" t="s">
        <v>477</v>
      </c>
      <c r="J584" t="s">
        <v>214</v>
      </c>
      <c r="K584" t="s">
        <v>503</v>
      </c>
      <c r="M584" t="s">
        <v>6</v>
      </c>
    </row>
    <row r="585" spans="2:13" hidden="1">
      <c r="B585">
        <v>583</v>
      </c>
      <c r="C585">
        <v>52</v>
      </c>
      <c r="D585">
        <v>85</v>
      </c>
      <c r="E585">
        <v>24</v>
      </c>
      <c r="F585">
        <v>0</v>
      </c>
      <c r="G585" t="s">
        <v>13</v>
      </c>
      <c r="H585" t="s">
        <v>9</v>
      </c>
      <c r="I585" t="s">
        <v>477</v>
      </c>
      <c r="J585" t="s">
        <v>214</v>
      </c>
      <c r="K585" t="s">
        <v>504</v>
      </c>
      <c r="M585" t="s">
        <v>6</v>
      </c>
    </row>
    <row r="586" spans="2:13" hidden="1">
      <c r="B586">
        <v>584</v>
      </c>
      <c r="C586">
        <v>52</v>
      </c>
      <c r="D586">
        <v>85</v>
      </c>
      <c r="E586">
        <v>25</v>
      </c>
      <c r="F586">
        <v>0</v>
      </c>
      <c r="G586" t="s">
        <v>13</v>
      </c>
      <c r="H586" t="s">
        <v>9</v>
      </c>
      <c r="I586" t="s">
        <v>477</v>
      </c>
      <c r="J586" t="s">
        <v>214</v>
      </c>
      <c r="K586" t="s">
        <v>505</v>
      </c>
      <c r="M586" t="s">
        <v>6</v>
      </c>
    </row>
    <row r="587" spans="2:13" hidden="1">
      <c r="B587">
        <v>585</v>
      </c>
      <c r="C587">
        <v>52</v>
      </c>
      <c r="D587">
        <v>85</v>
      </c>
      <c r="E587">
        <v>26</v>
      </c>
      <c r="F587">
        <v>0</v>
      </c>
      <c r="G587" t="s">
        <v>13</v>
      </c>
      <c r="H587" t="s">
        <v>9</v>
      </c>
      <c r="I587" t="s">
        <v>477</v>
      </c>
      <c r="J587" t="s">
        <v>214</v>
      </c>
      <c r="K587" t="s">
        <v>506</v>
      </c>
      <c r="M587" t="s">
        <v>6</v>
      </c>
    </row>
    <row r="588" spans="2:13" hidden="1">
      <c r="B588">
        <v>586</v>
      </c>
      <c r="C588">
        <v>52</v>
      </c>
      <c r="D588">
        <v>85</v>
      </c>
      <c r="E588">
        <v>27</v>
      </c>
      <c r="F588">
        <v>0</v>
      </c>
      <c r="G588" t="s">
        <v>13</v>
      </c>
      <c r="H588" t="s">
        <v>9</v>
      </c>
      <c r="I588" t="s">
        <v>477</v>
      </c>
      <c r="J588" t="s">
        <v>214</v>
      </c>
      <c r="K588" t="s">
        <v>501</v>
      </c>
      <c r="M588" t="s">
        <v>6</v>
      </c>
    </row>
    <row r="589" spans="2:13" hidden="1">
      <c r="B589">
        <v>587</v>
      </c>
      <c r="C589">
        <v>52</v>
      </c>
      <c r="D589">
        <v>85</v>
      </c>
      <c r="E589">
        <v>28</v>
      </c>
      <c r="F589">
        <v>0</v>
      </c>
      <c r="G589" t="s">
        <v>13</v>
      </c>
      <c r="H589" t="s">
        <v>9</v>
      </c>
      <c r="I589" t="s">
        <v>477</v>
      </c>
      <c r="J589" t="s">
        <v>214</v>
      </c>
      <c r="K589" t="s">
        <v>507</v>
      </c>
      <c r="M589" t="s">
        <v>6</v>
      </c>
    </row>
    <row r="590" spans="2:13" hidden="1">
      <c r="B590">
        <v>588</v>
      </c>
      <c r="C590">
        <v>52</v>
      </c>
      <c r="D590">
        <v>85</v>
      </c>
      <c r="E590">
        <v>29</v>
      </c>
      <c r="F590">
        <v>0</v>
      </c>
      <c r="G590" t="s">
        <v>13</v>
      </c>
      <c r="H590" t="s">
        <v>9</v>
      </c>
      <c r="I590" t="s">
        <v>477</v>
      </c>
      <c r="J590" t="s">
        <v>214</v>
      </c>
      <c r="K590" t="s">
        <v>508</v>
      </c>
      <c r="M590" t="s">
        <v>6</v>
      </c>
    </row>
    <row r="591" spans="2:13" hidden="1">
      <c r="B591">
        <v>589</v>
      </c>
      <c r="C591">
        <v>52</v>
      </c>
      <c r="D591">
        <v>85</v>
      </c>
      <c r="E591">
        <v>30</v>
      </c>
      <c r="F591">
        <v>0</v>
      </c>
      <c r="G591" t="s">
        <v>13</v>
      </c>
      <c r="H591" t="s">
        <v>9</v>
      </c>
      <c r="I591" t="s">
        <v>477</v>
      </c>
      <c r="J591" t="s">
        <v>437</v>
      </c>
      <c r="K591" t="s">
        <v>509</v>
      </c>
      <c r="L591" t="s">
        <v>510</v>
      </c>
      <c r="M591" t="s">
        <v>6</v>
      </c>
    </row>
    <row r="592" spans="2:13" hidden="1">
      <c r="B592">
        <v>590</v>
      </c>
      <c r="C592">
        <v>52</v>
      </c>
      <c r="D592">
        <v>85</v>
      </c>
      <c r="E592">
        <v>31</v>
      </c>
      <c r="F592">
        <v>0</v>
      </c>
      <c r="G592" t="s">
        <v>13</v>
      </c>
      <c r="H592" t="s">
        <v>9</v>
      </c>
      <c r="I592" t="s">
        <v>477</v>
      </c>
      <c r="J592" t="s">
        <v>214</v>
      </c>
      <c r="K592" t="s">
        <v>511</v>
      </c>
      <c r="M592" t="s">
        <v>6</v>
      </c>
    </row>
    <row r="593" spans="2:13" hidden="1">
      <c r="B593">
        <v>591</v>
      </c>
      <c r="C593">
        <v>52</v>
      </c>
      <c r="D593">
        <v>85</v>
      </c>
      <c r="E593">
        <v>32</v>
      </c>
      <c r="F593">
        <v>0</v>
      </c>
      <c r="G593" t="s">
        <v>13</v>
      </c>
      <c r="H593" t="s">
        <v>9</v>
      </c>
      <c r="I593" t="s">
        <v>477</v>
      </c>
      <c r="J593" t="s">
        <v>99</v>
      </c>
      <c r="K593" t="s">
        <v>512</v>
      </c>
      <c r="L593" t="s">
        <v>510</v>
      </c>
      <c r="M593" t="s">
        <v>6</v>
      </c>
    </row>
    <row r="594" spans="2:13" hidden="1">
      <c r="B594">
        <v>592</v>
      </c>
      <c r="C594">
        <v>52</v>
      </c>
      <c r="D594">
        <v>85</v>
      </c>
      <c r="E594">
        <v>33</v>
      </c>
      <c r="F594">
        <v>0</v>
      </c>
      <c r="G594" t="s">
        <v>13</v>
      </c>
      <c r="H594" t="s">
        <v>9</v>
      </c>
      <c r="I594" t="s">
        <v>477</v>
      </c>
      <c r="J594" t="s">
        <v>437</v>
      </c>
      <c r="K594" t="s">
        <v>513</v>
      </c>
      <c r="L594" t="s">
        <v>514</v>
      </c>
      <c r="M594" t="s">
        <v>6</v>
      </c>
    </row>
    <row r="595" spans="2:13" hidden="1">
      <c r="B595">
        <v>593</v>
      </c>
      <c r="C595">
        <v>52</v>
      </c>
      <c r="D595">
        <v>85</v>
      </c>
      <c r="E595">
        <v>34</v>
      </c>
      <c r="F595">
        <v>0</v>
      </c>
      <c r="G595" t="s">
        <v>13</v>
      </c>
      <c r="H595" t="s">
        <v>9</v>
      </c>
      <c r="I595" t="s">
        <v>477</v>
      </c>
      <c r="J595" t="s">
        <v>214</v>
      </c>
      <c r="K595" t="s">
        <v>515</v>
      </c>
      <c r="M595" t="s">
        <v>6</v>
      </c>
    </row>
    <row r="596" spans="2:13" hidden="1">
      <c r="B596">
        <v>594</v>
      </c>
      <c r="C596">
        <v>52</v>
      </c>
      <c r="D596">
        <v>85</v>
      </c>
      <c r="E596">
        <v>35</v>
      </c>
      <c r="F596">
        <v>0</v>
      </c>
      <c r="G596" t="s">
        <v>13</v>
      </c>
      <c r="H596" t="s">
        <v>9</v>
      </c>
      <c r="I596" t="s">
        <v>477</v>
      </c>
      <c r="J596" t="s">
        <v>55</v>
      </c>
      <c r="K596" t="s">
        <v>516</v>
      </c>
      <c r="M596" t="s">
        <v>6</v>
      </c>
    </row>
    <row r="597" spans="2:13" hidden="1">
      <c r="B597">
        <v>595</v>
      </c>
      <c r="C597">
        <v>52</v>
      </c>
      <c r="D597">
        <v>85</v>
      </c>
      <c r="E597">
        <v>36</v>
      </c>
      <c r="F597">
        <v>0</v>
      </c>
      <c r="G597" t="s">
        <v>13</v>
      </c>
      <c r="H597" t="s">
        <v>9</v>
      </c>
      <c r="I597" t="s">
        <v>477</v>
      </c>
      <c r="J597" t="s">
        <v>214</v>
      </c>
      <c r="K597" t="s">
        <v>517</v>
      </c>
      <c r="M597" t="s">
        <v>6</v>
      </c>
    </row>
    <row r="598" spans="2:13" hidden="1">
      <c r="B598">
        <v>596</v>
      </c>
      <c r="C598">
        <v>52</v>
      </c>
      <c r="D598">
        <v>85</v>
      </c>
      <c r="E598">
        <v>37</v>
      </c>
      <c r="F598">
        <v>0</v>
      </c>
      <c r="G598" t="s">
        <v>13</v>
      </c>
      <c r="H598" t="s">
        <v>9</v>
      </c>
      <c r="I598" t="s">
        <v>477</v>
      </c>
      <c r="J598" t="s">
        <v>214</v>
      </c>
      <c r="K598" t="s">
        <v>518</v>
      </c>
      <c r="M598" t="s">
        <v>6</v>
      </c>
    </row>
    <row r="599" spans="2:13" hidden="1">
      <c r="B599">
        <v>597</v>
      </c>
      <c r="C599">
        <v>52</v>
      </c>
      <c r="D599">
        <v>85</v>
      </c>
      <c r="E599">
        <v>38</v>
      </c>
      <c r="F599">
        <v>0</v>
      </c>
      <c r="G599" t="s">
        <v>13</v>
      </c>
      <c r="H599" t="s">
        <v>9</v>
      </c>
      <c r="I599" t="s">
        <v>477</v>
      </c>
      <c r="J599" t="s">
        <v>214</v>
      </c>
      <c r="K599" t="s">
        <v>519</v>
      </c>
      <c r="M599" t="s">
        <v>6</v>
      </c>
    </row>
    <row r="600" spans="2:13" hidden="1">
      <c r="B600">
        <v>598</v>
      </c>
      <c r="C600">
        <v>52</v>
      </c>
      <c r="D600">
        <v>85</v>
      </c>
      <c r="E600">
        <v>39</v>
      </c>
      <c r="F600">
        <v>0</v>
      </c>
      <c r="G600" t="s">
        <v>13</v>
      </c>
      <c r="H600" t="s">
        <v>9</v>
      </c>
      <c r="I600" t="s">
        <v>477</v>
      </c>
      <c r="J600" t="s">
        <v>214</v>
      </c>
      <c r="K600" t="s">
        <v>520</v>
      </c>
      <c r="M600" t="s">
        <v>6</v>
      </c>
    </row>
    <row r="601" spans="2:13" hidden="1">
      <c r="B601">
        <v>599</v>
      </c>
      <c r="C601">
        <v>52</v>
      </c>
      <c r="D601">
        <v>85</v>
      </c>
      <c r="E601">
        <v>40</v>
      </c>
      <c r="F601">
        <v>0</v>
      </c>
      <c r="G601" t="s">
        <v>13</v>
      </c>
      <c r="H601" t="s">
        <v>9</v>
      </c>
      <c r="I601" t="s">
        <v>477</v>
      </c>
      <c r="J601" t="s">
        <v>214</v>
      </c>
      <c r="K601" t="s">
        <v>521</v>
      </c>
      <c r="M601" t="s">
        <v>6</v>
      </c>
    </row>
    <row r="602" spans="2:13" hidden="1">
      <c r="B602">
        <v>600</v>
      </c>
      <c r="C602">
        <v>52</v>
      </c>
      <c r="D602">
        <v>85</v>
      </c>
      <c r="E602">
        <v>41</v>
      </c>
      <c r="F602">
        <v>0</v>
      </c>
      <c r="G602" t="s">
        <v>13</v>
      </c>
      <c r="H602" t="s">
        <v>9</v>
      </c>
      <c r="I602" t="s">
        <v>477</v>
      </c>
      <c r="J602" t="s">
        <v>479</v>
      </c>
      <c r="K602" t="s">
        <v>522</v>
      </c>
      <c r="L602" t="s">
        <v>481</v>
      </c>
      <c r="M602" t="s">
        <v>6</v>
      </c>
    </row>
    <row r="603" spans="2:13" hidden="1">
      <c r="B603">
        <v>601</v>
      </c>
      <c r="C603">
        <v>52</v>
      </c>
      <c r="D603">
        <v>85</v>
      </c>
      <c r="E603">
        <v>42</v>
      </c>
      <c r="F603">
        <v>0</v>
      </c>
      <c r="G603" t="s">
        <v>13</v>
      </c>
      <c r="H603" t="s">
        <v>9</v>
      </c>
      <c r="I603" t="s">
        <v>477</v>
      </c>
      <c r="J603" t="s">
        <v>55</v>
      </c>
      <c r="K603" t="s">
        <v>523</v>
      </c>
      <c r="M603" t="s">
        <v>6</v>
      </c>
    </row>
    <row r="604" spans="2:13" hidden="1">
      <c r="B604">
        <v>602</v>
      </c>
      <c r="C604">
        <v>52</v>
      </c>
      <c r="D604">
        <v>85</v>
      </c>
      <c r="E604">
        <v>43</v>
      </c>
      <c r="F604">
        <v>0</v>
      </c>
      <c r="G604" t="s">
        <v>13</v>
      </c>
      <c r="H604" t="s">
        <v>9</v>
      </c>
      <c r="I604" t="s">
        <v>477</v>
      </c>
      <c r="J604" t="s">
        <v>55</v>
      </c>
      <c r="K604" t="s">
        <v>524</v>
      </c>
      <c r="M604" t="s">
        <v>6</v>
      </c>
    </row>
    <row r="605" spans="2:13" hidden="1">
      <c r="B605">
        <v>603</v>
      </c>
      <c r="C605">
        <v>52</v>
      </c>
      <c r="D605">
        <v>85</v>
      </c>
      <c r="E605">
        <v>44</v>
      </c>
      <c r="F605">
        <v>0</v>
      </c>
      <c r="G605" t="s">
        <v>13</v>
      </c>
      <c r="H605" t="s">
        <v>9</v>
      </c>
      <c r="I605" t="s">
        <v>477</v>
      </c>
      <c r="J605" t="s">
        <v>55</v>
      </c>
      <c r="K605" t="s">
        <v>525</v>
      </c>
      <c r="M605" t="s">
        <v>6</v>
      </c>
    </row>
    <row r="606" spans="2:13" hidden="1">
      <c r="B606">
        <v>604</v>
      </c>
      <c r="C606">
        <v>52</v>
      </c>
      <c r="D606">
        <v>85</v>
      </c>
      <c r="E606">
        <v>45</v>
      </c>
      <c r="F606">
        <v>0</v>
      </c>
      <c r="G606" t="s">
        <v>13</v>
      </c>
      <c r="H606" t="s">
        <v>9</v>
      </c>
      <c r="I606" t="s">
        <v>477</v>
      </c>
      <c r="J606" t="s">
        <v>55</v>
      </c>
      <c r="K606" t="s">
        <v>526</v>
      </c>
      <c r="M606" t="s">
        <v>6</v>
      </c>
    </row>
    <row r="607" spans="2:13" hidden="1">
      <c r="B607">
        <v>605</v>
      </c>
      <c r="C607">
        <v>52</v>
      </c>
      <c r="D607">
        <v>85</v>
      </c>
      <c r="E607">
        <v>46</v>
      </c>
      <c r="F607">
        <v>0</v>
      </c>
      <c r="G607" t="s">
        <v>13</v>
      </c>
      <c r="H607" t="s">
        <v>9</v>
      </c>
      <c r="I607" t="s">
        <v>477</v>
      </c>
      <c r="J607" t="s">
        <v>214</v>
      </c>
      <c r="K607" t="s">
        <v>527</v>
      </c>
      <c r="M607" t="s">
        <v>6</v>
      </c>
    </row>
    <row r="608" spans="2:13" hidden="1">
      <c r="B608">
        <v>606</v>
      </c>
      <c r="C608">
        <v>52</v>
      </c>
      <c r="D608">
        <v>85</v>
      </c>
      <c r="E608">
        <v>47</v>
      </c>
      <c r="F608">
        <v>0</v>
      </c>
      <c r="G608" t="s">
        <v>13</v>
      </c>
      <c r="H608" t="s">
        <v>9</v>
      </c>
      <c r="I608" t="s">
        <v>477</v>
      </c>
      <c r="J608" t="s">
        <v>55</v>
      </c>
      <c r="K608" t="s">
        <v>528</v>
      </c>
      <c r="M608" t="s">
        <v>6</v>
      </c>
    </row>
    <row r="609" spans="2:13" hidden="1">
      <c r="B609">
        <v>607</v>
      </c>
      <c r="C609">
        <v>52</v>
      </c>
      <c r="D609">
        <v>85</v>
      </c>
      <c r="E609">
        <v>48</v>
      </c>
      <c r="F609">
        <v>0</v>
      </c>
      <c r="G609" t="s">
        <v>13</v>
      </c>
      <c r="H609" t="s">
        <v>9</v>
      </c>
      <c r="I609" t="s">
        <v>477</v>
      </c>
      <c r="J609" t="s">
        <v>64</v>
      </c>
      <c r="K609" t="s">
        <v>529</v>
      </c>
      <c r="M609" t="s">
        <v>6</v>
      </c>
    </row>
    <row r="610" spans="2:13" hidden="1">
      <c r="B610">
        <v>608</v>
      </c>
      <c r="C610">
        <v>52</v>
      </c>
      <c r="D610">
        <v>85</v>
      </c>
      <c r="E610">
        <v>49</v>
      </c>
      <c r="F610">
        <v>0</v>
      </c>
      <c r="G610" t="s">
        <v>13</v>
      </c>
      <c r="H610" t="s">
        <v>9</v>
      </c>
      <c r="I610" t="s">
        <v>477</v>
      </c>
      <c r="J610" t="s">
        <v>479</v>
      </c>
      <c r="K610" t="s">
        <v>530</v>
      </c>
      <c r="L610" t="s">
        <v>481</v>
      </c>
      <c r="M610" t="s">
        <v>6</v>
      </c>
    </row>
    <row r="611" spans="2:13" hidden="1">
      <c r="B611">
        <v>609</v>
      </c>
      <c r="C611">
        <v>52</v>
      </c>
      <c r="D611">
        <v>85</v>
      </c>
      <c r="E611">
        <v>50</v>
      </c>
      <c r="F611">
        <v>0</v>
      </c>
      <c r="G611" t="s">
        <v>13</v>
      </c>
      <c r="H611" t="s">
        <v>9</v>
      </c>
      <c r="I611" t="s">
        <v>477</v>
      </c>
      <c r="J611" t="s">
        <v>55</v>
      </c>
      <c r="K611" t="s">
        <v>531</v>
      </c>
      <c r="M611" t="s">
        <v>6</v>
      </c>
    </row>
    <row r="612" spans="2:13" hidden="1">
      <c r="B612">
        <v>610</v>
      </c>
      <c r="C612">
        <v>52</v>
      </c>
      <c r="D612">
        <v>85</v>
      </c>
      <c r="E612">
        <v>51</v>
      </c>
      <c r="F612">
        <v>0</v>
      </c>
      <c r="G612" t="s">
        <v>13</v>
      </c>
      <c r="H612" t="s">
        <v>9</v>
      </c>
      <c r="I612" t="s">
        <v>477</v>
      </c>
      <c r="J612" t="s">
        <v>214</v>
      </c>
      <c r="K612" t="s">
        <v>532</v>
      </c>
      <c r="M612" t="s">
        <v>6</v>
      </c>
    </row>
    <row r="613" spans="2:13" hidden="1">
      <c r="B613">
        <v>611</v>
      </c>
      <c r="C613">
        <v>52</v>
      </c>
      <c r="D613">
        <v>85</v>
      </c>
      <c r="E613">
        <v>52</v>
      </c>
      <c r="F613">
        <v>0</v>
      </c>
      <c r="G613" t="s">
        <v>13</v>
      </c>
      <c r="H613" t="s">
        <v>9</v>
      </c>
      <c r="I613" t="s">
        <v>477</v>
      </c>
      <c r="J613" t="s">
        <v>214</v>
      </c>
      <c r="K613" t="s">
        <v>533</v>
      </c>
      <c r="M613" t="s">
        <v>6</v>
      </c>
    </row>
    <row r="614" spans="2:13" hidden="1">
      <c r="B614">
        <v>612</v>
      </c>
      <c r="C614">
        <v>52</v>
      </c>
      <c r="D614">
        <v>85</v>
      </c>
      <c r="E614">
        <v>53</v>
      </c>
      <c r="F614">
        <v>0</v>
      </c>
      <c r="G614" t="s">
        <v>13</v>
      </c>
      <c r="H614" t="s">
        <v>9</v>
      </c>
      <c r="I614" t="s">
        <v>477</v>
      </c>
      <c r="J614" t="s">
        <v>214</v>
      </c>
      <c r="K614" t="s">
        <v>534</v>
      </c>
      <c r="M614" t="s">
        <v>6</v>
      </c>
    </row>
    <row r="615" spans="2:13" hidden="1">
      <c r="B615">
        <v>613</v>
      </c>
      <c r="C615">
        <v>52</v>
      </c>
      <c r="D615">
        <v>85</v>
      </c>
      <c r="E615">
        <v>54</v>
      </c>
      <c r="F615">
        <v>0</v>
      </c>
      <c r="G615" t="s">
        <v>13</v>
      </c>
      <c r="H615" t="s">
        <v>9</v>
      </c>
      <c r="I615" t="s">
        <v>477</v>
      </c>
      <c r="J615" t="s">
        <v>214</v>
      </c>
      <c r="K615" t="s">
        <v>535</v>
      </c>
      <c r="M615" t="s">
        <v>6</v>
      </c>
    </row>
    <row r="616" spans="2:13" hidden="1">
      <c r="B616">
        <v>614</v>
      </c>
      <c r="C616">
        <v>52</v>
      </c>
      <c r="D616">
        <v>85</v>
      </c>
      <c r="E616">
        <v>55</v>
      </c>
      <c r="F616">
        <v>0</v>
      </c>
      <c r="G616" t="s">
        <v>13</v>
      </c>
      <c r="H616" t="s">
        <v>9</v>
      </c>
      <c r="I616" t="s">
        <v>477</v>
      </c>
      <c r="J616" t="s">
        <v>214</v>
      </c>
      <c r="K616" t="s">
        <v>536</v>
      </c>
      <c r="M616" t="s">
        <v>6</v>
      </c>
    </row>
    <row r="617" spans="2:13" hidden="1">
      <c r="B617">
        <v>615</v>
      </c>
      <c r="C617">
        <v>52</v>
      </c>
      <c r="D617">
        <v>85</v>
      </c>
      <c r="E617">
        <v>56</v>
      </c>
      <c r="F617">
        <v>0</v>
      </c>
      <c r="G617" t="s">
        <v>13</v>
      </c>
      <c r="H617" t="s">
        <v>9</v>
      </c>
      <c r="I617" t="s">
        <v>477</v>
      </c>
      <c r="J617" t="s">
        <v>214</v>
      </c>
      <c r="K617" t="s">
        <v>537</v>
      </c>
      <c r="M617" t="s">
        <v>6</v>
      </c>
    </row>
    <row r="618" spans="2:13" hidden="1">
      <c r="B618">
        <v>616</v>
      </c>
      <c r="C618">
        <v>52</v>
      </c>
      <c r="D618">
        <v>85</v>
      </c>
      <c r="E618">
        <v>57</v>
      </c>
      <c r="F618">
        <v>0</v>
      </c>
      <c r="G618" t="s">
        <v>13</v>
      </c>
      <c r="H618" t="s">
        <v>9</v>
      </c>
      <c r="I618" t="s">
        <v>477</v>
      </c>
      <c r="J618" t="s">
        <v>99</v>
      </c>
      <c r="K618" t="s">
        <v>538</v>
      </c>
      <c r="M618" t="s">
        <v>6</v>
      </c>
    </row>
    <row r="619" spans="2:13" hidden="1">
      <c r="B619">
        <v>617</v>
      </c>
      <c r="C619">
        <v>52</v>
      </c>
      <c r="D619">
        <v>85</v>
      </c>
      <c r="E619">
        <v>58</v>
      </c>
      <c r="F619">
        <v>0</v>
      </c>
      <c r="G619" t="s">
        <v>13</v>
      </c>
      <c r="H619" t="s">
        <v>9</v>
      </c>
      <c r="I619" t="s">
        <v>477</v>
      </c>
      <c r="J619" t="s">
        <v>479</v>
      </c>
      <c r="K619" t="s">
        <v>539</v>
      </c>
      <c r="L619" t="s">
        <v>481</v>
      </c>
      <c r="M619" t="s">
        <v>6</v>
      </c>
    </row>
    <row r="620" spans="2:13" hidden="1">
      <c r="B620">
        <v>618</v>
      </c>
      <c r="C620">
        <v>52</v>
      </c>
      <c r="D620">
        <v>85</v>
      </c>
      <c r="E620">
        <v>59</v>
      </c>
      <c r="F620">
        <v>0</v>
      </c>
      <c r="G620" t="s">
        <v>13</v>
      </c>
      <c r="H620" t="s">
        <v>9</v>
      </c>
      <c r="I620" t="s">
        <v>477</v>
      </c>
      <c r="J620" t="s">
        <v>55</v>
      </c>
      <c r="K620" t="s">
        <v>540</v>
      </c>
      <c r="M620" t="s">
        <v>6</v>
      </c>
    </row>
    <row r="621" spans="2:13" hidden="1">
      <c r="B621">
        <v>619</v>
      </c>
      <c r="C621">
        <v>52</v>
      </c>
      <c r="D621">
        <v>85</v>
      </c>
      <c r="E621">
        <v>60</v>
      </c>
      <c r="F621">
        <v>0</v>
      </c>
      <c r="G621" t="s">
        <v>13</v>
      </c>
      <c r="H621" t="s">
        <v>9</v>
      </c>
      <c r="I621" t="s">
        <v>477</v>
      </c>
      <c r="J621" t="s">
        <v>214</v>
      </c>
      <c r="K621" t="s">
        <v>541</v>
      </c>
      <c r="M621" t="s">
        <v>6</v>
      </c>
    </row>
    <row r="622" spans="2:13" hidden="1">
      <c r="B622">
        <v>620</v>
      </c>
      <c r="C622">
        <v>52</v>
      </c>
      <c r="D622">
        <v>85</v>
      </c>
      <c r="E622">
        <v>61</v>
      </c>
      <c r="F622">
        <v>0</v>
      </c>
      <c r="G622" t="s">
        <v>13</v>
      </c>
      <c r="H622" t="s">
        <v>9</v>
      </c>
      <c r="I622" t="s">
        <v>477</v>
      </c>
      <c r="J622" t="s">
        <v>214</v>
      </c>
      <c r="K622" t="s">
        <v>542</v>
      </c>
      <c r="M622" t="s">
        <v>6</v>
      </c>
    </row>
    <row r="623" spans="2:13" hidden="1">
      <c r="B623">
        <v>621</v>
      </c>
      <c r="C623">
        <v>52</v>
      </c>
      <c r="D623">
        <v>85</v>
      </c>
      <c r="E623">
        <v>62</v>
      </c>
      <c r="F623">
        <v>0</v>
      </c>
      <c r="G623" t="s">
        <v>13</v>
      </c>
      <c r="H623" t="s">
        <v>9</v>
      </c>
      <c r="I623" t="s">
        <v>477</v>
      </c>
      <c r="J623" t="s">
        <v>214</v>
      </c>
      <c r="K623" t="s">
        <v>543</v>
      </c>
      <c r="M623" t="s">
        <v>6</v>
      </c>
    </row>
    <row r="624" spans="2:13" hidden="1">
      <c r="B624">
        <v>622</v>
      </c>
      <c r="C624">
        <v>52</v>
      </c>
      <c r="D624">
        <v>85</v>
      </c>
      <c r="E624">
        <v>63</v>
      </c>
      <c r="F624">
        <v>0</v>
      </c>
      <c r="G624" t="s">
        <v>13</v>
      </c>
      <c r="H624" t="s">
        <v>9</v>
      </c>
      <c r="I624" t="s">
        <v>477</v>
      </c>
      <c r="J624" t="s">
        <v>214</v>
      </c>
      <c r="K624" t="s">
        <v>544</v>
      </c>
      <c r="M624" t="s">
        <v>6</v>
      </c>
    </row>
    <row r="625" spans="2:13" hidden="1">
      <c r="B625">
        <v>623</v>
      </c>
      <c r="C625">
        <v>52</v>
      </c>
      <c r="D625">
        <v>85</v>
      </c>
      <c r="E625">
        <v>64</v>
      </c>
      <c r="F625">
        <v>0</v>
      </c>
      <c r="G625" t="s">
        <v>13</v>
      </c>
      <c r="H625" t="s">
        <v>9</v>
      </c>
      <c r="I625" t="s">
        <v>477</v>
      </c>
      <c r="J625" t="s">
        <v>437</v>
      </c>
      <c r="K625" t="s">
        <v>545</v>
      </c>
      <c r="L625" t="s">
        <v>546</v>
      </c>
      <c r="M625" t="s">
        <v>6</v>
      </c>
    </row>
    <row r="626" spans="2:13" hidden="1">
      <c r="B626">
        <v>624</v>
      </c>
      <c r="C626">
        <v>52</v>
      </c>
      <c r="D626">
        <v>85</v>
      </c>
      <c r="E626">
        <v>65</v>
      </c>
      <c r="F626">
        <v>0</v>
      </c>
      <c r="G626" t="s">
        <v>13</v>
      </c>
      <c r="H626" t="s">
        <v>9</v>
      </c>
      <c r="I626" t="s">
        <v>477</v>
      </c>
      <c r="J626" t="s">
        <v>214</v>
      </c>
      <c r="K626" t="s">
        <v>547</v>
      </c>
      <c r="M626" t="s">
        <v>6</v>
      </c>
    </row>
    <row r="627" spans="2:13" hidden="1">
      <c r="B627">
        <v>625</v>
      </c>
      <c r="C627">
        <v>52</v>
      </c>
      <c r="D627">
        <v>85</v>
      </c>
      <c r="E627">
        <v>66</v>
      </c>
      <c r="F627">
        <v>0</v>
      </c>
      <c r="G627" t="s">
        <v>13</v>
      </c>
      <c r="H627" t="s">
        <v>9</v>
      </c>
      <c r="I627" t="s">
        <v>477</v>
      </c>
      <c r="J627" t="s">
        <v>214</v>
      </c>
      <c r="K627" t="s">
        <v>548</v>
      </c>
      <c r="M627" t="s">
        <v>6</v>
      </c>
    </row>
    <row r="628" spans="2:13" hidden="1">
      <c r="B628">
        <v>626</v>
      </c>
      <c r="C628">
        <v>52</v>
      </c>
      <c r="D628">
        <v>85</v>
      </c>
      <c r="E628">
        <v>67</v>
      </c>
      <c r="F628">
        <v>0</v>
      </c>
      <c r="G628" t="s">
        <v>13</v>
      </c>
      <c r="H628" t="s">
        <v>9</v>
      </c>
      <c r="I628" t="s">
        <v>477</v>
      </c>
      <c r="J628" t="s">
        <v>214</v>
      </c>
      <c r="K628" t="s">
        <v>549</v>
      </c>
      <c r="M628" t="s">
        <v>6</v>
      </c>
    </row>
    <row r="629" spans="2:13" hidden="1">
      <c r="B629">
        <v>627</v>
      </c>
      <c r="C629">
        <v>52</v>
      </c>
      <c r="D629">
        <v>85</v>
      </c>
      <c r="E629">
        <v>68</v>
      </c>
      <c r="F629">
        <v>0</v>
      </c>
      <c r="G629" t="s">
        <v>13</v>
      </c>
      <c r="H629" t="s">
        <v>9</v>
      </c>
      <c r="I629" t="s">
        <v>477</v>
      </c>
      <c r="J629" t="s">
        <v>214</v>
      </c>
      <c r="K629" t="s">
        <v>550</v>
      </c>
      <c r="M629" t="s">
        <v>6</v>
      </c>
    </row>
    <row r="630" spans="2:13" hidden="1">
      <c r="B630">
        <v>628</v>
      </c>
      <c r="C630">
        <v>52</v>
      </c>
      <c r="D630">
        <v>85</v>
      </c>
      <c r="E630">
        <v>69</v>
      </c>
      <c r="F630">
        <v>0</v>
      </c>
      <c r="G630" t="s">
        <v>13</v>
      </c>
      <c r="H630" t="s">
        <v>9</v>
      </c>
      <c r="I630" t="s">
        <v>477</v>
      </c>
      <c r="J630" t="s">
        <v>55</v>
      </c>
      <c r="K630" t="s">
        <v>551</v>
      </c>
      <c r="M630" t="s">
        <v>6</v>
      </c>
    </row>
    <row r="631" spans="2:13" hidden="1">
      <c r="B631">
        <v>629</v>
      </c>
      <c r="C631">
        <v>52</v>
      </c>
      <c r="D631">
        <v>85</v>
      </c>
      <c r="E631">
        <v>70</v>
      </c>
      <c r="F631">
        <v>0</v>
      </c>
      <c r="G631" t="s">
        <v>13</v>
      </c>
      <c r="H631" t="s">
        <v>9</v>
      </c>
      <c r="I631" t="s">
        <v>477</v>
      </c>
      <c r="J631" t="s">
        <v>55</v>
      </c>
      <c r="K631" t="s">
        <v>552</v>
      </c>
      <c r="M631" t="s">
        <v>6</v>
      </c>
    </row>
    <row r="632" spans="2:13" hidden="1">
      <c r="B632">
        <v>630</v>
      </c>
      <c r="C632">
        <v>52</v>
      </c>
      <c r="D632">
        <v>85</v>
      </c>
      <c r="E632">
        <v>71</v>
      </c>
      <c r="F632">
        <v>0</v>
      </c>
      <c r="G632" t="s">
        <v>13</v>
      </c>
      <c r="H632" t="s">
        <v>9</v>
      </c>
      <c r="I632" t="s">
        <v>477</v>
      </c>
      <c r="J632" t="s">
        <v>214</v>
      </c>
      <c r="K632" t="s">
        <v>553</v>
      </c>
      <c r="M632" t="s">
        <v>6</v>
      </c>
    </row>
    <row r="633" spans="2:13" hidden="1">
      <c r="B633">
        <v>631</v>
      </c>
      <c r="C633">
        <v>52</v>
      </c>
      <c r="D633">
        <v>85</v>
      </c>
      <c r="E633">
        <v>72</v>
      </c>
      <c r="F633">
        <v>0</v>
      </c>
      <c r="G633" t="s">
        <v>13</v>
      </c>
      <c r="H633" t="s">
        <v>9</v>
      </c>
      <c r="I633" t="s">
        <v>477</v>
      </c>
      <c r="J633" t="s">
        <v>99</v>
      </c>
      <c r="K633" t="s">
        <v>554</v>
      </c>
      <c r="M633" t="s">
        <v>6</v>
      </c>
    </row>
    <row r="634" spans="2:13" hidden="1">
      <c r="B634">
        <v>632</v>
      </c>
      <c r="C634">
        <v>52</v>
      </c>
      <c r="D634">
        <v>85</v>
      </c>
      <c r="E634">
        <v>73</v>
      </c>
      <c r="F634">
        <v>0</v>
      </c>
      <c r="G634" t="s">
        <v>13</v>
      </c>
      <c r="H634" t="s">
        <v>9</v>
      </c>
      <c r="I634" t="s">
        <v>477</v>
      </c>
      <c r="J634" t="s">
        <v>99</v>
      </c>
      <c r="K634" t="s">
        <v>555</v>
      </c>
      <c r="M634" t="s">
        <v>6</v>
      </c>
    </row>
    <row r="635" spans="2:13" hidden="1">
      <c r="B635">
        <v>633</v>
      </c>
      <c r="C635">
        <v>52</v>
      </c>
      <c r="D635">
        <v>85</v>
      </c>
      <c r="E635">
        <v>74</v>
      </c>
      <c r="F635">
        <v>0</v>
      </c>
      <c r="G635" t="s">
        <v>13</v>
      </c>
      <c r="H635" t="s">
        <v>9</v>
      </c>
      <c r="I635" t="s">
        <v>477</v>
      </c>
      <c r="J635" t="s">
        <v>437</v>
      </c>
      <c r="K635" t="s">
        <v>556</v>
      </c>
      <c r="L635" t="s">
        <v>557</v>
      </c>
      <c r="M635" t="s">
        <v>6</v>
      </c>
    </row>
    <row r="636" spans="2:13" hidden="1">
      <c r="B636">
        <v>634</v>
      </c>
      <c r="C636">
        <v>52</v>
      </c>
      <c r="D636">
        <v>85</v>
      </c>
      <c r="E636">
        <v>75</v>
      </c>
      <c r="F636">
        <v>0</v>
      </c>
      <c r="G636" t="s">
        <v>13</v>
      </c>
      <c r="H636" t="s">
        <v>9</v>
      </c>
      <c r="I636" t="s">
        <v>477</v>
      </c>
      <c r="J636" t="s">
        <v>214</v>
      </c>
      <c r="K636" t="s">
        <v>558</v>
      </c>
      <c r="M636" t="s">
        <v>6</v>
      </c>
    </row>
    <row r="637" spans="2:13" hidden="1">
      <c r="B637">
        <v>635</v>
      </c>
      <c r="C637">
        <v>52</v>
      </c>
      <c r="D637">
        <v>85</v>
      </c>
      <c r="E637">
        <v>76</v>
      </c>
      <c r="F637">
        <v>0</v>
      </c>
      <c r="G637" t="s">
        <v>13</v>
      </c>
      <c r="H637" t="s">
        <v>9</v>
      </c>
      <c r="I637" t="s">
        <v>477</v>
      </c>
      <c r="J637" t="s">
        <v>479</v>
      </c>
      <c r="K637" t="s">
        <v>559</v>
      </c>
      <c r="L637" t="s">
        <v>481</v>
      </c>
      <c r="M637" t="s">
        <v>6</v>
      </c>
    </row>
    <row r="638" spans="2:13" hidden="1">
      <c r="B638">
        <v>636</v>
      </c>
      <c r="C638">
        <v>52</v>
      </c>
      <c r="D638">
        <v>85</v>
      </c>
      <c r="E638">
        <v>77</v>
      </c>
      <c r="F638">
        <v>0</v>
      </c>
      <c r="G638" t="s">
        <v>13</v>
      </c>
      <c r="H638" t="s">
        <v>9</v>
      </c>
      <c r="I638" t="s">
        <v>477</v>
      </c>
      <c r="J638" t="s">
        <v>55</v>
      </c>
      <c r="K638" t="s">
        <v>560</v>
      </c>
      <c r="M638" t="s">
        <v>6</v>
      </c>
    </row>
    <row r="639" spans="2:13" hidden="1">
      <c r="B639">
        <v>637</v>
      </c>
      <c r="C639">
        <v>52</v>
      </c>
      <c r="D639">
        <v>85</v>
      </c>
      <c r="E639">
        <v>78</v>
      </c>
      <c r="F639">
        <v>0</v>
      </c>
      <c r="G639" t="s">
        <v>13</v>
      </c>
      <c r="H639" t="s">
        <v>9</v>
      </c>
      <c r="I639" t="s">
        <v>477</v>
      </c>
      <c r="J639" t="s">
        <v>437</v>
      </c>
      <c r="K639" t="s">
        <v>561</v>
      </c>
      <c r="L639" t="s">
        <v>557</v>
      </c>
      <c r="M639" t="s">
        <v>6</v>
      </c>
    </row>
    <row r="640" spans="2:13" hidden="1">
      <c r="B640">
        <v>638</v>
      </c>
      <c r="C640">
        <v>52</v>
      </c>
      <c r="D640">
        <v>85</v>
      </c>
      <c r="E640">
        <v>79</v>
      </c>
      <c r="F640">
        <v>0</v>
      </c>
      <c r="G640" t="s">
        <v>13</v>
      </c>
      <c r="H640" t="s">
        <v>9</v>
      </c>
      <c r="I640" t="s">
        <v>477</v>
      </c>
      <c r="J640" t="s">
        <v>55</v>
      </c>
      <c r="K640" t="s">
        <v>562</v>
      </c>
      <c r="M640" t="s">
        <v>6</v>
      </c>
    </row>
    <row r="641" spans="2:13" hidden="1">
      <c r="B641">
        <v>639</v>
      </c>
      <c r="C641">
        <v>52</v>
      </c>
      <c r="D641">
        <v>85</v>
      </c>
      <c r="E641">
        <v>80</v>
      </c>
      <c r="F641">
        <v>0</v>
      </c>
      <c r="G641" t="s">
        <v>13</v>
      </c>
      <c r="H641" t="s">
        <v>9</v>
      </c>
      <c r="I641" t="s">
        <v>477</v>
      </c>
      <c r="J641" t="s">
        <v>214</v>
      </c>
      <c r="K641" t="s">
        <v>563</v>
      </c>
      <c r="M641" t="s">
        <v>6</v>
      </c>
    </row>
    <row r="642" spans="2:13" hidden="1">
      <c r="B642">
        <v>640</v>
      </c>
      <c r="C642">
        <v>52</v>
      </c>
      <c r="D642">
        <v>85</v>
      </c>
      <c r="E642">
        <v>81</v>
      </c>
      <c r="F642">
        <v>0</v>
      </c>
      <c r="G642" t="s">
        <v>13</v>
      </c>
      <c r="H642" t="s">
        <v>9</v>
      </c>
      <c r="I642" t="s">
        <v>477</v>
      </c>
      <c r="J642" t="s">
        <v>214</v>
      </c>
      <c r="K642" t="s">
        <v>564</v>
      </c>
      <c r="M642" t="s">
        <v>6</v>
      </c>
    </row>
    <row r="643" spans="2:13" hidden="1">
      <c r="B643">
        <v>641</v>
      </c>
      <c r="C643">
        <v>52</v>
      </c>
      <c r="D643">
        <v>85</v>
      </c>
      <c r="E643">
        <v>82</v>
      </c>
      <c r="F643">
        <v>0</v>
      </c>
      <c r="G643" t="s">
        <v>13</v>
      </c>
      <c r="H643" t="s">
        <v>9</v>
      </c>
      <c r="I643" t="s">
        <v>477</v>
      </c>
      <c r="J643" t="s">
        <v>55</v>
      </c>
      <c r="K643" t="s">
        <v>565</v>
      </c>
      <c r="M643" t="s">
        <v>6</v>
      </c>
    </row>
    <row r="644" spans="2:13" hidden="1">
      <c r="B644">
        <v>642</v>
      </c>
      <c r="C644">
        <v>52</v>
      </c>
      <c r="D644">
        <v>85</v>
      </c>
      <c r="E644">
        <v>83</v>
      </c>
      <c r="F644">
        <v>0</v>
      </c>
      <c r="G644" t="s">
        <v>13</v>
      </c>
      <c r="H644" t="s">
        <v>9</v>
      </c>
      <c r="I644" t="s">
        <v>477</v>
      </c>
      <c r="J644" t="s">
        <v>64</v>
      </c>
      <c r="K644" t="s">
        <v>422</v>
      </c>
      <c r="M644" t="s">
        <v>6</v>
      </c>
    </row>
    <row r="645" spans="2:13" hidden="1">
      <c r="B645">
        <v>643</v>
      </c>
      <c r="C645">
        <v>52</v>
      </c>
      <c r="D645">
        <v>85</v>
      </c>
      <c r="E645">
        <v>84</v>
      </c>
      <c r="F645">
        <v>0</v>
      </c>
      <c r="G645" t="s">
        <v>13</v>
      </c>
      <c r="H645" t="s">
        <v>9</v>
      </c>
      <c r="I645" t="s">
        <v>477</v>
      </c>
      <c r="J645" t="s">
        <v>55</v>
      </c>
      <c r="K645" t="s">
        <v>93</v>
      </c>
      <c r="M645" t="s">
        <v>6</v>
      </c>
    </row>
    <row r="646" spans="2:13" hidden="1">
      <c r="B646">
        <v>644</v>
      </c>
      <c r="C646">
        <v>52</v>
      </c>
      <c r="D646">
        <v>85</v>
      </c>
      <c r="E646">
        <v>85</v>
      </c>
      <c r="F646">
        <v>0</v>
      </c>
      <c r="G646" t="s">
        <v>13</v>
      </c>
      <c r="H646" t="s">
        <v>9</v>
      </c>
      <c r="I646" t="s">
        <v>477</v>
      </c>
      <c r="J646" t="s">
        <v>64</v>
      </c>
      <c r="K646" t="s">
        <v>94</v>
      </c>
      <c r="M646" t="s">
        <v>6</v>
      </c>
    </row>
    <row r="647" spans="2:13" hidden="1">
      <c r="B647">
        <v>645</v>
      </c>
      <c r="C647">
        <v>53</v>
      </c>
      <c r="D647">
        <v>13</v>
      </c>
      <c r="E647">
        <v>0</v>
      </c>
      <c r="F647">
        <v>0</v>
      </c>
      <c r="G647" t="s">
        <v>13</v>
      </c>
      <c r="H647" t="s">
        <v>9</v>
      </c>
      <c r="I647" t="s">
        <v>566</v>
      </c>
      <c r="J647" t="s">
        <v>54</v>
      </c>
      <c r="K647" t="s">
        <v>566</v>
      </c>
      <c r="M647" t="s">
        <v>6</v>
      </c>
    </row>
    <row r="648" spans="2:13" hidden="1">
      <c r="B648">
        <v>646</v>
      </c>
      <c r="C648">
        <v>53</v>
      </c>
      <c r="D648">
        <v>13</v>
      </c>
      <c r="E648">
        <v>1</v>
      </c>
      <c r="F648">
        <v>0</v>
      </c>
      <c r="G648" t="s">
        <v>13</v>
      </c>
      <c r="H648" t="s">
        <v>9</v>
      </c>
      <c r="I648" t="s">
        <v>566</v>
      </c>
      <c r="J648" t="s">
        <v>55</v>
      </c>
      <c r="K648" t="s">
        <v>567</v>
      </c>
      <c r="M648" t="s">
        <v>6</v>
      </c>
    </row>
    <row r="649" spans="2:13" hidden="1">
      <c r="B649">
        <v>647</v>
      </c>
      <c r="C649">
        <v>53</v>
      </c>
      <c r="D649">
        <v>13</v>
      </c>
      <c r="E649">
        <v>2</v>
      </c>
      <c r="F649">
        <v>0</v>
      </c>
      <c r="G649" t="s">
        <v>13</v>
      </c>
      <c r="H649" t="s">
        <v>9</v>
      </c>
      <c r="I649" t="s">
        <v>566</v>
      </c>
      <c r="J649" t="s">
        <v>214</v>
      </c>
      <c r="K649" t="s">
        <v>568</v>
      </c>
      <c r="M649" t="s">
        <v>6</v>
      </c>
    </row>
    <row r="650" spans="2:13" hidden="1">
      <c r="B650">
        <v>648</v>
      </c>
      <c r="C650">
        <v>53</v>
      </c>
      <c r="D650">
        <v>13</v>
      </c>
      <c r="E650">
        <v>3</v>
      </c>
      <c r="F650">
        <v>0</v>
      </c>
      <c r="G650" t="s">
        <v>13</v>
      </c>
      <c r="H650" t="s">
        <v>9</v>
      </c>
      <c r="I650" t="s">
        <v>566</v>
      </c>
      <c r="J650" t="s">
        <v>214</v>
      </c>
      <c r="K650" t="s">
        <v>569</v>
      </c>
      <c r="M650" t="s">
        <v>6</v>
      </c>
    </row>
    <row r="651" spans="2:13" hidden="1">
      <c r="B651">
        <v>649</v>
      </c>
      <c r="C651">
        <v>53</v>
      </c>
      <c r="D651">
        <v>13</v>
      </c>
      <c r="E651">
        <v>4</v>
      </c>
      <c r="F651">
        <v>0</v>
      </c>
      <c r="G651" t="s">
        <v>13</v>
      </c>
      <c r="H651" t="s">
        <v>9</v>
      </c>
      <c r="I651" t="s">
        <v>566</v>
      </c>
      <c r="J651" t="s">
        <v>214</v>
      </c>
      <c r="K651" t="s">
        <v>570</v>
      </c>
      <c r="M651" t="s">
        <v>6</v>
      </c>
    </row>
    <row r="652" spans="2:13" hidden="1">
      <c r="B652">
        <v>650</v>
      </c>
      <c r="C652">
        <v>53</v>
      </c>
      <c r="D652">
        <v>13</v>
      </c>
      <c r="E652">
        <v>5</v>
      </c>
      <c r="F652">
        <v>0</v>
      </c>
      <c r="G652" t="s">
        <v>13</v>
      </c>
      <c r="H652" t="s">
        <v>9</v>
      </c>
      <c r="I652" t="s">
        <v>566</v>
      </c>
      <c r="J652" t="s">
        <v>214</v>
      </c>
      <c r="K652" t="s">
        <v>571</v>
      </c>
      <c r="M652" t="s">
        <v>6</v>
      </c>
    </row>
    <row r="653" spans="2:13" hidden="1">
      <c r="B653">
        <v>651</v>
      </c>
      <c r="C653">
        <v>53</v>
      </c>
      <c r="D653">
        <v>13</v>
      </c>
      <c r="E653">
        <v>6</v>
      </c>
      <c r="F653">
        <v>0</v>
      </c>
      <c r="G653" t="s">
        <v>13</v>
      </c>
      <c r="H653" t="s">
        <v>9</v>
      </c>
      <c r="I653" t="s">
        <v>566</v>
      </c>
      <c r="J653" t="s">
        <v>214</v>
      </c>
      <c r="K653" t="s">
        <v>572</v>
      </c>
      <c r="M653" t="s">
        <v>6</v>
      </c>
    </row>
    <row r="654" spans="2:13" hidden="1">
      <c r="B654">
        <v>652</v>
      </c>
      <c r="C654">
        <v>53</v>
      </c>
      <c r="D654">
        <v>13</v>
      </c>
      <c r="E654">
        <v>7</v>
      </c>
      <c r="F654">
        <v>0</v>
      </c>
      <c r="G654" t="s">
        <v>13</v>
      </c>
      <c r="H654" t="s">
        <v>9</v>
      </c>
      <c r="I654" t="s">
        <v>566</v>
      </c>
      <c r="J654" t="s">
        <v>214</v>
      </c>
      <c r="K654" t="s">
        <v>573</v>
      </c>
      <c r="M654" t="s">
        <v>6</v>
      </c>
    </row>
    <row r="655" spans="2:13" hidden="1">
      <c r="B655">
        <v>653</v>
      </c>
      <c r="C655">
        <v>53</v>
      </c>
      <c r="D655">
        <v>13</v>
      </c>
      <c r="E655">
        <v>8</v>
      </c>
      <c r="F655">
        <v>0</v>
      </c>
      <c r="G655" t="s">
        <v>13</v>
      </c>
      <c r="H655" t="s">
        <v>9</v>
      </c>
      <c r="I655" t="s">
        <v>566</v>
      </c>
      <c r="J655" t="s">
        <v>55</v>
      </c>
      <c r="K655" t="s">
        <v>574</v>
      </c>
      <c r="M655" t="s">
        <v>6</v>
      </c>
    </row>
    <row r="656" spans="2:13" hidden="1">
      <c r="B656">
        <v>654</v>
      </c>
      <c r="C656">
        <v>53</v>
      </c>
      <c r="D656">
        <v>13</v>
      </c>
      <c r="E656">
        <v>9</v>
      </c>
      <c r="F656">
        <v>0</v>
      </c>
      <c r="G656" t="s">
        <v>13</v>
      </c>
      <c r="H656" t="s">
        <v>9</v>
      </c>
      <c r="I656" t="s">
        <v>566</v>
      </c>
      <c r="J656" t="s">
        <v>55</v>
      </c>
      <c r="K656" t="s">
        <v>575</v>
      </c>
      <c r="M656" t="s">
        <v>6</v>
      </c>
    </row>
    <row r="657" spans="2:13" hidden="1">
      <c r="B657">
        <v>655</v>
      </c>
      <c r="C657">
        <v>53</v>
      </c>
      <c r="D657">
        <v>13</v>
      </c>
      <c r="E657">
        <v>10</v>
      </c>
      <c r="F657">
        <v>0</v>
      </c>
      <c r="G657" t="s">
        <v>13</v>
      </c>
      <c r="H657" t="s">
        <v>9</v>
      </c>
      <c r="I657" t="s">
        <v>566</v>
      </c>
      <c r="J657" t="s">
        <v>55</v>
      </c>
      <c r="K657" t="s">
        <v>576</v>
      </c>
      <c r="M657" t="s">
        <v>6</v>
      </c>
    </row>
    <row r="658" spans="2:13" hidden="1">
      <c r="B658">
        <v>656</v>
      </c>
      <c r="C658">
        <v>53</v>
      </c>
      <c r="D658">
        <v>13</v>
      </c>
      <c r="E658">
        <v>11</v>
      </c>
      <c r="F658">
        <v>0</v>
      </c>
      <c r="G658" t="s">
        <v>13</v>
      </c>
      <c r="H658" t="s">
        <v>9</v>
      </c>
      <c r="I658" t="s">
        <v>566</v>
      </c>
      <c r="J658" t="s">
        <v>55</v>
      </c>
      <c r="K658" t="s">
        <v>577</v>
      </c>
      <c r="M658" t="s">
        <v>6</v>
      </c>
    </row>
    <row r="659" spans="2:13" hidden="1">
      <c r="B659">
        <v>657</v>
      </c>
      <c r="C659">
        <v>53</v>
      </c>
      <c r="D659">
        <v>13</v>
      </c>
      <c r="E659">
        <v>12</v>
      </c>
      <c r="F659">
        <v>0</v>
      </c>
      <c r="G659" t="s">
        <v>13</v>
      </c>
      <c r="H659" t="s">
        <v>9</v>
      </c>
      <c r="I659" t="s">
        <v>566</v>
      </c>
      <c r="J659" t="s">
        <v>55</v>
      </c>
      <c r="K659" t="s">
        <v>93</v>
      </c>
      <c r="M659" t="s">
        <v>6</v>
      </c>
    </row>
    <row r="660" spans="2:13" hidden="1">
      <c r="B660">
        <v>658</v>
      </c>
      <c r="C660">
        <v>53</v>
      </c>
      <c r="D660">
        <v>13</v>
      </c>
      <c r="E660">
        <v>13</v>
      </c>
      <c r="F660">
        <v>0</v>
      </c>
      <c r="G660" t="s">
        <v>13</v>
      </c>
      <c r="H660" t="s">
        <v>9</v>
      </c>
      <c r="I660" t="s">
        <v>566</v>
      </c>
      <c r="J660" t="s">
        <v>64</v>
      </c>
      <c r="K660" t="s">
        <v>94</v>
      </c>
      <c r="M660" t="s">
        <v>6</v>
      </c>
    </row>
    <row r="661" spans="2:13" hidden="1">
      <c r="B661">
        <v>659</v>
      </c>
      <c r="C661">
        <v>54</v>
      </c>
      <c r="D661">
        <v>9</v>
      </c>
      <c r="E661">
        <v>0</v>
      </c>
      <c r="F661">
        <v>0</v>
      </c>
      <c r="G661" t="s">
        <v>13</v>
      </c>
      <c r="H661" t="s">
        <v>9</v>
      </c>
      <c r="I661" t="s">
        <v>578</v>
      </c>
      <c r="J661" t="s">
        <v>54</v>
      </c>
      <c r="K661" t="s">
        <v>578</v>
      </c>
      <c r="M661" t="s">
        <v>6</v>
      </c>
    </row>
    <row r="662" spans="2:13" hidden="1">
      <c r="B662">
        <v>660</v>
      </c>
      <c r="C662">
        <v>54</v>
      </c>
      <c r="D662">
        <v>9</v>
      </c>
      <c r="E662">
        <v>1</v>
      </c>
      <c r="F662">
        <v>0</v>
      </c>
      <c r="G662" t="s">
        <v>13</v>
      </c>
      <c r="H662" t="s">
        <v>9</v>
      </c>
      <c r="I662" t="s">
        <v>578</v>
      </c>
      <c r="J662" t="s">
        <v>55</v>
      </c>
      <c r="K662" t="s">
        <v>461</v>
      </c>
      <c r="M662" t="s">
        <v>6</v>
      </c>
    </row>
    <row r="663" spans="2:13" hidden="1">
      <c r="B663">
        <v>661</v>
      </c>
      <c r="C663">
        <v>54</v>
      </c>
      <c r="D663">
        <v>9</v>
      </c>
      <c r="E663">
        <v>2</v>
      </c>
      <c r="F663">
        <v>0</v>
      </c>
      <c r="G663" t="s">
        <v>13</v>
      </c>
      <c r="H663" t="s">
        <v>9</v>
      </c>
      <c r="I663" t="s">
        <v>578</v>
      </c>
      <c r="J663" t="s">
        <v>55</v>
      </c>
      <c r="K663" t="s">
        <v>579</v>
      </c>
      <c r="M663" t="s">
        <v>6</v>
      </c>
    </row>
    <row r="664" spans="2:13" hidden="1">
      <c r="B664">
        <v>662</v>
      </c>
      <c r="C664">
        <v>54</v>
      </c>
      <c r="D664">
        <v>9</v>
      </c>
      <c r="E664">
        <v>3</v>
      </c>
      <c r="F664">
        <v>0</v>
      </c>
      <c r="G664" t="s">
        <v>13</v>
      </c>
      <c r="H664" t="s">
        <v>9</v>
      </c>
      <c r="I664" t="s">
        <v>578</v>
      </c>
      <c r="J664" t="s">
        <v>55</v>
      </c>
      <c r="K664" t="s">
        <v>580</v>
      </c>
      <c r="M664" t="s">
        <v>6</v>
      </c>
    </row>
    <row r="665" spans="2:13" hidden="1">
      <c r="B665">
        <v>663</v>
      </c>
      <c r="C665">
        <v>54</v>
      </c>
      <c r="D665">
        <v>9</v>
      </c>
      <c r="E665">
        <v>4</v>
      </c>
      <c r="F665">
        <v>0</v>
      </c>
      <c r="G665" t="s">
        <v>13</v>
      </c>
      <c r="H665" t="s">
        <v>9</v>
      </c>
      <c r="I665" t="s">
        <v>578</v>
      </c>
      <c r="J665" t="s">
        <v>55</v>
      </c>
      <c r="K665" t="s">
        <v>581</v>
      </c>
      <c r="M665" t="s">
        <v>6</v>
      </c>
    </row>
    <row r="666" spans="2:13" hidden="1">
      <c r="B666">
        <v>664</v>
      </c>
      <c r="C666">
        <v>54</v>
      </c>
      <c r="D666">
        <v>9</v>
      </c>
      <c r="E666">
        <v>5</v>
      </c>
      <c r="F666">
        <v>0</v>
      </c>
      <c r="G666" t="s">
        <v>13</v>
      </c>
      <c r="H666" t="s">
        <v>9</v>
      </c>
      <c r="I666" t="s">
        <v>578</v>
      </c>
      <c r="J666" t="s">
        <v>55</v>
      </c>
      <c r="K666" t="s">
        <v>582</v>
      </c>
      <c r="M666" t="s">
        <v>6</v>
      </c>
    </row>
    <row r="667" spans="2:13" hidden="1">
      <c r="B667">
        <v>665</v>
      </c>
      <c r="C667">
        <v>54</v>
      </c>
      <c r="D667">
        <v>9</v>
      </c>
      <c r="E667">
        <v>6</v>
      </c>
      <c r="F667">
        <v>0</v>
      </c>
      <c r="G667" t="s">
        <v>13</v>
      </c>
      <c r="H667" t="s">
        <v>9</v>
      </c>
      <c r="I667" t="s">
        <v>578</v>
      </c>
      <c r="J667" t="s">
        <v>99</v>
      </c>
      <c r="K667" t="s">
        <v>464</v>
      </c>
      <c r="M667" t="s">
        <v>6</v>
      </c>
    </row>
    <row r="668" spans="2:13" hidden="1">
      <c r="B668">
        <v>666</v>
      </c>
      <c r="C668">
        <v>54</v>
      </c>
      <c r="D668">
        <v>9</v>
      </c>
      <c r="E668">
        <v>7</v>
      </c>
      <c r="F668">
        <v>0</v>
      </c>
      <c r="G668" t="s">
        <v>13</v>
      </c>
      <c r="H668" t="s">
        <v>9</v>
      </c>
      <c r="I668" t="s">
        <v>578</v>
      </c>
      <c r="J668" t="s">
        <v>99</v>
      </c>
      <c r="K668" t="s">
        <v>445</v>
      </c>
      <c r="M668" t="s">
        <v>6</v>
      </c>
    </row>
    <row r="669" spans="2:13" hidden="1">
      <c r="B669">
        <v>667</v>
      </c>
      <c r="C669">
        <v>54</v>
      </c>
      <c r="D669">
        <v>9</v>
      </c>
      <c r="E669">
        <v>8</v>
      </c>
      <c r="F669">
        <v>0</v>
      </c>
      <c r="G669" t="s">
        <v>13</v>
      </c>
      <c r="H669" t="s">
        <v>9</v>
      </c>
      <c r="I669" t="s">
        <v>578</v>
      </c>
      <c r="J669" t="s">
        <v>55</v>
      </c>
      <c r="K669" t="s">
        <v>93</v>
      </c>
      <c r="M669" t="s">
        <v>6</v>
      </c>
    </row>
    <row r="670" spans="2:13" hidden="1">
      <c r="B670">
        <v>668</v>
      </c>
      <c r="C670">
        <v>54</v>
      </c>
      <c r="D670">
        <v>9</v>
      </c>
      <c r="E670">
        <v>9</v>
      </c>
      <c r="F670">
        <v>0</v>
      </c>
      <c r="G670" t="s">
        <v>13</v>
      </c>
      <c r="H670" t="s">
        <v>9</v>
      </c>
      <c r="I670" t="s">
        <v>578</v>
      </c>
      <c r="J670" t="s">
        <v>64</v>
      </c>
      <c r="K670" t="s">
        <v>94</v>
      </c>
      <c r="M670" t="s">
        <v>6</v>
      </c>
    </row>
    <row r="671" spans="2:13" hidden="1">
      <c r="B671">
        <v>669</v>
      </c>
      <c r="C671">
        <v>55</v>
      </c>
      <c r="D671">
        <v>4</v>
      </c>
      <c r="E671">
        <v>0</v>
      </c>
      <c r="F671">
        <v>0</v>
      </c>
      <c r="G671" t="s">
        <v>13</v>
      </c>
      <c r="H671" t="s">
        <v>9</v>
      </c>
      <c r="I671" t="s">
        <v>583</v>
      </c>
      <c r="J671" t="s">
        <v>54</v>
      </c>
      <c r="K671" t="s">
        <v>583</v>
      </c>
      <c r="M671" t="s">
        <v>6</v>
      </c>
    </row>
    <row r="672" spans="2:13" hidden="1">
      <c r="B672">
        <v>670</v>
      </c>
      <c r="C672">
        <v>55</v>
      </c>
      <c r="D672">
        <v>4</v>
      </c>
      <c r="E672">
        <v>1</v>
      </c>
      <c r="F672">
        <v>0</v>
      </c>
      <c r="G672" t="s">
        <v>13</v>
      </c>
      <c r="H672" t="s">
        <v>9</v>
      </c>
      <c r="I672" t="s">
        <v>583</v>
      </c>
      <c r="J672" t="s">
        <v>55</v>
      </c>
      <c r="K672" t="s">
        <v>584</v>
      </c>
      <c r="M672" t="s">
        <v>6</v>
      </c>
    </row>
    <row r="673" spans="2:13" hidden="1">
      <c r="B673">
        <v>671</v>
      </c>
      <c r="C673">
        <v>55</v>
      </c>
      <c r="D673">
        <v>4</v>
      </c>
      <c r="E673">
        <v>2</v>
      </c>
      <c r="F673">
        <v>0</v>
      </c>
      <c r="G673" t="s">
        <v>13</v>
      </c>
      <c r="H673" t="s">
        <v>9</v>
      </c>
      <c r="I673" t="s">
        <v>583</v>
      </c>
      <c r="J673" t="s">
        <v>55</v>
      </c>
      <c r="K673" t="s">
        <v>585</v>
      </c>
      <c r="M673" t="s">
        <v>6</v>
      </c>
    </row>
    <row r="674" spans="2:13" hidden="1">
      <c r="B674">
        <v>672</v>
      </c>
      <c r="C674">
        <v>55</v>
      </c>
      <c r="D674">
        <v>4</v>
      </c>
      <c r="E674">
        <v>3</v>
      </c>
      <c r="F674">
        <v>0</v>
      </c>
      <c r="G674" t="s">
        <v>13</v>
      </c>
      <c r="H674" t="s">
        <v>9</v>
      </c>
      <c r="I674" t="s">
        <v>583</v>
      </c>
      <c r="J674" t="s">
        <v>55</v>
      </c>
      <c r="K674" t="s">
        <v>93</v>
      </c>
      <c r="M674" t="s">
        <v>6</v>
      </c>
    </row>
    <row r="675" spans="2:13" hidden="1">
      <c r="B675">
        <v>673</v>
      </c>
      <c r="C675">
        <v>55</v>
      </c>
      <c r="D675">
        <v>4</v>
      </c>
      <c r="E675">
        <v>4</v>
      </c>
      <c r="F675">
        <v>0</v>
      </c>
      <c r="G675" t="s">
        <v>13</v>
      </c>
      <c r="H675" t="s">
        <v>9</v>
      </c>
      <c r="I675" t="s">
        <v>583</v>
      </c>
      <c r="J675" t="s">
        <v>64</v>
      </c>
      <c r="K675" t="s">
        <v>94</v>
      </c>
      <c r="M675" t="s">
        <v>6</v>
      </c>
    </row>
    <row r="676" spans="2:13" hidden="1">
      <c r="B676">
        <v>674</v>
      </c>
      <c r="C676">
        <v>56</v>
      </c>
      <c r="D676">
        <v>7</v>
      </c>
      <c r="E676">
        <v>0</v>
      </c>
      <c r="F676">
        <v>0</v>
      </c>
      <c r="G676" t="s">
        <v>13</v>
      </c>
      <c r="H676" t="s">
        <v>9</v>
      </c>
      <c r="I676" t="s">
        <v>586</v>
      </c>
      <c r="J676" t="s">
        <v>54</v>
      </c>
      <c r="K676" t="s">
        <v>586</v>
      </c>
      <c r="M676" t="s">
        <v>6</v>
      </c>
    </row>
    <row r="677" spans="2:13" hidden="1">
      <c r="B677">
        <v>675</v>
      </c>
      <c r="C677">
        <v>56</v>
      </c>
      <c r="D677">
        <v>7</v>
      </c>
      <c r="E677">
        <v>1</v>
      </c>
      <c r="F677">
        <v>0</v>
      </c>
      <c r="G677" t="s">
        <v>13</v>
      </c>
      <c r="H677" t="s">
        <v>9</v>
      </c>
      <c r="I677" t="s">
        <v>586</v>
      </c>
      <c r="J677" t="s">
        <v>55</v>
      </c>
      <c r="K677" t="s">
        <v>587</v>
      </c>
      <c r="M677" t="s">
        <v>6</v>
      </c>
    </row>
    <row r="678" spans="2:13" hidden="1">
      <c r="B678">
        <v>676</v>
      </c>
      <c r="C678">
        <v>56</v>
      </c>
      <c r="D678">
        <v>7</v>
      </c>
      <c r="E678">
        <v>2</v>
      </c>
      <c r="F678">
        <v>0</v>
      </c>
      <c r="G678" t="s">
        <v>13</v>
      </c>
      <c r="H678" t="s">
        <v>9</v>
      </c>
      <c r="I678" t="s">
        <v>586</v>
      </c>
      <c r="J678" t="s">
        <v>55</v>
      </c>
      <c r="K678" t="s">
        <v>588</v>
      </c>
      <c r="M678" t="s">
        <v>6</v>
      </c>
    </row>
    <row r="679" spans="2:13" hidden="1">
      <c r="B679">
        <v>677</v>
      </c>
      <c r="C679">
        <v>56</v>
      </c>
      <c r="D679">
        <v>7</v>
      </c>
      <c r="E679">
        <v>3</v>
      </c>
      <c r="F679">
        <v>0</v>
      </c>
      <c r="G679" t="s">
        <v>13</v>
      </c>
      <c r="H679" t="s">
        <v>9</v>
      </c>
      <c r="I679" t="s">
        <v>586</v>
      </c>
      <c r="J679" t="s">
        <v>55</v>
      </c>
      <c r="K679" t="s">
        <v>589</v>
      </c>
      <c r="M679" t="s">
        <v>6</v>
      </c>
    </row>
    <row r="680" spans="2:13" hidden="1">
      <c r="B680">
        <v>678</v>
      </c>
      <c r="C680">
        <v>56</v>
      </c>
      <c r="D680">
        <v>7</v>
      </c>
      <c r="E680">
        <v>4</v>
      </c>
      <c r="F680">
        <v>0</v>
      </c>
      <c r="G680" t="s">
        <v>13</v>
      </c>
      <c r="H680" t="s">
        <v>9</v>
      </c>
      <c r="I680" t="s">
        <v>586</v>
      </c>
      <c r="J680" t="s">
        <v>55</v>
      </c>
      <c r="K680" t="s">
        <v>590</v>
      </c>
      <c r="M680" t="s">
        <v>6</v>
      </c>
    </row>
    <row r="681" spans="2:13" hidden="1">
      <c r="B681">
        <v>679</v>
      </c>
      <c r="C681">
        <v>56</v>
      </c>
      <c r="D681">
        <v>7</v>
      </c>
      <c r="E681">
        <v>5</v>
      </c>
      <c r="F681">
        <v>0</v>
      </c>
      <c r="G681" t="s">
        <v>13</v>
      </c>
      <c r="H681" t="s">
        <v>9</v>
      </c>
      <c r="I681" t="s">
        <v>586</v>
      </c>
      <c r="J681" t="s">
        <v>55</v>
      </c>
      <c r="K681" t="s">
        <v>591</v>
      </c>
      <c r="M681" t="s">
        <v>6</v>
      </c>
    </row>
    <row r="682" spans="2:13" hidden="1">
      <c r="B682">
        <v>680</v>
      </c>
      <c r="C682">
        <v>56</v>
      </c>
      <c r="D682">
        <v>7</v>
      </c>
      <c r="E682">
        <v>6</v>
      </c>
      <c r="F682">
        <v>0</v>
      </c>
      <c r="G682" t="s">
        <v>13</v>
      </c>
      <c r="H682" t="s">
        <v>9</v>
      </c>
      <c r="I682" t="s">
        <v>586</v>
      </c>
      <c r="J682" t="s">
        <v>55</v>
      </c>
      <c r="K682" t="s">
        <v>93</v>
      </c>
      <c r="M682" t="s">
        <v>6</v>
      </c>
    </row>
    <row r="683" spans="2:13" hidden="1">
      <c r="B683">
        <v>681</v>
      </c>
      <c r="C683">
        <v>56</v>
      </c>
      <c r="D683">
        <v>7</v>
      </c>
      <c r="E683">
        <v>7</v>
      </c>
      <c r="F683">
        <v>0</v>
      </c>
      <c r="G683" t="s">
        <v>13</v>
      </c>
      <c r="H683" t="s">
        <v>9</v>
      </c>
      <c r="I683" t="s">
        <v>586</v>
      </c>
      <c r="J683" t="s">
        <v>64</v>
      </c>
      <c r="K683" t="s">
        <v>94</v>
      </c>
      <c r="M683" t="s">
        <v>6</v>
      </c>
    </row>
    <row r="684" spans="2:13" hidden="1">
      <c r="B684">
        <v>682</v>
      </c>
      <c r="C684">
        <v>57</v>
      </c>
      <c r="D684">
        <v>7</v>
      </c>
      <c r="E684">
        <v>0</v>
      </c>
      <c r="F684">
        <v>0</v>
      </c>
      <c r="G684" t="s">
        <v>13</v>
      </c>
      <c r="H684" t="s">
        <v>9</v>
      </c>
      <c r="I684" t="s">
        <v>592</v>
      </c>
      <c r="J684" t="s">
        <v>54</v>
      </c>
      <c r="K684" t="s">
        <v>592</v>
      </c>
      <c r="M684" t="s">
        <v>6</v>
      </c>
    </row>
    <row r="685" spans="2:13" hidden="1">
      <c r="B685">
        <v>683</v>
      </c>
      <c r="C685">
        <v>57</v>
      </c>
      <c r="D685">
        <v>7</v>
      </c>
      <c r="E685">
        <v>1</v>
      </c>
      <c r="F685">
        <v>0</v>
      </c>
      <c r="G685" t="s">
        <v>13</v>
      </c>
      <c r="H685" t="s">
        <v>9</v>
      </c>
      <c r="I685" t="s">
        <v>592</v>
      </c>
      <c r="J685" t="s">
        <v>55</v>
      </c>
      <c r="K685" t="s">
        <v>593</v>
      </c>
      <c r="M685" t="s">
        <v>6</v>
      </c>
    </row>
    <row r="686" spans="2:13" hidden="1">
      <c r="B686">
        <v>684</v>
      </c>
      <c r="C686">
        <v>57</v>
      </c>
      <c r="D686">
        <v>7</v>
      </c>
      <c r="E686">
        <v>2</v>
      </c>
      <c r="F686">
        <v>0</v>
      </c>
      <c r="G686" t="s">
        <v>13</v>
      </c>
      <c r="H686" t="s">
        <v>9</v>
      </c>
      <c r="I686" t="s">
        <v>592</v>
      </c>
      <c r="J686" t="s">
        <v>55</v>
      </c>
      <c r="K686" t="s">
        <v>594</v>
      </c>
      <c r="M686" t="s">
        <v>6</v>
      </c>
    </row>
    <row r="687" spans="2:13" hidden="1">
      <c r="B687">
        <v>685</v>
      </c>
      <c r="C687">
        <v>57</v>
      </c>
      <c r="D687">
        <v>7</v>
      </c>
      <c r="E687">
        <v>3</v>
      </c>
      <c r="F687">
        <v>0</v>
      </c>
      <c r="G687" t="s">
        <v>13</v>
      </c>
      <c r="H687" t="s">
        <v>9</v>
      </c>
      <c r="I687" t="s">
        <v>592</v>
      </c>
      <c r="J687" t="s">
        <v>55</v>
      </c>
      <c r="K687" t="s">
        <v>595</v>
      </c>
      <c r="M687" t="s">
        <v>6</v>
      </c>
    </row>
    <row r="688" spans="2:13" hidden="1">
      <c r="B688">
        <v>686</v>
      </c>
      <c r="C688">
        <v>57</v>
      </c>
      <c r="D688">
        <v>7</v>
      </c>
      <c r="E688">
        <v>4</v>
      </c>
      <c r="F688">
        <v>0</v>
      </c>
      <c r="G688" t="s">
        <v>13</v>
      </c>
      <c r="H688" t="s">
        <v>9</v>
      </c>
      <c r="I688" t="s">
        <v>592</v>
      </c>
      <c r="J688" t="s">
        <v>55</v>
      </c>
      <c r="K688" t="s">
        <v>596</v>
      </c>
      <c r="M688" t="s">
        <v>6</v>
      </c>
    </row>
    <row r="689" spans="2:13" hidden="1">
      <c r="B689">
        <v>687</v>
      </c>
      <c r="C689">
        <v>57</v>
      </c>
      <c r="D689">
        <v>7</v>
      </c>
      <c r="E689">
        <v>5</v>
      </c>
      <c r="F689">
        <v>0</v>
      </c>
      <c r="G689" t="s">
        <v>13</v>
      </c>
      <c r="H689" t="s">
        <v>9</v>
      </c>
      <c r="I689" t="s">
        <v>592</v>
      </c>
      <c r="J689" t="s">
        <v>55</v>
      </c>
      <c r="K689" t="s">
        <v>597</v>
      </c>
      <c r="M689" t="s">
        <v>6</v>
      </c>
    </row>
    <row r="690" spans="2:13" hidden="1">
      <c r="B690">
        <v>688</v>
      </c>
      <c r="C690">
        <v>57</v>
      </c>
      <c r="D690">
        <v>7</v>
      </c>
      <c r="E690">
        <v>6</v>
      </c>
      <c r="F690">
        <v>0</v>
      </c>
      <c r="G690" t="s">
        <v>13</v>
      </c>
      <c r="H690" t="s">
        <v>9</v>
      </c>
      <c r="I690" t="s">
        <v>592</v>
      </c>
      <c r="J690" t="s">
        <v>55</v>
      </c>
      <c r="K690" t="s">
        <v>93</v>
      </c>
      <c r="M690" t="s">
        <v>6</v>
      </c>
    </row>
    <row r="691" spans="2:13" hidden="1">
      <c r="B691">
        <v>689</v>
      </c>
      <c r="C691">
        <v>57</v>
      </c>
      <c r="D691">
        <v>7</v>
      </c>
      <c r="E691">
        <v>7</v>
      </c>
      <c r="F691">
        <v>0</v>
      </c>
      <c r="G691" t="s">
        <v>13</v>
      </c>
      <c r="H691" t="s">
        <v>9</v>
      </c>
      <c r="I691" t="s">
        <v>592</v>
      </c>
      <c r="J691" t="s">
        <v>64</v>
      </c>
      <c r="K691" t="s">
        <v>94</v>
      </c>
      <c r="M691" t="s">
        <v>6</v>
      </c>
    </row>
    <row r="692" spans="2:13" hidden="1">
      <c r="B692">
        <v>690</v>
      </c>
      <c r="C692">
        <v>58</v>
      </c>
      <c r="D692">
        <v>11</v>
      </c>
      <c r="E692">
        <v>0</v>
      </c>
      <c r="F692">
        <v>0</v>
      </c>
      <c r="G692" t="s">
        <v>13</v>
      </c>
      <c r="H692" t="s">
        <v>9</v>
      </c>
      <c r="I692" t="s">
        <v>598</v>
      </c>
      <c r="J692" t="s">
        <v>54</v>
      </c>
      <c r="K692" t="s">
        <v>598</v>
      </c>
      <c r="M692" t="s">
        <v>6</v>
      </c>
    </row>
    <row r="693" spans="2:13" hidden="1">
      <c r="B693">
        <v>691</v>
      </c>
      <c r="C693">
        <v>58</v>
      </c>
      <c r="D693">
        <v>11</v>
      </c>
      <c r="E693">
        <v>1</v>
      </c>
      <c r="F693">
        <v>0</v>
      </c>
      <c r="G693" t="s">
        <v>13</v>
      </c>
      <c r="H693" t="s">
        <v>9</v>
      </c>
      <c r="I693" t="s">
        <v>598</v>
      </c>
      <c r="J693" t="s">
        <v>55</v>
      </c>
      <c r="K693" t="s">
        <v>599</v>
      </c>
      <c r="M693" t="s">
        <v>6</v>
      </c>
    </row>
    <row r="694" spans="2:13" hidden="1">
      <c r="B694">
        <v>692</v>
      </c>
      <c r="C694">
        <v>58</v>
      </c>
      <c r="D694">
        <v>11</v>
      </c>
      <c r="E694">
        <v>2</v>
      </c>
      <c r="F694">
        <v>0</v>
      </c>
      <c r="G694" t="s">
        <v>13</v>
      </c>
      <c r="H694" t="s">
        <v>9</v>
      </c>
      <c r="I694" t="s">
        <v>598</v>
      </c>
      <c r="J694" t="s">
        <v>55</v>
      </c>
      <c r="K694" t="s">
        <v>600</v>
      </c>
      <c r="M694" t="s">
        <v>6</v>
      </c>
    </row>
    <row r="695" spans="2:13" hidden="1">
      <c r="B695">
        <v>693</v>
      </c>
      <c r="C695">
        <v>58</v>
      </c>
      <c r="D695">
        <v>11</v>
      </c>
      <c r="E695">
        <v>3</v>
      </c>
      <c r="F695">
        <v>0</v>
      </c>
      <c r="G695" t="s">
        <v>13</v>
      </c>
      <c r="H695" t="s">
        <v>9</v>
      </c>
      <c r="I695" t="s">
        <v>598</v>
      </c>
      <c r="J695" t="s">
        <v>55</v>
      </c>
      <c r="K695" t="s">
        <v>601</v>
      </c>
      <c r="M695" t="s">
        <v>6</v>
      </c>
    </row>
    <row r="696" spans="2:13" hidden="1">
      <c r="B696">
        <v>694</v>
      </c>
      <c r="C696">
        <v>58</v>
      </c>
      <c r="D696">
        <v>11</v>
      </c>
      <c r="E696">
        <v>4</v>
      </c>
      <c r="F696">
        <v>0</v>
      </c>
      <c r="G696" t="s">
        <v>13</v>
      </c>
      <c r="H696" t="s">
        <v>9</v>
      </c>
      <c r="I696" t="s">
        <v>598</v>
      </c>
      <c r="J696" t="s">
        <v>55</v>
      </c>
      <c r="K696" t="s">
        <v>602</v>
      </c>
      <c r="M696" t="s">
        <v>6</v>
      </c>
    </row>
    <row r="697" spans="2:13" hidden="1">
      <c r="B697">
        <v>695</v>
      </c>
      <c r="C697">
        <v>58</v>
      </c>
      <c r="D697">
        <v>11</v>
      </c>
      <c r="E697">
        <v>5</v>
      </c>
      <c r="F697">
        <v>0</v>
      </c>
      <c r="G697" t="s">
        <v>13</v>
      </c>
      <c r="H697" t="s">
        <v>9</v>
      </c>
      <c r="I697" t="s">
        <v>598</v>
      </c>
      <c r="J697" t="s">
        <v>55</v>
      </c>
      <c r="K697" t="s">
        <v>603</v>
      </c>
      <c r="M697" t="s">
        <v>6</v>
      </c>
    </row>
    <row r="698" spans="2:13" hidden="1">
      <c r="B698">
        <v>696</v>
      </c>
      <c r="C698">
        <v>58</v>
      </c>
      <c r="D698">
        <v>11</v>
      </c>
      <c r="E698">
        <v>6</v>
      </c>
      <c r="F698">
        <v>0</v>
      </c>
      <c r="G698" t="s">
        <v>13</v>
      </c>
      <c r="H698" t="s">
        <v>9</v>
      </c>
      <c r="I698" t="s">
        <v>598</v>
      </c>
      <c r="J698" t="s">
        <v>55</v>
      </c>
      <c r="K698" t="s">
        <v>604</v>
      </c>
      <c r="M698" t="s">
        <v>6</v>
      </c>
    </row>
    <row r="699" spans="2:13" hidden="1">
      <c r="B699">
        <v>697</v>
      </c>
      <c r="C699">
        <v>58</v>
      </c>
      <c r="D699">
        <v>11</v>
      </c>
      <c r="E699">
        <v>7</v>
      </c>
      <c r="F699">
        <v>0</v>
      </c>
      <c r="G699" t="s">
        <v>13</v>
      </c>
      <c r="H699" t="s">
        <v>9</v>
      </c>
      <c r="I699" t="s">
        <v>598</v>
      </c>
      <c r="J699" t="s">
        <v>55</v>
      </c>
      <c r="K699" t="s">
        <v>605</v>
      </c>
      <c r="M699" t="s">
        <v>6</v>
      </c>
    </row>
    <row r="700" spans="2:13" hidden="1">
      <c r="B700">
        <v>698</v>
      </c>
      <c r="C700">
        <v>58</v>
      </c>
      <c r="D700">
        <v>11</v>
      </c>
      <c r="E700">
        <v>8</v>
      </c>
      <c r="F700">
        <v>0</v>
      </c>
      <c r="G700" t="s">
        <v>13</v>
      </c>
      <c r="H700" t="s">
        <v>9</v>
      </c>
      <c r="I700" t="s">
        <v>598</v>
      </c>
      <c r="J700" t="s">
        <v>55</v>
      </c>
      <c r="K700" t="s">
        <v>606</v>
      </c>
      <c r="M700" t="s">
        <v>6</v>
      </c>
    </row>
    <row r="701" spans="2:13" hidden="1">
      <c r="B701">
        <v>699</v>
      </c>
      <c r="C701">
        <v>58</v>
      </c>
      <c r="D701">
        <v>11</v>
      </c>
      <c r="E701">
        <v>9</v>
      </c>
      <c r="F701">
        <v>0</v>
      </c>
      <c r="G701" t="s">
        <v>13</v>
      </c>
      <c r="H701" t="s">
        <v>9</v>
      </c>
      <c r="I701" t="s">
        <v>598</v>
      </c>
      <c r="J701" t="s">
        <v>99</v>
      </c>
      <c r="K701" t="s">
        <v>607</v>
      </c>
      <c r="M701" t="s">
        <v>6</v>
      </c>
    </row>
    <row r="702" spans="2:13" hidden="1">
      <c r="B702">
        <v>700</v>
      </c>
      <c r="C702">
        <v>58</v>
      </c>
      <c r="D702">
        <v>11</v>
      </c>
      <c r="E702">
        <v>10</v>
      </c>
      <c r="F702">
        <v>0</v>
      </c>
      <c r="G702" t="s">
        <v>13</v>
      </c>
      <c r="H702" t="s">
        <v>9</v>
      </c>
      <c r="I702" t="s">
        <v>598</v>
      </c>
      <c r="J702" t="s">
        <v>55</v>
      </c>
      <c r="K702" t="s">
        <v>93</v>
      </c>
      <c r="M702" t="s">
        <v>6</v>
      </c>
    </row>
    <row r="703" spans="2:13" hidden="1">
      <c r="B703">
        <v>701</v>
      </c>
      <c r="C703">
        <v>58</v>
      </c>
      <c r="D703">
        <v>11</v>
      </c>
      <c r="E703">
        <v>11</v>
      </c>
      <c r="F703">
        <v>0</v>
      </c>
      <c r="G703" t="s">
        <v>13</v>
      </c>
      <c r="H703" t="s">
        <v>9</v>
      </c>
      <c r="I703" t="s">
        <v>598</v>
      </c>
      <c r="J703" t="s">
        <v>64</v>
      </c>
      <c r="K703" t="s">
        <v>94</v>
      </c>
      <c r="M703" t="s">
        <v>6</v>
      </c>
    </row>
    <row r="704" spans="2:13" hidden="1">
      <c r="B704">
        <v>702</v>
      </c>
      <c r="C704">
        <v>59</v>
      </c>
      <c r="D704">
        <v>9</v>
      </c>
      <c r="E704">
        <v>0</v>
      </c>
      <c r="F704">
        <v>0</v>
      </c>
      <c r="G704" t="s">
        <v>13</v>
      </c>
      <c r="H704" t="s">
        <v>9</v>
      </c>
      <c r="I704" t="s">
        <v>608</v>
      </c>
      <c r="J704" t="s">
        <v>54</v>
      </c>
      <c r="K704" t="s">
        <v>608</v>
      </c>
      <c r="M704" t="s">
        <v>6</v>
      </c>
    </row>
    <row r="705" spans="2:13" hidden="1">
      <c r="B705">
        <v>703</v>
      </c>
      <c r="C705">
        <v>59</v>
      </c>
      <c r="D705">
        <v>9</v>
      </c>
      <c r="E705">
        <v>1</v>
      </c>
      <c r="F705">
        <v>0</v>
      </c>
      <c r="G705" t="s">
        <v>13</v>
      </c>
      <c r="H705" t="s">
        <v>9</v>
      </c>
      <c r="I705" t="s">
        <v>608</v>
      </c>
      <c r="J705" t="s">
        <v>55</v>
      </c>
      <c r="K705" t="s">
        <v>609</v>
      </c>
      <c r="M705" t="s">
        <v>6</v>
      </c>
    </row>
    <row r="706" spans="2:13" hidden="1">
      <c r="B706">
        <v>704</v>
      </c>
      <c r="C706">
        <v>59</v>
      </c>
      <c r="D706">
        <v>9</v>
      </c>
      <c r="E706">
        <v>2</v>
      </c>
      <c r="F706">
        <v>0</v>
      </c>
      <c r="G706" t="s">
        <v>13</v>
      </c>
      <c r="H706" t="s">
        <v>9</v>
      </c>
      <c r="I706" t="s">
        <v>608</v>
      </c>
      <c r="J706" t="s">
        <v>55</v>
      </c>
      <c r="K706" t="s">
        <v>610</v>
      </c>
      <c r="M706" t="s">
        <v>6</v>
      </c>
    </row>
    <row r="707" spans="2:13" hidden="1">
      <c r="B707">
        <v>705</v>
      </c>
      <c r="C707">
        <v>59</v>
      </c>
      <c r="D707">
        <v>9</v>
      </c>
      <c r="E707">
        <v>3</v>
      </c>
      <c r="F707">
        <v>0</v>
      </c>
      <c r="G707" t="s">
        <v>13</v>
      </c>
      <c r="H707" t="s">
        <v>9</v>
      </c>
      <c r="I707" t="s">
        <v>608</v>
      </c>
      <c r="J707" t="s">
        <v>55</v>
      </c>
      <c r="K707" t="s">
        <v>611</v>
      </c>
      <c r="M707" t="s">
        <v>6</v>
      </c>
    </row>
    <row r="708" spans="2:13" hidden="1">
      <c r="B708">
        <v>706</v>
      </c>
      <c r="C708">
        <v>59</v>
      </c>
      <c r="D708">
        <v>9</v>
      </c>
      <c r="E708">
        <v>4</v>
      </c>
      <c r="F708">
        <v>0</v>
      </c>
      <c r="G708" t="s">
        <v>13</v>
      </c>
      <c r="H708" t="s">
        <v>9</v>
      </c>
      <c r="I708" t="s">
        <v>608</v>
      </c>
      <c r="J708" t="s">
        <v>55</v>
      </c>
      <c r="K708" t="s">
        <v>612</v>
      </c>
      <c r="M708" t="s">
        <v>6</v>
      </c>
    </row>
    <row r="709" spans="2:13" hidden="1">
      <c r="B709">
        <v>707</v>
      </c>
      <c r="C709">
        <v>59</v>
      </c>
      <c r="D709">
        <v>9</v>
      </c>
      <c r="E709">
        <v>5</v>
      </c>
      <c r="F709">
        <v>0</v>
      </c>
      <c r="G709" t="s">
        <v>13</v>
      </c>
      <c r="H709" t="s">
        <v>9</v>
      </c>
      <c r="I709" t="s">
        <v>608</v>
      </c>
      <c r="J709" t="s">
        <v>55</v>
      </c>
      <c r="K709" t="s">
        <v>613</v>
      </c>
      <c r="M709" t="s">
        <v>6</v>
      </c>
    </row>
    <row r="710" spans="2:13" hidden="1">
      <c r="B710">
        <v>708</v>
      </c>
      <c r="C710">
        <v>59</v>
      </c>
      <c r="D710">
        <v>9</v>
      </c>
      <c r="E710">
        <v>6</v>
      </c>
      <c r="F710">
        <v>0</v>
      </c>
      <c r="G710" t="s">
        <v>13</v>
      </c>
      <c r="H710" t="s">
        <v>9</v>
      </c>
      <c r="I710" t="s">
        <v>608</v>
      </c>
      <c r="J710" t="s">
        <v>55</v>
      </c>
      <c r="K710" t="s">
        <v>614</v>
      </c>
      <c r="M710" t="s">
        <v>6</v>
      </c>
    </row>
    <row r="711" spans="2:13" hidden="1">
      <c r="B711">
        <v>709</v>
      </c>
      <c r="C711">
        <v>59</v>
      </c>
      <c r="D711">
        <v>9</v>
      </c>
      <c r="E711">
        <v>7</v>
      </c>
      <c r="F711">
        <v>0</v>
      </c>
      <c r="G711" t="s">
        <v>13</v>
      </c>
      <c r="H711" t="s">
        <v>9</v>
      </c>
      <c r="I711" t="s">
        <v>608</v>
      </c>
      <c r="J711" t="s">
        <v>55</v>
      </c>
      <c r="K711" t="s">
        <v>615</v>
      </c>
      <c r="M711" t="s">
        <v>6</v>
      </c>
    </row>
    <row r="712" spans="2:13" hidden="1">
      <c r="B712">
        <v>710</v>
      </c>
      <c r="C712">
        <v>59</v>
      </c>
      <c r="D712">
        <v>9</v>
      </c>
      <c r="E712">
        <v>8</v>
      </c>
      <c r="F712">
        <v>0</v>
      </c>
      <c r="G712" t="s">
        <v>13</v>
      </c>
      <c r="H712" t="s">
        <v>9</v>
      </c>
      <c r="I712" t="s">
        <v>608</v>
      </c>
      <c r="J712" t="s">
        <v>55</v>
      </c>
      <c r="K712" t="s">
        <v>93</v>
      </c>
      <c r="M712" t="s">
        <v>6</v>
      </c>
    </row>
    <row r="713" spans="2:13" hidden="1">
      <c r="B713">
        <v>711</v>
      </c>
      <c r="C713">
        <v>59</v>
      </c>
      <c r="D713">
        <v>9</v>
      </c>
      <c r="E713">
        <v>9</v>
      </c>
      <c r="F713">
        <v>0</v>
      </c>
      <c r="G713" t="s">
        <v>13</v>
      </c>
      <c r="H713" t="s">
        <v>9</v>
      </c>
      <c r="I713" t="s">
        <v>608</v>
      </c>
      <c r="J713" t="s">
        <v>64</v>
      </c>
      <c r="K713" t="s">
        <v>94</v>
      </c>
      <c r="M713" t="s">
        <v>6</v>
      </c>
    </row>
    <row r="714" spans="2:13" hidden="1">
      <c r="B714">
        <v>712</v>
      </c>
      <c r="C714">
        <v>60</v>
      </c>
      <c r="D714">
        <v>4</v>
      </c>
      <c r="E714">
        <v>0</v>
      </c>
      <c r="F714">
        <v>0</v>
      </c>
      <c r="G714" t="s">
        <v>22</v>
      </c>
      <c r="H714" t="s">
        <v>52</v>
      </c>
      <c r="I714" t="s">
        <v>616</v>
      </c>
      <c r="J714" t="s">
        <v>54</v>
      </c>
      <c r="K714" t="s">
        <v>616</v>
      </c>
      <c r="M714" t="s">
        <v>6</v>
      </c>
    </row>
    <row r="715" spans="2:13" hidden="1">
      <c r="B715">
        <v>713</v>
      </c>
      <c r="C715">
        <v>60</v>
      </c>
      <c r="D715">
        <v>4</v>
      </c>
      <c r="E715">
        <v>1</v>
      </c>
      <c r="F715">
        <v>0</v>
      </c>
      <c r="G715" t="s">
        <v>22</v>
      </c>
      <c r="H715" t="s">
        <v>52</v>
      </c>
      <c r="I715" t="s">
        <v>616</v>
      </c>
      <c r="J715" t="s">
        <v>55</v>
      </c>
      <c r="K715" t="s">
        <v>62</v>
      </c>
      <c r="M715" t="s">
        <v>6</v>
      </c>
    </row>
    <row r="716" spans="2:13" hidden="1">
      <c r="B716">
        <v>714</v>
      </c>
      <c r="C716">
        <v>60</v>
      </c>
      <c r="D716">
        <v>4</v>
      </c>
      <c r="E716">
        <v>2</v>
      </c>
      <c r="F716">
        <v>0</v>
      </c>
      <c r="G716" t="s">
        <v>22</v>
      </c>
      <c r="H716" t="s">
        <v>52</v>
      </c>
      <c r="I716" t="s">
        <v>616</v>
      </c>
      <c r="J716" t="s">
        <v>55</v>
      </c>
      <c r="K716" t="s">
        <v>63</v>
      </c>
      <c r="M716" t="s">
        <v>6</v>
      </c>
    </row>
    <row r="717" spans="2:13" hidden="1">
      <c r="B717">
        <v>715</v>
      </c>
      <c r="C717">
        <v>60</v>
      </c>
      <c r="D717">
        <v>4</v>
      </c>
      <c r="E717">
        <v>3</v>
      </c>
      <c r="F717">
        <v>0</v>
      </c>
      <c r="G717" t="s">
        <v>22</v>
      </c>
      <c r="H717" t="s">
        <v>52</v>
      </c>
      <c r="I717" t="s">
        <v>616</v>
      </c>
      <c r="J717" t="s">
        <v>64</v>
      </c>
      <c r="K717" t="s">
        <v>65</v>
      </c>
      <c r="M717" t="s">
        <v>6</v>
      </c>
    </row>
    <row r="718" spans="2:13" hidden="1">
      <c r="B718">
        <v>716</v>
      </c>
      <c r="C718">
        <v>60</v>
      </c>
      <c r="D718">
        <v>4</v>
      </c>
      <c r="E718">
        <v>4</v>
      </c>
      <c r="F718">
        <v>0</v>
      </c>
      <c r="G718" t="s">
        <v>22</v>
      </c>
      <c r="H718" t="s">
        <v>52</v>
      </c>
      <c r="I718" t="s">
        <v>616</v>
      </c>
      <c r="J718" t="s">
        <v>55</v>
      </c>
      <c r="K718" t="s">
        <v>617</v>
      </c>
      <c r="M718" t="s">
        <v>6</v>
      </c>
    </row>
    <row r="719" spans="2:13" hidden="1">
      <c r="B719">
        <v>717</v>
      </c>
      <c r="C719">
        <v>61</v>
      </c>
      <c r="D719">
        <v>4</v>
      </c>
      <c r="E719">
        <v>0</v>
      </c>
      <c r="F719">
        <v>0</v>
      </c>
      <c r="G719" t="s">
        <v>22</v>
      </c>
      <c r="H719" t="s">
        <v>52</v>
      </c>
      <c r="I719" t="s">
        <v>618</v>
      </c>
      <c r="J719" t="s">
        <v>54</v>
      </c>
      <c r="K719" t="s">
        <v>618</v>
      </c>
      <c r="M719" t="s">
        <v>6</v>
      </c>
    </row>
    <row r="720" spans="2:13" hidden="1">
      <c r="B720">
        <v>718</v>
      </c>
      <c r="C720">
        <v>61</v>
      </c>
      <c r="D720">
        <v>4</v>
      </c>
      <c r="E720">
        <v>1</v>
      </c>
      <c r="F720">
        <v>0</v>
      </c>
      <c r="G720" t="s">
        <v>22</v>
      </c>
      <c r="H720" t="s">
        <v>52</v>
      </c>
      <c r="I720" t="s">
        <v>618</v>
      </c>
      <c r="J720" t="s">
        <v>55</v>
      </c>
      <c r="K720" t="s">
        <v>62</v>
      </c>
      <c r="M720" t="s">
        <v>6</v>
      </c>
    </row>
    <row r="721" spans="2:13" hidden="1">
      <c r="B721">
        <v>719</v>
      </c>
      <c r="C721">
        <v>61</v>
      </c>
      <c r="D721">
        <v>4</v>
      </c>
      <c r="E721">
        <v>2</v>
      </c>
      <c r="F721">
        <v>0</v>
      </c>
      <c r="G721" t="s">
        <v>22</v>
      </c>
      <c r="H721" t="s">
        <v>52</v>
      </c>
      <c r="I721" t="s">
        <v>618</v>
      </c>
      <c r="J721" t="s">
        <v>55</v>
      </c>
      <c r="K721" t="s">
        <v>63</v>
      </c>
      <c r="M721" t="s">
        <v>6</v>
      </c>
    </row>
    <row r="722" spans="2:13" hidden="1">
      <c r="B722">
        <v>720</v>
      </c>
      <c r="C722">
        <v>61</v>
      </c>
      <c r="D722">
        <v>4</v>
      </c>
      <c r="E722">
        <v>3</v>
      </c>
      <c r="F722">
        <v>0</v>
      </c>
      <c r="G722" t="s">
        <v>22</v>
      </c>
      <c r="H722" t="s">
        <v>52</v>
      </c>
      <c r="I722" t="s">
        <v>618</v>
      </c>
      <c r="J722" t="s">
        <v>64</v>
      </c>
      <c r="K722" t="s">
        <v>65</v>
      </c>
      <c r="M722" t="s">
        <v>6</v>
      </c>
    </row>
    <row r="723" spans="2:13" hidden="1">
      <c r="B723">
        <v>721</v>
      </c>
      <c r="C723">
        <v>61</v>
      </c>
      <c r="D723">
        <v>4</v>
      </c>
      <c r="E723">
        <v>4</v>
      </c>
      <c r="F723">
        <v>0</v>
      </c>
      <c r="G723" t="s">
        <v>22</v>
      </c>
      <c r="H723" t="s">
        <v>52</v>
      </c>
      <c r="I723" t="s">
        <v>618</v>
      </c>
      <c r="J723" t="s">
        <v>55</v>
      </c>
      <c r="K723" t="s">
        <v>619</v>
      </c>
      <c r="M723" t="s">
        <v>6</v>
      </c>
    </row>
    <row r="724" spans="2:13" hidden="1">
      <c r="B724">
        <v>722</v>
      </c>
      <c r="C724">
        <v>62</v>
      </c>
      <c r="D724">
        <v>4</v>
      </c>
      <c r="E724">
        <v>0</v>
      </c>
      <c r="F724">
        <v>0</v>
      </c>
      <c r="G724" t="s">
        <v>22</v>
      </c>
      <c r="H724" t="s">
        <v>52</v>
      </c>
      <c r="I724" t="s">
        <v>620</v>
      </c>
      <c r="J724" t="s">
        <v>54</v>
      </c>
      <c r="K724" t="s">
        <v>620</v>
      </c>
      <c r="M724" t="s">
        <v>6</v>
      </c>
    </row>
    <row r="725" spans="2:13" hidden="1">
      <c r="B725">
        <v>723</v>
      </c>
      <c r="C725">
        <v>62</v>
      </c>
      <c r="D725">
        <v>4</v>
      </c>
      <c r="E725">
        <v>1</v>
      </c>
      <c r="F725">
        <v>0</v>
      </c>
      <c r="G725" t="s">
        <v>22</v>
      </c>
      <c r="H725" t="s">
        <v>52</v>
      </c>
      <c r="I725" t="s">
        <v>620</v>
      </c>
      <c r="J725" t="s">
        <v>55</v>
      </c>
      <c r="K725" t="s">
        <v>62</v>
      </c>
      <c r="M725" t="s">
        <v>6</v>
      </c>
    </row>
    <row r="726" spans="2:13" hidden="1">
      <c r="B726">
        <v>724</v>
      </c>
      <c r="C726">
        <v>62</v>
      </c>
      <c r="D726">
        <v>4</v>
      </c>
      <c r="E726">
        <v>2</v>
      </c>
      <c r="F726">
        <v>0</v>
      </c>
      <c r="G726" t="s">
        <v>22</v>
      </c>
      <c r="H726" t="s">
        <v>52</v>
      </c>
      <c r="I726" t="s">
        <v>620</v>
      </c>
      <c r="J726" t="s">
        <v>55</v>
      </c>
      <c r="K726" t="s">
        <v>63</v>
      </c>
      <c r="M726" t="s">
        <v>6</v>
      </c>
    </row>
    <row r="727" spans="2:13" hidden="1">
      <c r="B727">
        <v>725</v>
      </c>
      <c r="C727">
        <v>62</v>
      </c>
      <c r="D727">
        <v>4</v>
      </c>
      <c r="E727">
        <v>3</v>
      </c>
      <c r="F727">
        <v>0</v>
      </c>
      <c r="G727" t="s">
        <v>22</v>
      </c>
      <c r="H727" t="s">
        <v>52</v>
      </c>
      <c r="I727" t="s">
        <v>620</v>
      </c>
      <c r="J727" t="s">
        <v>64</v>
      </c>
      <c r="K727" t="s">
        <v>65</v>
      </c>
      <c r="M727" t="s">
        <v>6</v>
      </c>
    </row>
    <row r="728" spans="2:13" hidden="1">
      <c r="B728">
        <v>726</v>
      </c>
      <c r="C728">
        <v>62</v>
      </c>
      <c r="D728">
        <v>4</v>
      </c>
      <c r="E728">
        <v>4</v>
      </c>
      <c r="F728">
        <v>0</v>
      </c>
      <c r="G728" t="s">
        <v>22</v>
      </c>
      <c r="H728" t="s">
        <v>52</v>
      </c>
      <c r="I728" t="s">
        <v>620</v>
      </c>
      <c r="J728" t="s">
        <v>55</v>
      </c>
      <c r="K728" t="s">
        <v>621</v>
      </c>
      <c r="M728" t="s">
        <v>6</v>
      </c>
    </row>
    <row r="729" spans="2:13" hidden="1">
      <c r="B729">
        <v>727</v>
      </c>
      <c r="C729">
        <v>63</v>
      </c>
      <c r="D729">
        <v>4</v>
      </c>
      <c r="E729">
        <v>0</v>
      </c>
      <c r="F729">
        <v>0</v>
      </c>
      <c r="G729" t="s">
        <v>22</v>
      </c>
      <c r="H729" t="s">
        <v>52</v>
      </c>
      <c r="I729" t="s">
        <v>622</v>
      </c>
      <c r="J729" t="s">
        <v>54</v>
      </c>
      <c r="K729" t="s">
        <v>622</v>
      </c>
      <c r="M729" t="s">
        <v>6</v>
      </c>
    </row>
    <row r="730" spans="2:13" hidden="1">
      <c r="B730">
        <v>728</v>
      </c>
      <c r="C730">
        <v>63</v>
      </c>
      <c r="D730">
        <v>4</v>
      </c>
      <c r="E730">
        <v>1</v>
      </c>
      <c r="F730">
        <v>0</v>
      </c>
      <c r="G730" t="s">
        <v>22</v>
      </c>
      <c r="H730" t="s">
        <v>52</v>
      </c>
      <c r="I730" t="s">
        <v>622</v>
      </c>
      <c r="J730" t="s">
        <v>55</v>
      </c>
      <c r="K730" t="s">
        <v>62</v>
      </c>
      <c r="M730" t="s">
        <v>6</v>
      </c>
    </row>
    <row r="731" spans="2:13" hidden="1">
      <c r="B731">
        <v>729</v>
      </c>
      <c r="C731">
        <v>63</v>
      </c>
      <c r="D731">
        <v>4</v>
      </c>
      <c r="E731">
        <v>2</v>
      </c>
      <c r="F731">
        <v>0</v>
      </c>
      <c r="G731" t="s">
        <v>22</v>
      </c>
      <c r="H731" t="s">
        <v>52</v>
      </c>
      <c r="I731" t="s">
        <v>622</v>
      </c>
      <c r="J731" t="s">
        <v>55</v>
      </c>
      <c r="K731" t="s">
        <v>63</v>
      </c>
      <c r="M731" t="s">
        <v>6</v>
      </c>
    </row>
    <row r="732" spans="2:13" hidden="1">
      <c r="B732">
        <v>730</v>
      </c>
      <c r="C732">
        <v>63</v>
      </c>
      <c r="D732">
        <v>4</v>
      </c>
      <c r="E732">
        <v>3</v>
      </c>
      <c r="F732">
        <v>0</v>
      </c>
      <c r="G732" t="s">
        <v>22</v>
      </c>
      <c r="H732" t="s">
        <v>52</v>
      </c>
      <c r="I732" t="s">
        <v>622</v>
      </c>
      <c r="J732" t="s">
        <v>64</v>
      </c>
      <c r="K732" t="s">
        <v>65</v>
      </c>
      <c r="M732" t="s">
        <v>6</v>
      </c>
    </row>
    <row r="733" spans="2:13" hidden="1">
      <c r="B733">
        <v>731</v>
      </c>
      <c r="C733">
        <v>63</v>
      </c>
      <c r="D733">
        <v>4</v>
      </c>
      <c r="E733">
        <v>4</v>
      </c>
      <c r="F733">
        <v>0</v>
      </c>
      <c r="G733" t="s">
        <v>22</v>
      </c>
      <c r="H733" t="s">
        <v>52</v>
      </c>
      <c r="I733" t="s">
        <v>622</v>
      </c>
      <c r="J733" t="s">
        <v>55</v>
      </c>
      <c r="K733" t="s">
        <v>623</v>
      </c>
      <c r="M733" t="s">
        <v>6</v>
      </c>
    </row>
    <row r="734" spans="2:13" hidden="1">
      <c r="B734">
        <v>732</v>
      </c>
      <c r="C734">
        <v>64</v>
      </c>
      <c r="D734">
        <v>6</v>
      </c>
      <c r="E734">
        <v>0</v>
      </c>
      <c r="F734">
        <v>0</v>
      </c>
      <c r="G734" t="s">
        <v>22</v>
      </c>
      <c r="H734" t="s">
        <v>52</v>
      </c>
      <c r="I734" t="s">
        <v>624</v>
      </c>
      <c r="J734" t="s">
        <v>54</v>
      </c>
      <c r="K734" t="s">
        <v>624</v>
      </c>
      <c r="M734" t="s">
        <v>6</v>
      </c>
    </row>
    <row r="735" spans="2:13" hidden="1">
      <c r="B735">
        <v>733</v>
      </c>
      <c r="C735">
        <v>64</v>
      </c>
      <c r="D735">
        <v>6</v>
      </c>
      <c r="E735">
        <v>1</v>
      </c>
      <c r="F735">
        <v>0</v>
      </c>
      <c r="G735" t="s">
        <v>22</v>
      </c>
      <c r="H735" t="s">
        <v>52</v>
      </c>
      <c r="I735" t="s">
        <v>624</v>
      </c>
      <c r="J735" t="s">
        <v>55</v>
      </c>
      <c r="K735" t="s">
        <v>625</v>
      </c>
      <c r="M735" t="s">
        <v>6</v>
      </c>
    </row>
    <row r="736" spans="2:13" hidden="1">
      <c r="B736">
        <v>734</v>
      </c>
      <c r="C736">
        <v>64</v>
      </c>
      <c r="D736">
        <v>6</v>
      </c>
      <c r="E736">
        <v>2</v>
      </c>
      <c r="F736">
        <v>0</v>
      </c>
      <c r="G736" t="s">
        <v>22</v>
      </c>
      <c r="H736" t="s">
        <v>52</v>
      </c>
      <c r="I736" t="s">
        <v>624</v>
      </c>
      <c r="J736" t="s">
        <v>55</v>
      </c>
      <c r="K736" t="s">
        <v>626</v>
      </c>
      <c r="M736" t="s">
        <v>6</v>
      </c>
    </row>
    <row r="737" spans="2:13" hidden="1">
      <c r="B737">
        <v>735</v>
      </c>
      <c r="C737">
        <v>64</v>
      </c>
      <c r="D737">
        <v>6</v>
      </c>
      <c r="E737">
        <v>3</v>
      </c>
      <c r="F737">
        <v>0</v>
      </c>
      <c r="G737" t="s">
        <v>22</v>
      </c>
      <c r="H737" t="s">
        <v>52</v>
      </c>
      <c r="I737" t="s">
        <v>624</v>
      </c>
      <c r="J737" t="s">
        <v>55</v>
      </c>
      <c r="K737" t="s">
        <v>627</v>
      </c>
      <c r="M737" t="s">
        <v>6</v>
      </c>
    </row>
    <row r="738" spans="2:13" hidden="1">
      <c r="B738">
        <v>736</v>
      </c>
      <c r="C738">
        <v>64</v>
      </c>
      <c r="D738">
        <v>6</v>
      </c>
      <c r="E738">
        <v>4</v>
      </c>
      <c r="F738">
        <v>0</v>
      </c>
      <c r="G738" t="s">
        <v>22</v>
      </c>
      <c r="H738" t="s">
        <v>52</v>
      </c>
      <c r="I738" t="s">
        <v>624</v>
      </c>
      <c r="J738" t="s">
        <v>55</v>
      </c>
      <c r="K738" t="s">
        <v>628</v>
      </c>
      <c r="M738" t="s">
        <v>6</v>
      </c>
    </row>
    <row r="739" spans="2:13" hidden="1">
      <c r="B739">
        <v>737</v>
      </c>
      <c r="C739">
        <v>64</v>
      </c>
      <c r="D739">
        <v>6</v>
      </c>
      <c r="E739">
        <v>5</v>
      </c>
      <c r="F739">
        <v>0</v>
      </c>
      <c r="G739" t="s">
        <v>22</v>
      </c>
      <c r="H739" t="s">
        <v>52</v>
      </c>
      <c r="I739" t="s">
        <v>624</v>
      </c>
      <c r="J739" t="s">
        <v>55</v>
      </c>
      <c r="K739" t="s">
        <v>629</v>
      </c>
      <c r="M739" t="s">
        <v>6</v>
      </c>
    </row>
    <row r="740" spans="2:13" hidden="1">
      <c r="B740">
        <v>738</v>
      </c>
      <c r="C740">
        <v>64</v>
      </c>
      <c r="D740">
        <v>6</v>
      </c>
      <c r="E740">
        <v>6</v>
      </c>
      <c r="F740">
        <v>0</v>
      </c>
      <c r="G740" t="s">
        <v>22</v>
      </c>
      <c r="H740" t="s">
        <v>52</v>
      </c>
      <c r="I740" t="s">
        <v>624</v>
      </c>
      <c r="J740" t="s">
        <v>55</v>
      </c>
      <c r="K740" t="s">
        <v>630</v>
      </c>
      <c r="M740" t="s">
        <v>6</v>
      </c>
    </row>
    <row r="741" spans="2:13" hidden="1">
      <c r="B741">
        <v>739</v>
      </c>
      <c r="C741">
        <v>65</v>
      </c>
      <c r="D741">
        <v>6</v>
      </c>
      <c r="E741">
        <v>0</v>
      </c>
      <c r="F741">
        <v>0</v>
      </c>
      <c r="G741" t="s">
        <v>22</v>
      </c>
      <c r="H741" t="s">
        <v>52</v>
      </c>
      <c r="I741" t="s">
        <v>631</v>
      </c>
      <c r="J741" t="s">
        <v>478</v>
      </c>
      <c r="K741" t="s">
        <v>631</v>
      </c>
      <c r="M741" t="s">
        <v>6</v>
      </c>
    </row>
    <row r="742" spans="2:13" hidden="1">
      <c r="B742">
        <v>740</v>
      </c>
      <c r="C742">
        <v>65</v>
      </c>
      <c r="D742">
        <v>6</v>
      </c>
      <c r="E742">
        <v>1</v>
      </c>
      <c r="F742">
        <v>0</v>
      </c>
      <c r="G742" t="s">
        <v>22</v>
      </c>
      <c r="H742" t="s">
        <v>52</v>
      </c>
      <c r="I742" t="s">
        <v>631</v>
      </c>
      <c r="J742" t="s">
        <v>55</v>
      </c>
      <c r="K742" t="s">
        <v>632</v>
      </c>
      <c r="M742" t="s">
        <v>6</v>
      </c>
    </row>
    <row r="743" spans="2:13" hidden="1">
      <c r="B743">
        <v>741</v>
      </c>
      <c r="C743">
        <v>65</v>
      </c>
      <c r="D743">
        <v>6</v>
      </c>
      <c r="E743">
        <v>2</v>
      </c>
      <c r="F743">
        <v>0</v>
      </c>
      <c r="G743" t="s">
        <v>22</v>
      </c>
      <c r="H743" t="s">
        <v>52</v>
      </c>
      <c r="I743" t="s">
        <v>631</v>
      </c>
      <c r="J743" t="s">
        <v>420</v>
      </c>
      <c r="K743" t="s">
        <v>633</v>
      </c>
      <c r="M743" t="s">
        <v>6</v>
      </c>
    </row>
    <row r="744" spans="2:13" hidden="1">
      <c r="B744">
        <v>742</v>
      </c>
      <c r="C744">
        <v>65</v>
      </c>
      <c r="D744">
        <v>6</v>
      </c>
      <c r="E744">
        <v>3</v>
      </c>
      <c r="F744">
        <v>0</v>
      </c>
      <c r="G744" t="s">
        <v>22</v>
      </c>
      <c r="H744" t="s">
        <v>52</v>
      </c>
      <c r="I744" t="s">
        <v>631</v>
      </c>
      <c r="J744" t="s">
        <v>55</v>
      </c>
      <c r="K744" t="s">
        <v>634</v>
      </c>
      <c r="M744" t="s">
        <v>6</v>
      </c>
    </row>
    <row r="745" spans="2:13" hidden="1">
      <c r="B745">
        <v>743</v>
      </c>
      <c r="C745">
        <v>65</v>
      </c>
      <c r="D745">
        <v>6</v>
      </c>
      <c r="E745">
        <v>4</v>
      </c>
      <c r="F745">
        <v>0</v>
      </c>
      <c r="G745" t="s">
        <v>22</v>
      </c>
      <c r="H745" t="s">
        <v>52</v>
      </c>
      <c r="I745" t="s">
        <v>631</v>
      </c>
      <c r="J745" t="s">
        <v>420</v>
      </c>
      <c r="K745" t="s">
        <v>633</v>
      </c>
      <c r="M745" t="s">
        <v>6</v>
      </c>
    </row>
    <row r="746" spans="2:13" hidden="1">
      <c r="B746">
        <v>744</v>
      </c>
      <c r="C746">
        <v>65</v>
      </c>
      <c r="D746">
        <v>6</v>
      </c>
      <c r="E746">
        <v>5</v>
      </c>
      <c r="F746">
        <v>0</v>
      </c>
      <c r="G746" t="s">
        <v>22</v>
      </c>
      <c r="H746" t="s">
        <v>52</v>
      </c>
      <c r="I746" t="s">
        <v>631</v>
      </c>
      <c r="J746" t="s">
        <v>214</v>
      </c>
      <c r="K746" t="s">
        <v>443</v>
      </c>
      <c r="M746" t="s">
        <v>6</v>
      </c>
    </row>
    <row r="747" spans="2:13" hidden="1">
      <c r="B747">
        <v>745</v>
      </c>
      <c r="C747">
        <v>65</v>
      </c>
      <c r="D747">
        <v>6</v>
      </c>
      <c r="E747">
        <v>6</v>
      </c>
      <c r="F747">
        <v>0</v>
      </c>
      <c r="G747" t="s">
        <v>22</v>
      </c>
      <c r="H747" t="s">
        <v>52</v>
      </c>
      <c r="I747" t="s">
        <v>631</v>
      </c>
      <c r="J747" t="s">
        <v>55</v>
      </c>
      <c r="K747" t="s">
        <v>442</v>
      </c>
      <c r="M747" t="s">
        <v>6</v>
      </c>
    </row>
    <row r="748" spans="2:13" hidden="1">
      <c r="B748">
        <v>746</v>
      </c>
      <c r="C748">
        <v>66</v>
      </c>
      <c r="D748">
        <v>4</v>
      </c>
      <c r="E748">
        <v>0</v>
      </c>
      <c r="F748">
        <v>0</v>
      </c>
      <c r="G748" t="s">
        <v>22</v>
      </c>
      <c r="H748" t="s">
        <v>52</v>
      </c>
      <c r="I748" t="s">
        <v>635</v>
      </c>
      <c r="J748" t="s">
        <v>54</v>
      </c>
      <c r="K748" t="s">
        <v>635</v>
      </c>
      <c r="M748" t="s">
        <v>6</v>
      </c>
    </row>
    <row r="749" spans="2:13" hidden="1">
      <c r="B749">
        <v>747</v>
      </c>
      <c r="C749">
        <v>66</v>
      </c>
      <c r="D749">
        <v>4</v>
      </c>
      <c r="E749">
        <v>1</v>
      </c>
      <c r="F749">
        <v>0</v>
      </c>
      <c r="G749" t="s">
        <v>22</v>
      </c>
      <c r="H749" t="s">
        <v>52</v>
      </c>
      <c r="I749" t="s">
        <v>635</v>
      </c>
      <c r="J749" t="s">
        <v>55</v>
      </c>
      <c r="K749" t="s">
        <v>62</v>
      </c>
      <c r="M749" t="s">
        <v>6</v>
      </c>
    </row>
    <row r="750" spans="2:13" hidden="1">
      <c r="B750">
        <v>748</v>
      </c>
      <c r="C750">
        <v>66</v>
      </c>
      <c r="D750">
        <v>4</v>
      </c>
      <c r="E750">
        <v>2</v>
      </c>
      <c r="F750">
        <v>0</v>
      </c>
      <c r="G750" t="s">
        <v>22</v>
      </c>
      <c r="H750" t="s">
        <v>52</v>
      </c>
      <c r="I750" t="s">
        <v>635</v>
      </c>
      <c r="J750" t="s">
        <v>55</v>
      </c>
      <c r="K750" t="s">
        <v>63</v>
      </c>
      <c r="M750" t="s">
        <v>6</v>
      </c>
    </row>
    <row r="751" spans="2:13" hidden="1">
      <c r="B751">
        <v>749</v>
      </c>
      <c r="C751">
        <v>66</v>
      </c>
      <c r="D751">
        <v>4</v>
      </c>
      <c r="E751">
        <v>3</v>
      </c>
      <c r="F751">
        <v>0</v>
      </c>
      <c r="G751" t="s">
        <v>22</v>
      </c>
      <c r="H751" t="s">
        <v>52</v>
      </c>
      <c r="I751" t="s">
        <v>635</v>
      </c>
      <c r="J751" t="s">
        <v>64</v>
      </c>
      <c r="K751" t="s">
        <v>65</v>
      </c>
      <c r="M751" t="s">
        <v>6</v>
      </c>
    </row>
    <row r="752" spans="2:13" hidden="1">
      <c r="B752">
        <v>750</v>
      </c>
      <c r="C752">
        <v>66</v>
      </c>
      <c r="D752">
        <v>4</v>
      </c>
      <c r="E752">
        <v>4</v>
      </c>
      <c r="F752">
        <v>0</v>
      </c>
      <c r="G752" t="s">
        <v>22</v>
      </c>
      <c r="H752" t="s">
        <v>52</v>
      </c>
      <c r="I752" t="s">
        <v>635</v>
      </c>
      <c r="J752" t="s">
        <v>55</v>
      </c>
      <c r="K752" t="s">
        <v>636</v>
      </c>
      <c r="M752" t="s">
        <v>6</v>
      </c>
    </row>
    <row r="753" spans="2:13" hidden="1">
      <c r="B753">
        <v>751</v>
      </c>
      <c r="C753">
        <v>67</v>
      </c>
      <c r="D753">
        <v>4</v>
      </c>
      <c r="E753">
        <v>0</v>
      </c>
      <c r="F753">
        <v>0</v>
      </c>
      <c r="G753" t="s">
        <v>22</v>
      </c>
      <c r="H753" t="s">
        <v>52</v>
      </c>
      <c r="I753" t="s">
        <v>637</v>
      </c>
      <c r="J753" t="s">
        <v>54</v>
      </c>
      <c r="K753" t="s">
        <v>637</v>
      </c>
      <c r="M753" t="s">
        <v>6</v>
      </c>
    </row>
    <row r="754" spans="2:13" hidden="1">
      <c r="B754">
        <v>752</v>
      </c>
      <c r="C754">
        <v>67</v>
      </c>
      <c r="D754">
        <v>4</v>
      </c>
      <c r="E754">
        <v>1</v>
      </c>
      <c r="F754">
        <v>0</v>
      </c>
      <c r="G754" t="s">
        <v>22</v>
      </c>
      <c r="H754" t="s">
        <v>52</v>
      </c>
      <c r="I754" t="s">
        <v>637</v>
      </c>
      <c r="J754" t="s">
        <v>55</v>
      </c>
      <c r="K754" t="s">
        <v>62</v>
      </c>
      <c r="M754" t="s">
        <v>6</v>
      </c>
    </row>
    <row r="755" spans="2:13" hidden="1">
      <c r="B755">
        <v>753</v>
      </c>
      <c r="C755">
        <v>67</v>
      </c>
      <c r="D755">
        <v>4</v>
      </c>
      <c r="E755">
        <v>2</v>
      </c>
      <c r="F755">
        <v>0</v>
      </c>
      <c r="G755" t="s">
        <v>22</v>
      </c>
      <c r="H755" t="s">
        <v>52</v>
      </c>
      <c r="I755" t="s">
        <v>637</v>
      </c>
      <c r="J755" t="s">
        <v>55</v>
      </c>
      <c r="K755" t="s">
        <v>63</v>
      </c>
      <c r="M755" t="s">
        <v>6</v>
      </c>
    </row>
    <row r="756" spans="2:13" hidden="1">
      <c r="B756">
        <v>754</v>
      </c>
      <c r="C756">
        <v>67</v>
      </c>
      <c r="D756">
        <v>4</v>
      </c>
      <c r="E756">
        <v>3</v>
      </c>
      <c r="F756">
        <v>0</v>
      </c>
      <c r="G756" t="s">
        <v>22</v>
      </c>
      <c r="H756" t="s">
        <v>52</v>
      </c>
      <c r="I756" t="s">
        <v>637</v>
      </c>
      <c r="J756" t="s">
        <v>64</v>
      </c>
      <c r="K756" t="s">
        <v>65</v>
      </c>
      <c r="M756" t="s">
        <v>6</v>
      </c>
    </row>
    <row r="757" spans="2:13" hidden="1">
      <c r="B757">
        <v>755</v>
      </c>
      <c r="C757">
        <v>67</v>
      </c>
      <c r="D757">
        <v>4</v>
      </c>
      <c r="E757">
        <v>4</v>
      </c>
      <c r="F757">
        <v>0</v>
      </c>
      <c r="G757" t="s">
        <v>22</v>
      </c>
      <c r="H757" t="s">
        <v>52</v>
      </c>
      <c r="I757" t="s">
        <v>637</v>
      </c>
      <c r="J757" t="s">
        <v>55</v>
      </c>
      <c r="K757" t="s">
        <v>638</v>
      </c>
      <c r="M757" t="s">
        <v>6</v>
      </c>
    </row>
    <row r="758" spans="2:13" hidden="1">
      <c r="B758">
        <v>756</v>
      </c>
      <c r="C758">
        <v>69</v>
      </c>
      <c r="D758">
        <v>5</v>
      </c>
      <c r="E758">
        <v>0</v>
      </c>
      <c r="F758">
        <v>0</v>
      </c>
      <c r="G758" t="s">
        <v>22</v>
      </c>
      <c r="H758" t="s">
        <v>52</v>
      </c>
      <c r="I758" t="s">
        <v>639</v>
      </c>
      <c r="J758" t="s">
        <v>54</v>
      </c>
      <c r="K758" t="s">
        <v>639</v>
      </c>
      <c r="M758" t="s">
        <v>6</v>
      </c>
    </row>
    <row r="759" spans="2:13" hidden="1">
      <c r="B759">
        <v>757</v>
      </c>
      <c r="C759">
        <v>69</v>
      </c>
      <c r="D759">
        <v>5</v>
      </c>
      <c r="E759">
        <v>1</v>
      </c>
      <c r="F759">
        <v>0</v>
      </c>
      <c r="G759" t="s">
        <v>22</v>
      </c>
      <c r="H759" t="s">
        <v>52</v>
      </c>
      <c r="I759" t="s">
        <v>639</v>
      </c>
      <c r="J759" t="s">
        <v>55</v>
      </c>
      <c r="K759" t="s">
        <v>640</v>
      </c>
      <c r="M759" t="s">
        <v>6</v>
      </c>
    </row>
    <row r="760" spans="2:13" hidden="1">
      <c r="B760">
        <v>758</v>
      </c>
      <c r="C760">
        <v>69</v>
      </c>
      <c r="D760">
        <v>5</v>
      </c>
      <c r="E760">
        <v>2</v>
      </c>
      <c r="F760">
        <v>0</v>
      </c>
      <c r="G760" t="s">
        <v>22</v>
      </c>
      <c r="H760" t="s">
        <v>52</v>
      </c>
      <c r="I760" t="s">
        <v>639</v>
      </c>
      <c r="J760" t="s">
        <v>55</v>
      </c>
      <c r="K760" t="s">
        <v>641</v>
      </c>
      <c r="M760" t="s">
        <v>6</v>
      </c>
    </row>
    <row r="761" spans="2:13" hidden="1">
      <c r="B761">
        <v>759</v>
      </c>
      <c r="C761">
        <v>69</v>
      </c>
      <c r="D761">
        <v>5</v>
      </c>
      <c r="E761">
        <v>3</v>
      </c>
      <c r="F761">
        <v>0</v>
      </c>
      <c r="G761" t="s">
        <v>22</v>
      </c>
      <c r="H761" t="s">
        <v>52</v>
      </c>
      <c r="I761" t="s">
        <v>639</v>
      </c>
      <c r="J761" t="s">
        <v>55</v>
      </c>
      <c r="K761" t="s">
        <v>642</v>
      </c>
      <c r="M761" t="s">
        <v>6</v>
      </c>
    </row>
    <row r="762" spans="2:13" hidden="1">
      <c r="B762">
        <v>760</v>
      </c>
      <c r="C762">
        <v>69</v>
      </c>
      <c r="D762">
        <v>5</v>
      </c>
      <c r="E762">
        <v>4</v>
      </c>
      <c r="F762">
        <v>0</v>
      </c>
      <c r="G762" t="s">
        <v>22</v>
      </c>
      <c r="H762" t="s">
        <v>52</v>
      </c>
      <c r="I762" t="s">
        <v>639</v>
      </c>
      <c r="J762" t="s">
        <v>64</v>
      </c>
      <c r="K762" t="s">
        <v>65</v>
      </c>
      <c r="M762" t="s">
        <v>6</v>
      </c>
    </row>
    <row r="763" spans="2:13" hidden="1">
      <c r="B763">
        <v>761</v>
      </c>
      <c r="C763">
        <v>69</v>
      </c>
      <c r="D763">
        <v>5</v>
      </c>
      <c r="E763">
        <v>5</v>
      </c>
      <c r="F763">
        <v>0</v>
      </c>
      <c r="G763" t="s">
        <v>22</v>
      </c>
      <c r="H763" t="s">
        <v>52</v>
      </c>
      <c r="I763" t="s">
        <v>639</v>
      </c>
      <c r="J763" t="s">
        <v>55</v>
      </c>
      <c r="K763" t="s">
        <v>643</v>
      </c>
      <c r="M763" t="s">
        <v>6</v>
      </c>
    </row>
    <row r="764" spans="2:13" hidden="1">
      <c r="B764">
        <v>762</v>
      </c>
      <c r="C764">
        <v>70</v>
      </c>
      <c r="D764">
        <v>4</v>
      </c>
      <c r="E764">
        <v>0</v>
      </c>
      <c r="F764">
        <v>0</v>
      </c>
      <c r="G764" t="s">
        <v>22</v>
      </c>
      <c r="H764" t="s">
        <v>52</v>
      </c>
      <c r="I764" t="s">
        <v>644</v>
      </c>
      <c r="J764" t="s">
        <v>54</v>
      </c>
      <c r="K764" t="s">
        <v>644</v>
      </c>
      <c r="M764" t="s">
        <v>6</v>
      </c>
    </row>
    <row r="765" spans="2:13" hidden="1">
      <c r="B765">
        <v>763</v>
      </c>
      <c r="C765">
        <v>70</v>
      </c>
      <c r="D765">
        <v>4</v>
      </c>
      <c r="E765">
        <v>1</v>
      </c>
      <c r="F765">
        <v>0</v>
      </c>
      <c r="G765" t="s">
        <v>22</v>
      </c>
      <c r="H765" t="s">
        <v>52</v>
      </c>
      <c r="I765" t="s">
        <v>644</v>
      </c>
      <c r="J765" t="s">
        <v>55</v>
      </c>
      <c r="K765" t="s">
        <v>62</v>
      </c>
      <c r="M765" t="s">
        <v>6</v>
      </c>
    </row>
    <row r="766" spans="2:13" hidden="1">
      <c r="B766">
        <v>764</v>
      </c>
      <c r="C766">
        <v>70</v>
      </c>
      <c r="D766">
        <v>4</v>
      </c>
      <c r="E766">
        <v>2</v>
      </c>
      <c r="F766">
        <v>0</v>
      </c>
      <c r="G766" t="s">
        <v>22</v>
      </c>
      <c r="H766" t="s">
        <v>52</v>
      </c>
      <c r="I766" t="s">
        <v>644</v>
      </c>
      <c r="J766" t="s">
        <v>55</v>
      </c>
      <c r="K766" t="s">
        <v>63</v>
      </c>
      <c r="M766" t="s">
        <v>6</v>
      </c>
    </row>
    <row r="767" spans="2:13" hidden="1">
      <c r="B767">
        <v>765</v>
      </c>
      <c r="C767">
        <v>70</v>
      </c>
      <c r="D767">
        <v>4</v>
      </c>
      <c r="E767">
        <v>3</v>
      </c>
      <c r="F767">
        <v>0</v>
      </c>
      <c r="G767" t="s">
        <v>22</v>
      </c>
      <c r="H767" t="s">
        <v>52</v>
      </c>
      <c r="I767" t="s">
        <v>644</v>
      </c>
      <c r="J767" t="s">
        <v>64</v>
      </c>
      <c r="K767" t="s">
        <v>65</v>
      </c>
      <c r="M767" t="s">
        <v>6</v>
      </c>
    </row>
    <row r="768" spans="2:13" hidden="1">
      <c r="B768">
        <v>766</v>
      </c>
      <c r="C768">
        <v>70</v>
      </c>
      <c r="D768">
        <v>4</v>
      </c>
      <c r="E768">
        <v>4</v>
      </c>
      <c r="F768">
        <v>0</v>
      </c>
      <c r="G768" t="s">
        <v>22</v>
      </c>
      <c r="H768" t="s">
        <v>52</v>
      </c>
      <c r="I768" t="s">
        <v>644</v>
      </c>
      <c r="J768" t="s">
        <v>55</v>
      </c>
      <c r="K768" t="s">
        <v>645</v>
      </c>
      <c r="M768" t="s">
        <v>6</v>
      </c>
    </row>
    <row r="769" spans="2:13" hidden="1">
      <c r="B769">
        <v>767</v>
      </c>
      <c r="C769">
        <v>71</v>
      </c>
      <c r="D769">
        <v>4</v>
      </c>
      <c r="E769">
        <v>0</v>
      </c>
      <c r="F769">
        <v>0</v>
      </c>
      <c r="G769" t="s">
        <v>22</v>
      </c>
      <c r="H769" t="s">
        <v>52</v>
      </c>
      <c r="I769" t="s">
        <v>646</v>
      </c>
      <c r="J769" t="s">
        <v>54</v>
      </c>
      <c r="K769" t="s">
        <v>646</v>
      </c>
      <c r="M769" t="s">
        <v>6</v>
      </c>
    </row>
    <row r="770" spans="2:13" hidden="1">
      <c r="B770">
        <v>768</v>
      </c>
      <c r="C770">
        <v>71</v>
      </c>
      <c r="D770">
        <v>4</v>
      </c>
      <c r="E770">
        <v>1</v>
      </c>
      <c r="F770">
        <v>0</v>
      </c>
      <c r="G770" t="s">
        <v>22</v>
      </c>
      <c r="H770" t="s">
        <v>52</v>
      </c>
      <c r="I770" t="s">
        <v>646</v>
      </c>
      <c r="J770" t="s">
        <v>55</v>
      </c>
      <c r="K770" t="s">
        <v>62</v>
      </c>
      <c r="M770" t="s">
        <v>6</v>
      </c>
    </row>
    <row r="771" spans="2:13" hidden="1">
      <c r="B771">
        <v>769</v>
      </c>
      <c r="C771">
        <v>71</v>
      </c>
      <c r="D771">
        <v>4</v>
      </c>
      <c r="E771">
        <v>2</v>
      </c>
      <c r="F771">
        <v>0</v>
      </c>
      <c r="G771" t="s">
        <v>22</v>
      </c>
      <c r="H771" t="s">
        <v>52</v>
      </c>
      <c r="I771" t="s">
        <v>646</v>
      </c>
      <c r="J771" t="s">
        <v>55</v>
      </c>
      <c r="K771" t="s">
        <v>63</v>
      </c>
      <c r="M771" t="s">
        <v>6</v>
      </c>
    </row>
    <row r="772" spans="2:13" hidden="1">
      <c r="B772">
        <v>770</v>
      </c>
      <c r="C772">
        <v>71</v>
      </c>
      <c r="D772">
        <v>4</v>
      </c>
      <c r="E772">
        <v>3</v>
      </c>
      <c r="F772">
        <v>0</v>
      </c>
      <c r="G772" t="s">
        <v>22</v>
      </c>
      <c r="H772" t="s">
        <v>52</v>
      </c>
      <c r="I772" t="s">
        <v>646</v>
      </c>
      <c r="J772" t="s">
        <v>64</v>
      </c>
      <c r="K772" t="s">
        <v>65</v>
      </c>
      <c r="M772" t="s">
        <v>6</v>
      </c>
    </row>
    <row r="773" spans="2:13" hidden="1">
      <c r="B773">
        <v>771</v>
      </c>
      <c r="C773">
        <v>71</v>
      </c>
      <c r="D773">
        <v>4</v>
      </c>
      <c r="E773">
        <v>4</v>
      </c>
      <c r="F773">
        <v>0</v>
      </c>
      <c r="G773" t="s">
        <v>22</v>
      </c>
      <c r="H773" t="s">
        <v>52</v>
      </c>
      <c r="I773" t="s">
        <v>646</v>
      </c>
      <c r="J773" t="s">
        <v>55</v>
      </c>
      <c r="K773" t="s">
        <v>647</v>
      </c>
      <c r="M773" t="s">
        <v>6</v>
      </c>
    </row>
    <row r="774" spans="2:13" hidden="1">
      <c r="B774">
        <v>772</v>
      </c>
      <c r="C774">
        <v>72</v>
      </c>
      <c r="D774">
        <v>4</v>
      </c>
      <c r="E774">
        <v>0</v>
      </c>
      <c r="F774">
        <v>0</v>
      </c>
      <c r="G774" t="s">
        <v>22</v>
      </c>
      <c r="H774" t="s">
        <v>52</v>
      </c>
      <c r="I774" t="s">
        <v>648</v>
      </c>
      <c r="J774" t="s">
        <v>54</v>
      </c>
      <c r="K774" t="s">
        <v>648</v>
      </c>
      <c r="M774" t="s">
        <v>6</v>
      </c>
    </row>
    <row r="775" spans="2:13" hidden="1">
      <c r="B775">
        <v>773</v>
      </c>
      <c r="C775">
        <v>72</v>
      </c>
      <c r="D775">
        <v>4</v>
      </c>
      <c r="E775">
        <v>1</v>
      </c>
      <c r="F775">
        <v>0</v>
      </c>
      <c r="G775" t="s">
        <v>22</v>
      </c>
      <c r="H775" t="s">
        <v>52</v>
      </c>
      <c r="I775" t="s">
        <v>648</v>
      </c>
      <c r="J775" t="s">
        <v>55</v>
      </c>
      <c r="K775" t="s">
        <v>62</v>
      </c>
      <c r="M775" t="s">
        <v>6</v>
      </c>
    </row>
    <row r="776" spans="2:13" hidden="1">
      <c r="B776">
        <v>774</v>
      </c>
      <c r="C776">
        <v>72</v>
      </c>
      <c r="D776">
        <v>4</v>
      </c>
      <c r="E776">
        <v>2</v>
      </c>
      <c r="F776">
        <v>0</v>
      </c>
      <c r="G776" t="s">
        <v>22</v>
      </c>
      <c r="H776" t="s">
        <v>52</v>
      </c>
      <c r="I776" t="s">
        <v>648</v>
      </c>
      <c r="J776" t="s">
        <v>55</v>
      </c>
      <c r="K776" t="s">
        <v>63</v>
      </c>
      <c r="M776" t="s">
        <v>6</v>
      </c>
    </row>
    <row r="777" spans="2:13" hidden="1">
      <c r="B777">
        <v>775</v>
      </c>
      <c r="C777">
        <v>72</v>
      </c>
      <c r="D777">
        <v>4</v>
      </c>
      <c r="E777">
        <v>3</v>
      </c>
      <c r="F777">
        <v>0</v>
      </c>
      <c r="G777" t="s">
        <v>22</v>
      </c>
      <c r="H777" t="s">
        <v>52</v>
      </c>
      <c r="I777" t="s">
        <v>648</v>
      </c>
      <c r="J777" t="s">
        <v>64</v>
      </c>
      <c r="K777" t="s">
        <v>65</v>
      </c>
      <c r="M777" t="s">
        <v>6</v>
      </c>
    </row>
    <row r="778" spans="2:13" hidden="1">
      <c r="B778">
        <v>776</v>
      </c>
      <c r="C778">
        <v>72</v>
      </c>
      <c r="D778">
        <v>4</v>
      </c>
      <c r="E778">
        <v>4</v>
      </c>
      <c r="F778">
        <v>0</v>
      </c>
      <c r="G778" t="s">
        <v>22</v>
      </c>
      <c r="H778" t="s">
        <v>52</v>
      </c>
      <c r="I778" t="s">
        <v>648</v>
      </c>
      <c r="J778" t="s">
        <v>55</v>
      </c>
      <c r="K778" t="s">
        <v>649</v>
      </c>
      <c r="M778" t="s">
        <v>6</v>
      </c>
    </row>
    <row r="779" spans="2:13" hidden="1">
      <c r="B779">
        <v>777</v>
      </c>
      <c r="C779">
        <v>73</v>
      </c>
      <c r="D779">
        <v>4</v>
      </c>
      <c r="E779">
        <v>0</v>
      </c>
      <c r="F779">
        <v>0</v>
      </c>
      <c r="G779" t="s">
        <v>22</v>
      </c>
      <c r="H779" t="s">
        <v>52</v>
      </c>
      <c r="I779" t="s">
        <v>650</v>
      </c>
      <c r="J779" t="s">
        <v>54</v>
      </c>
      <c r="K779" t="s">
        <v>650</v>
      </c>
      <c r="M779" t="s">
        <v>6</v>
      </c>
    </row>
    <row r="780" spans="2:13" hidden="1">
      <c r="B780">
        <v>778</v>
      </c>
      <c r="C780">
        <v>73</v>
      </c>
      <c r="D780">
        <v>4</v>
      </c>
      <c r="E780">
        <v>1</v>
      </c>
      <c r="F780">
        <v>0</v>
      </c>
      <c r="G780" t="s">
        <v>22</v>
      </c>
      <c r="H780" t="s">
        <v>52</v>
      </c>
      <c r="I780" t="s">
        <v>650</v>
      </c>
      <c r="J780" t="s">
        <v>55</v>
      </c>
      <c r="K780" t="s">
        <v>62</v>
      </c>
      <c r="M780" t="s">
        <v>6</v>
      </c>
    </row>
    <row r="781" spans="2:13" hidden="1">
      <c r="B781">
        <v>779</v>
      </c>
      <c r="C781">
        <v>73</v>
      </c>
      <c r="D781">
        <v>4</v>
      </c>
      <c r="E781">
        <v>2</v>
      </c>
      <c r="F781">
        <v>0</v>
      </c>
      <c r="G781" t="s">
        <v>22</v>
      </c>
      <c r="H781" t="s">
        <v>52</v>
      </c>
      <c r="I781" t="s">
        <v>650</v>
      </c>
      <c r="J781" t="s">
        <v>55</v>
      </c>
      <c r="K781" t="s">
        <v>63</v>
      </c>
      <c r="M781" t="s">
        <v>6</v>
      </c>
    </row>
    <row r="782" spans="2:13" hidden="1">
      <c r="B782">
        <v>780</v>
      </c>
      <c r="C782">
        <v>73</v>
      </c>
      <c r="D782">
        <v>4</v>
      </c>
      <c r="E782">
        <v>3</v>
      </c>
      <c r="F782">
        <v>0</v>
      </c>
      <c r="G782" t="s">
        <v>22</v>
      </c>
      <c r="H782" t="s">
        <v>52</v>
      </c>
      <c r="I782" t="s">
        <v>650</v>
      </c>
      <c r="J782" t="s">
        <v>64</v>
      </c>
      <c r="K782" t="s">
        <v>65</v>
      </c>
      <c r="M782" t="s">
        <v>6</v>
      </c>
    </row>
    <row r="783" spans="2:13" hidden="1">
      <c r="B783">
        <v>781</v>
      </c>
      <c r="C783">
        <v>73</v>
      </c>
      <c r="D783">
        <v>4</v>
      </c>
      <c r="E783">
        <v>4</v>
      </c>
      <c r="F783">
        <v>0</v>
      </c>
      <c r="G783" t="s">
        <v>22</v>
      </c>
      <c r="H783" t="s">
        <v>52</v>
      </c>
      <c r="I783" t="s">
        <v>650</v>
      </c>
      <c r="J783" t="s">
        <v>55</v>
      </c>
      <c r="K783" t="s">
        <v>651</v>
      </c>
      <c r="M783" t="s">
        <v>6</v>
      </c>
    </row>
    <row r="784" spans="2:13" hidden="1">
      <c r="B784">
        <v>782</v>
      </c>
      <c r="C784">
        <v>74</v>
      </c>
      <c r="D784">
        <v>4</v>
      </c>
      <c r="E784">
        <v>0</v>
      </c>
      <c r="F784">
        <v>0</v>
      </c>
      <c r="G784" t="s">
        <v>22</v>
      </c>
      <c r="H784" t="s">
        <v>52</v>
      </c>
      <c r="I784" t="s">
        <v>652</v>
      </c>
      <c r="J784" t="s">
        <v>54</v>
      </c>
      <c r="K784" t="s">
        <v>652</v>
      </c>
      <c r="M784" t="s">
        <v>6</v>
      </c>
    </row>
    <row r="785" spans="2:13" hidden="1">
      <c r="B785">
        <v>783</v>
      </c>
      <c r="C785">
        <v>74</v>
      </c>
      <c r="D785">
        <v>4</v>
      </c>
      <c r="E785">
        <v>1</v>
      </c>
      <c r="F785">
        <v>0</v>
      </c>
      <c r="G785" t="s">
        <v>22</v>
      </c>
      <c r="H785" t="s">
        <v>52</v>
      </c>
      <c r="I785" t="s">
        <v>652</v>
      </c>
      <c r="J785" t="s">
        <v>55</v>
      </c>
      <c r="K785" t="s">
        <v>62</v>
      </c>
      <c r="M785" t="s">
        <v>6</v>
      </c>
    </row>
    <row r="786" spans="2:13" hidden="1">
      <c r="B786">
        <v>784</v>
      </c>
      <c r="C786">
        <v>74</v>
      </c>
      <c r="D786">
        <v>4</v>
      </c>
      <c r="E786">
        <v>2</v>
      </c>
      <c r="F786">
        <v>0</v>
      </c>
      <c r="G786" t="s">
        <v>22</v>
      </c>
      <c r="H786" t="s">
        <v>52</v>
      </c>
      <c r="I786" t="s">
        <v>652</v>
      </c>
      <c r="J786" t="s">
        <v>55</v>
      </c>
      <c r="K786" t="s">
        <v>63</v>
      </c>
      <c r="M786" t="s">
        <v>6</v>
      </c>
    </row>
    <row r="787" spans="2:13" hidden="1">
      <c r="B787">
        <v>785</v>
      </c>
      <c r="C787">
        <v>74</v>
      </c>
      <c r="D787">
        <v>4</v>
      </c>
      <c r="E787">
        <v>3</v>
      </c>
      <c r="F787">
        <v>0</v>
      </c>
      <c r="G787" t="s">
        <v>22</v>
      </c>
      <c r="H787" t="s">
        <v>52</v>
      </c>
      <c r="I787" t="s">
        <v>652</v>
      </c>
      <c r="J787" t="s">
        <v>64</v>
      </c>
      <c r="K787" t="s">
        <v>65</v>
      </c>
      <c r="M787" t="s">
        <v>6</v>
      </c>
    </row>
    <row r="788" spans="2:13" hidden="1">
      <c r="B788">
        <v>786</v>
      </c>
      <c r="C788">
        <v>74</v>
      </c>
      <c r="D788">
        <v>4</v>
      </c>
      <c r="E788">
        <v>4</v>
      </c>
      <c r="F788">
        <v>0</v>
      </c>
      <c r="G788" t="s">
        <v>22</v>
      </c>
      <c r="H788" t="s">
        <v>52</v>
      </c>
      <c r="I788" t="s">
        <v>652</v>
      </c>
      <c r="J788" t="s">
        <v>55</v>
      </c>
      <c r="K788" t="s">
        <v>653</v>
      </c>
      <c r="M788" t="s">
        <v>6</v>
      </c>
    </row>
    <row r="789" spans="2:13" hidden="1">
      <c r="B789">
        <v>787</v>
      </c>
      <c r="C789">
        <v>75</v>
      </c>
      <c r="D789">
        <v>4</v>
      </c>
      <c r="E789">
        <v>0</v>
      </c>
      <c r="F789">
        <v>0</v>
      </c>
      <c r="G789" t="s">
        <v>22</v>
      </c>
      <c r="H789" t="s">
        <v>52</v>
      </c>
      <c r="I789" t="s">
        <v>654</v>
      </c>
      <c r="J789" t="s">
        <v>54</v>
      </c>
      <c r="K789" t="s">
        <v>654</v>
      </c>
      <c r="M789" t="s">
        <v>6</v>
      </c>
    </row>
    <row r="790" spans="2:13" hidden="1">
      <c r="B790">
        <v>788</v>
      </c>
      <c r="C790">
        <v>75</v>
      </c>
      <c r="D790">
        <v>4</v>
      </c>
      <c r="E790">
        <v>1</v>
      </c>
      <c r="F790">
        <v>0</v>
      </c>
      <c r="G790" t="s">
        <v>22</v>
      </c>
      <c r="H790" t="s">
        <v>52</v>
      </c>
      <c r="I790" t="s">
        <v>654</v>
      </c>
      <c r="J790" t="s">
        <v>655</v>
      </c>
      <c r="K790" t="s">
        <v>62</v>
      </c>
      <c r="M790" t="s">
        <v>6</v>
      </c>
    </row>
    <row r="791" spans="2:13" hidden="1">
      <c r="B791">
        <v>789</v>
      </c>
      <c r="C791">
        <v>75</v>
      </c>
      <c r="D791">
        <v>4</v>
      </c>
      <c r="E791">
        <v>2</v>
      </c>
      <c r="F791">
        <v>0</v>
      </c>
      <c r="G791" t="s">
        <v>22</v>
      </c>
      <c r="H791" t="s">
        <v>52</v>
      </c>
      <c r="I791" t="s">
        <v>654</v>
      </c>
      <c r="J791" t="s">
        <v>655</v>
      </c>
      <c r="K791" t="s">
        <v>63</v>
      </c>
      <c r="M791" t="s">
        <v>6</v>
      </c>
    </row>
    <row r="792" spans="2:13" hidden="1">
      <c r="B792">
        <v>790</v>
      </c>
      <c r="C792">
        <v>75</v>
      </c>
      <c r="D792">
        <v>4</v>
      </c>
      <c r="E792">
        <v>3</v>
      </c>
      <c r="F792">
        <v>0</v>
      </c>
      <c r="G792" t="s">
        <v>22</v>
      </c>
      <c r="H792" t="s">
        <v>52</v>
      </c>
      <c r="I792" t="s">
        <v>654</v>
      </c>
      <c r="J792" t="s">
        <v>64</v>
      </c>
      <c r="K792" t="s">
        <v>65</v>
      </c>
      <c r="M792" t="s">
        <v>6</v>
      </c>
    </row>
    <row r="793" spans="2:13" hidden="1">
      <c r="B793">
        <v>791</v>
      </c>
      <c r="C793">
        <v>75</v>
      </c>
      <c r="D793">
        <v>4</v>
      </c>
      <c r="E793">
        <v>4</v>
      </c>
      <c r="F793">
        <v>0</v>
      </c>
      <c r="G793" t="s">
        <v>22</v>
      </c>
      <c r="H793" t="s">
        <v>52</v>
      </c>
      <c r="I793" t="s">
        <v>654</v>
      </c>
      <c r="J793" t="s">
        <v>655</v>
      </c>
      <c r="K793" t="s">
        <v>656</v>
      </c>
      <c r="M793" t="s">
        <v>6</v>
      </c>
    </row>
    <row r="794" spans="2:13" hidden="1">
      <c r="B794">
        <v>792</v>
      </c>
      <c r="C794">
        <v>76</v>
      </c>
      <c r="D794">
        <v>4</v>
      </c>
      <c r="E794">
        <v>0</v>
      </c>
      <c r="F794">
        <v>0</v>
      </c>
      <c r="G794" t="s">
        <v>22</v>
      </c>
      <c r="H794" t="s">
        <v>52</v>
      </c>
      <c r="I794" t="s">
        <v>657</v>
      </c>
      <c r="J794" t="s">
        <v>54</v>
      </c>
      <c r="K794" t="s">
        <v>657</v>
      </c>
      <c r="M794" t="s">
        <v>6</v>
      </c>
    </row>
    <row r="795" spans="2:13" hidden="1">
      <c r="B795">
        <v>793</v>
      </c>
      <c r="C795">
        <v>76</v>
      </c>
      <c r="D795">
        <v>4</v>
      </c>
      <c r="E795">
        <v>1</v>
      </c>
      <c r="F795">
        <v>0</v>
      </c>
      <c r="G795" t="s">
        <v>22</v>
      </c>
      <c r="H795" t="s">
        <v>52</v>
      </c>
      <c r="I795" t="s">
        <v>657</v>
      </c>
      <c r="J795" t="s">
        <v>55</v>
      </c>
      <c r="K795" t="s">
        <v>62</v>
      </c>
      <c r="M795" t="s">
        <v>6</v>
      </c>
    </row>
    <row r="796" spans="2:13" hidden="1">
      <c r="B796">
        <v>794</v>
      </c>
      <c r="C796">
        <v>76</v>
      </c>
      <c r="D796">
        <v>4</v>
      </c>
      <c r="E796">
        <v>2</v>
      </c>
      <c r="F796">
        <v>0</v>
      </c>
      <c r="G796" t="s">
        <v>22</v>
      </c>
      <c r="H796" t="s">
        <v>52</v>
      </c>
      <c r="I796" t="s">
        <v>657</v>
      </c>
      <c r="J796" t="s">
        <v>55</v>
      </c>
      <c r="K796" t="s">
        <v>63</v>
      </c>
      <c r="M796" t="s">
        <v>6</v>
      </c>
    </row>
    <row r="797" spans="2:13" hidden="1">
      <c r="B797">
        <v>795</v>
      </c>
      <c r="C797">
        <v>76</v>
      </c>
      <c r="D797">
        <v>4</v>
      </c>
      <c r="E797">
        <v>3</v>
      </c>
      <c r="F797">
        <v>0</v>
      </c>
      <c r="G797" t="s">
        <v>22</v>
      </c>
      <c r="H797" t="s">
        <v>52</v>
      </c>
      <c r="I797" t="s">
        <v>657</v>
      </c>
      <c r="J797" t="s">
        <v>64</v>
      </c>
      <c r="K797" t="s">
        <v>65</v>
      </c>
      <c r="M797" t="s">
        <v>6</v>
      </c>
    </row>
    <row r="798" spans="2:13" hidden="1">
      <c r="B798">
        <v>796</v>
      </c>
      <c r="C798">
        <v>76</v>
      </c>
      <c r="D798">
        <v>4</v>
      </c>
      <c r="E798">
        <v>4</v>
      </c>
      <c r="F798">
        <v>0</v>
      </c>
      <c r="G798" t="s">
        <v>22</v>
      </c>
      <c r="H798" t="s">
        <v>52</v>
      </c>
      <c r="I798" t="s">
        <v>657</v>
      </c>
      <c r="J798" t="s">
        <v>55</v>
      </c>
      <c r="K798" t="s">
        <v>658</v>
      </c>
      <c r="M798" t="s">
        <v>6</v>
      </c>
    </row>
    <row r="799" spans="2:13" hidden="1">
      <c r="B799">
        <v>797</v>
      </c>
      <c r="C799">
        <v>77</v>
      </c>
      <c r="D799">
        <v>4</v>
      </c>
      <c r="E799">
        <v>0</v>
      </c>
      <c r="F799">
        <v>0</v>
      </c>
      <c r="G799" t="s">
        <v>22</v>
      </c>
      <c r="H799" t="s">
        <v>52</v>
      </c>
      <c r="I799" t="s">
        <v>659</v>
      </c>
      <c r="J799" t="s">
        <v>54</v>
      </c>
      <c r="K799" t="s">
        <v>659</v>
      </c>
      <c r="M799" t="s">
        <v>6</v>
      </c>
    </row>
    <row r="800" spans="2:13" hidden="1">
      <c r="B800">
        <v>798</v>
      </c>
      <c r="C800">
        <v>77</v>
      </c>
      <c r="D800">
        <v>4</v>
      </c>
      <c r="E800">
        <v>1</v>
      </c>
      <c r="F800">
        <v>0</v>
      </c>
      <c r="G800" t="s">
        <v>22</v>
      </c>
      <c r="H800" t="s">
        <v>52</v>
      </c>
      <c r="I800" t="s">
        <v>659</v>
      </c>
      <c r="J800" t="s">
        <v>55</v>
      </c>
      <c r="K800" t="s">
        <v>62</v>
      </c>
      <c r="M800" t="s">
        <v>6</v>
      </c>
    </row>
    <row r="801" spans="2:13" hidden="1">
      <c r="B801">
        <v>799</v>
      </c>
      <c r="C801">
        <v>77</v>
      </c>
      <c r="D801">
        <v>4</v>
      </c>
      <c r="E801">
        <v>2</v>
      </c>
      <c r="F801">
        <v>0</v>
      </c>
      <c r="G801" t="s">
        <v>22</v>
      </c>
      <c r="H801" t="s">
        <v>52</v>
      </c>
      <c r="I801" t="s">
        <v>659</v>
      </c>
      <c r="J801" t="s">
        <v>55</v>
      </c>
      <c r="K801" t="s">
        <v>63</v>
      </c>
      <c r="M801" t="s">
        <v>6</v>
      </c>
    </row>
    <row r="802" spans="2:13" hidden="1">
      <c r="B802">
        <v>800</v>
      </c>
      <c r="C802">
        <v>77</v>
      </c>
      <c r="D802">
        <v>4</v>
      </c>
      <c r="E802">
        <v>3</v>
      </c>
      <c r="F802">
        <v>0</v>
      </c>
      <c r="G802" t="s">
        <v>22</v>
      </c>
      <c r="H802" t="s">
        <v>52</v>
      </c>
      <c r="I802" t="s">
        <v>659</v>
      </c>
      <c r="J802" t="s">
        <v>64</v>
      </c>
      <c r="K802" t="s">
        <v>65</v>
      </c>
      <c r="M802" t="s">
        <v>6</v>
      </c>
    </row>
    <row r="803" spans="2:13" hidden="1">
      <c r="B803">
        <v>801</v>
      </c>
      <c r="C803">
        <v>77</v>
      </c>
      <c r="D803">
        <v>4</v>
      </c>
      <c r="E803">
        <v>4</v>
      </c>
      <c r="F803">
        <v>0</v>
      </c>
      <c r="G803" t="s">
        <v>22</v>
      </c>
      <c r="H803" t="s">
        <v>52</v>
      </c>
      <c r="I803" t="s">
        <v>659</v>
      </c>
      <c r="J803" t="s">
        <v>55</v>
      </c>
      <c r="K803" t="s">
        <v>660</v>
      </c>
      <c r="M803" t="s">
        <v>6</v>
      </c>
    </row>
    <row r="804" spans="2:13" hidden="1">
      <c r="B804">
        <v>802</v>
      </c>
      <c r="C804">
        <v>78</v>
      </c>
      <c r="D804">
        <v>4</v>
      </c>
      <c r="E804">
        <v>0</v>
      </c>
      <c r="F804">
        <v>0</v>
      </c>
      <c r="G804" t="s">
        <v>22</v>
      </c>
      <c r="H804" t="s">
        <v>52</v>
      </c>
      <c r="I804" t="s">
        <v>661</v>
      </c>
      <c r="J804" t="s">
        <v>54</v>
      </c>
      <c r="K804" t="s">
        <v>661</v>
      </c>
      <c r="M804" t="s">
        <v>6</v>
      </c>
    </row>
    <row r="805" spans="2:13" hidden="1">
      <c r="B805">
        <v>803</v>
      </c>
      <c r="C805">
        <v>78</v>
      </c>
      <c r="D805">
        <v>4</v>
      </c>
      <c r="E805">
        <v>1</v>
      </c>
      <c r="F805">
        <v>0</v>
      </c>
      <c r="G805" t="s">
        <v>22</v>
      </c>
      <c r="H805" t="s">
        <v>52</v>
      </c>
      <c r="I805" t="s">
        <v>661</v>
      </c>
      <c r="J805" t="s">
        <v>55</v>
      </c>
      <c r="K805" t="s">
        <v>62</v>
      </c>
      <c r="M805" t="s">
        <v>6</v>
      </c>
    </row>
    <row r="806" spans="2:13" hidden="1">
      <c r="B806">
        <v>804</v>
      </c>
      <c r="C806">
        <v>78</v>
      </c>
      <c r="D806">
        <v>4</v>
      </c>
      <c r="E806">
        <v>2</v>
      </c>
      <c r="F806">
        <v>0</v>
      </c>
      <c r="G806" t="s">
        <v>22</v>
      </c>
      <c r="H806" t="s">
        <v>52</v>
      </c>
      <c r="I806" t="s">
        <v>661</v>
      </c>
      <c r="J806" t="s">
        <v>55</v>
      </c>
      <c r="K806" t="s">
        <v>63</v>
      </c>
      <c r="M806" t="s">
        <v>6</v>
      </c>
    </row>
    <row r="807" spans="2:13" hidden="1">
      <c r="B807">
        <v>805</v>
      </c>
      <c r="C807">
        <v>78</v>
      </c>
      <c r="D807">
        <v>4</v>
      </c>
      <c r="E807">
        <v>3</v>
      </c>
      <c r="F807">
        <v>0</v>
      </c>
      <c r="G807" t="s">
        <v>22</v>
      </c>
      <c r="H807" t="s">
        <v>52</v>
      </c>
      <c r="I807" t="s">
        <v>661</v>
      </c>
      <c r="J807" t="s">
        <v>64</v>
      </c>
      <c r="K807" t="s">
        <v>65</v>
      </c>
      <c r="M807" t="s">
        <v>6</v>
      </c>
    </row>
    <row r="808" spans="2:13" hidden="1">
      <c r="B808">
        <v>806</v>
      </c>
      <c r="C808">
        <v>78</v>
      </c>
      <c r="D808">
        <v>4</v>
      </c>
      <c r="E808">
        <v>4</v>
      </c>
      <c r="F808">
        <v>0</v>
      </c>
      <c r="G808" t="s">
        <v>22</v>
      </c>
      <c r="H808" t="s">
        <v>52</v>
      </c>
      <c r="I808" t="s">
        <v>661</v>
      </c>
      <c r="J808" t="s">
        <v>55</v>
      </c>
      <c r="K808" t="s">
        <v>662</v>
      </c>
      <c r="M808" t="s">
        <v>6</v>
      </c>
    </row>
    <row r="809" spans="2:13" hidden="1">
      <c r="B809">
        <v>807</v>
      </c>
      <c r="C809">
        <v>79</v>
      </c>
      <c r="D809">
        <v>4</v>
      </c>
      <c r="E809">
        <v>0</v>
      </c>
      <c r="F809">
        <v>0</v>
      </c>
      <c r="G809" t="s">
        <v>22</v>
      </c>
      <c r="H809" t="s">
        <v>52</v>
      </c>
      <c r="I809" t="s">
        <v>663</v>
      </c>
      <c r="J809" t="s">
        <v>54</v>
      </c>
      <c r="K809" t="s">
        <v>663</v>
      </c>
      <c r="M809" t="s">
        <v>6</v>
      </c>
    </row>
    <row r="810" spans="2:13" hidden="1">
      <c r="B810">
        <v>808</v>
      </c>
      <c r="C810">
        <v>79</v>
      </c>
      <c r="D810">
        <v>4</v>
      </c>
      <c r="E810">
        <v>1</v>
      </c>
      <c r="F810">
        <v>0</v>
      </c>
      <c r="G810" t="s">
        <v>22</v>
      </c>
      <c r="H810" t="s">
        <v>52</v>
      </c>
      <c r="I810" t="s">
        <v>663</v>
      </c>
      <c r="J810" t="s">
        <v>55</v>
      </c>
      <c r="K810" t="s">
        <v>62</v>
      </c>
      <c r="M810" t="s">
        <v>6</v>
      </c>
    </row>
    <row r="811" spans="2:13" hidden="1">
      <c r="B811">
        <v>809</v>
      </c>
      <c r="C811">
        <v>79</v>
      </c>
      <c r="D811">
        <v>4</v>
      </c>
      <c r="E811">
        <v>2</v>
      </c>
      <c r="F811">
        <v>0</v>
      </c>
      <c r="G811" t="s">
        <v>22</v>
      </c>
      <c r="H811" t="s">
        <v>52</v>
      </c>
      <c r="I811" t="s">
        <v>663</v>
      </c>
      <c r="J811" t="s">
        <v>55</v>
      </c>
      <c r="K811" t="s">
        <v>63</v>
      </c>
      <c r="M811" t="s">
        <v>6</v>
      </c>
    </row>
    <row r="812" spans="2:13" hidden="1">
      <c r="B812">
        <v>810</v>
      </c>
      <c r="C812">
        <v>79</v>
      </c>
      <c r="D812">
        <v>4</v>
      </c>
      <c r="E812">
        <v>3</v>
      </c>
      <c r="F812">
        <v>0</v>
      </c>
      <c r="G812" t="s">
        <v>22</v>
      </c>
      <c r="H812" t="s">
        <v>52</v>
      </c>
      <c r="I812" t="s">
        <v>663</v>
      </c>
      <c r="J812" t="s">
        <v>64</v>
      </c>
      <c r="K812" t="s">
        <v>65</v>
      </c>
      <c r="M812" t="s">
        <v>6</v>
      </c>
    </row>
    <row r="813" spans="2:13" hidden="1">
      <c r="B813">
        <v>811</v>
      </c>
      <c r="C813">
        <v>79</v>
      </c>
      <c r="D813">
        <v>4</v>
      </c>
      <c r="E813">
        <v>4</v>
      </c>
      <c r="F813">
        <v>0</v>
      </c>
      <c r="G813" t="s">
        <v>22</v>
      </c>
      <c r="H813" t="s">
        <v>52</v>
      </c>
      <c r="I813" t="s">
        <v>663</v>
      </c>
      <c r="J813" t="s">
        <v>55</v>
      </c>
      <c r="K813" t="s">
        <v>664</v>
      </c>
      <c r="M813" t="s">
        <v>6</v>
      </c>
    </row>
    <row r="814" spans="2:13" hidden="1">
      <c r="B814">
        <v>812</v>
      </c>
      <c r="C814">
        <v>80</v>
      </c>
      <c r="D814">
        <v>4</v>
      </c>
      <c r="E814">
        <v>0</v>
      </c>
      <c r="F814">
        <v>0</v>
      </c>
      <c r="G814" t="s">
        <v>22</v>
      </c>
      <c r="H814" t="s">
        <v>52</v>
      </c>
      <c r="I814" t="s">
        <v>665</v>
      </c>
      <c r="J814" t="s">
        <v>54</v>
      </c>
      <c r="K814" t="s">
        <v>665</v>
      </c>
      <c r="M814" t="s">
        <v>6</v>
      </c>
    </row>
    <row r="815" spans="2:13" hidden="1">
      <c r="B815">
        <v>813</v>
      </c>
      <c r="C815">
        <v>80</v>
      </c>
      <c r="D815">
        <v>4</v>
      </c>
      <c r="E815">
        <v>1</v>
      </c>
      <c r="F815">
        <v>0</v>
      </c>
      <c r="G815" t="s">
        <v>22</v>
      </c>
      <c r="H815" t="s">
        <v>52</v>
      </c>
      <c r="I815" t="s">
        <v>665</v>
      </c>
      <c r="J815" t="s">
        <v>55</v>
      </c>
      <c r="K815" t="s">
        <v>62</v>
      </c>
      <c r="M815" t="s">
        <v>6</v>
      </c>
    </row>
    <row r="816" spans="2:13" hidden="1">
      <c r="B816">
        <v>814</v>
      </c>
      <c r="C816">
        <v>80</v>
      </c>
      <c r="D816">
        <v>4</v>
      </c>
      <c r="E816">
        <v>2</v>
      </c>
      <c r="F816">
        <v>0</v>
      </c>
      <c r="G816" t="s">
        <v>22</v>
      </c>
      <c r="H816" t="s">
        <v>52</v>
      </c>
      <c r="I816" t="s">
        <v>665</v>
      </c>
      <c r="J816" t="s">
        <v>55</v>
      </c>
      <c r="K816" t="s">
        <v>63</v>
      </c>
      <c r="M816" t="s">
        <v>6</v>
      </c>
    </row>
    <row r="817" spans="2:13" hidden="1">
      <c r="B817">
        <v>815</v>
      </c>
      <c r="C817">
        <v>80</v>
      </c>
      <c r="D817">
        <v>4</v>
      </c>
      <c r="E817">
        <v>3</v>
      </c>
      <c r="F817">
        <v>0</v>
      </c>
      <c r="G817" t="s">
        <v>22</v>
      </c>
      <c r="H817" t="s">
        <v>52</v>
      </c>
      <c r="I817" t="s">
        <v>665</v>
      </c>
      <c r="J817" t="s">
        <v>64</v>
      </c>
      <c r="K817" t="s">
        <v>65</v>
      </c>
      <c r="M817" t="s">
        <v>6</v>
      </c>
    </row>
    <row r="818" spans="2:13" hidden="1">
      <c r="B818">
        <v>816</v>
      </c>
      <c r="C818">
        <v>80</v>
      </c>
      <c r="D818">
        <v>4</v>
      </c>
      <c r="E818">
        <v>4</v>
      </c>
      <c r="F818">
        <v>0</v>
      </c>
      <c r="G818" t="s">
        <v>22</v>
      </c>
      <c r="H818" t="s">
        <v>52</v>
      </c>
      <c r="I818" t="s">
        <v>665</v>
      </c>
      <c r="J818" t="s">
        <v>55</v>
      </c>
      <c r="K818" t="s">
        <v>666</v>
      </c>
      <c r="M818" t="s">
        <v>6</v>
      </c>
    </row>
    <row r="819" spans="2:13" hidden="1">
      <c r="B819">
        <v>817</v>
      </c>
      <c r="C819">
        <v>81</v>
      </c>
      <c r="D819">
        <v>4</v>
      </c>
      <c r="E819">
        <v>0</v>
      </c>
      <c r="F819">
        <v>0</v>
      </c>
      <c r="G819" t="s">
        <v>22</v>
      </c>
      <c r="H819" t="s">
        <v>52</v>
      </c>
      <c r="I819" t="s">
        <v>667</v>
      </c>
      <c r="J819" t="s">
        <v>54</v>
      </c>
      <c r="K819" t="s">
        <v>667</v>
      </c>
      <c r="M819" t="s">
        <v>6</v>
      </c>
    </row>
    <row r="820" spans="2:13" hidden="1">
      <c r="B820">
        <v>818</v>
      </c>
      <c r="C820">
        <v>81</v>
      </c>
      <c r="D820">
        <v>4</v>
      </c>
      <c r="E820">
        <v>1</v>
      </c>
      <c r="F820">
        <v>0</v>
      </c>
      <c r="G820" t="s">
        <v>22</v>
      </c>
      <c r="H820" t="s">
        <v>52</v>
      </c>
      <c r="I820" t="s">
        <v>667</v>
      </c>
      <c r="J820" t="s">
        <v>55</v>
      </c>
      <c r="K820" t="s">
        <v>62</v>
      </c>
      <c r="M820" t="s">
        <v>6</v>
      </c>
    </row>
    <row r="821" spans="2:13" hidden="1">
      <c r="B821">
        <v>819</v>
      </c>
      <c r="C821">
        <v>81</v>
      </c>
      <c r="D821">
        <v>4</v>
      </c>
      <c r="E821">
        <v>2</v>
      </c>
      <c r="F821">
        <v>0</v>
      </c>
      <c r="G821" t="s">
        <v>22</v>
      </c>
      <c r="H821" t="s">
        <v>52</v>
      </c>
      <c r="I821" t="s">
        <v>667</v>
      </c>
      <c r="J821" t="s">
        <v>55</v>
      </c>
      <c r="K821" t="s">
        <v>63</v>
      </c>
      <c r="M821" t="s">
        <v>6</v>
      </c>
    </row>
    <row r="822" spans="2:13" hidden="1">
      <c r="B822">
        <v>820</v>
      </c>
      <c r="C822">
        <v>81</v>
      </c>
      <c r="D822">
        <v>4</v>
      </c>
      <c r="E822">
        <v>3</v>
      </c>
      <c r="F822">
        <v>0</v>
      </c>
      <c r="G822" t="s">
        <v>22</v>
      </c>
      <c r="H822" t="s">
        <v>52</v>
      </c>
      <c r="I822" t="s">
        <v>667</v>
      </c>
      <c r="J822" t="s">
        <v>64</v>
      </c>
      <c r="K822" t="s">
        <v>65</v>
      </c>
      <c r="M822" t="s">
        <v>6</v>
      </c>
    </row>
    <row r="823" spans="2:13" hidden="1">
      <c r="B823">
        <v>821</v>
      </c>
      <c r="C823">
        <v>81</v>
      </c>
      <c r="D823">
        <v>4</v>
      </c>
      <c r="E823">
        <v>4</v>
      </c>
      <c r="F823">
        <v>0</v>
      </c>
      <c r="G823" t="s">
        <v>22</v>
      </c>
      <c r="H823" t="s">
        <v>52</v>
      </c>
      <c r="I823" t="s">
        <v>667</v>
      </c>
      <c r="J823" t="s">
        <v>55</v>
      </c>
      <c r="K823" t="s">
        <v>668</v>
      </c>
      <c r="M823" t="s">
        <v>6</v>
      </c>
    </row>
    <row r="824" spans="2:13" hidden="1">
      <c r="B824">
        <v>822</v>
      </c>
      <c r="C824">
        <v>82</v>
      </c>
      <c r="D824">
        <v>4</v>
      </c>
      <c r="E824">
        <v>0</v>
      </c>
      <c r="F824">
        <v>0</v>
      </c>
      <c r="G824" t="s">
        <v>22</v>
      </c>
      <c r="H824" t="s">
        <v>52</v>
      </c>
      <c r="I824" t="s">
        <v>669</v>
      </c>
      <c r="J824" t="s">
        <v>54</v>
      </c>
      <c r="K824" t="s">
        <v>669</v>
      </c>
      <c r="M824" t="s">
        <v>6</v>
      </c>
    </row>
    <row r="825" spans="2:13" hidden="1">
      <c r="B825">
        <v>823</v>
      </c>
      <c r="C825">
        <v>82</v>
      </c>
      <c r="D825">
        <v>4</v>
      </c>
      <c r="E825">
        <v>1</v>
      </c>
      <c r="F825">
        <v>0</v>
      </c>
      <c r="G825" t="s">
        <v>22</v>
      </c>
      <c r="H825" t="s">
        <v>52</v>
      </c>
      <c r="I825" t="s">
        <v>669</v>
      </c>
      <c r="J825" t="s">
        <v>55</v>
      </c>
      <c r="K825" t="s">
        <v>62</v>
      </c>
      <c r="M825" t="s">
        <v>6</v>
      </c>
    </row>
    <row r="826" spans="2:13" hidden="1">
      <c r="B826">
        <v>824</v>
      </c>
      <c r="C826">
        <v>82</v>
      </c>
      <c r="D826">
        <v>4</v>
      </c>
      <c r="E826">
        <v>2</v>
      </c>
      <c r="F826">
        <v>0</v>
      </c>
      <c r="G826" t="s">
        <v>22</v>
      </c>
      <c r="H826" t="s">
        <v>52</v>
      </c>
      <c r="I826" t="s">
        <v>669</v>
      </c>
      <c r="J826" t="s">
        <v>55</v>
      </c>
      <c r="K826" t="s">
        <v>63</v>
      </c>
      <c r="M826" t="s">
        <v>6</v>
      </c>
    </row>
    <row r="827" spans="2:13" hidden="1">
      <c r="B827">
        <v>825</v>
      </c>
      <c r="C827">
        <v>82</v>
      </c>
      <c r="D827">
        <v>4</v>
      </c>
      <c r="E827">
        <v>3</v>
      </c>
      <c r="F827">
        <v>0</v>
      </c>
      <c r="G827" t="s">
        <v>22</v>
      </c>
      <c r="H827" t="s">
        <v>52</v>
      </c>
      <c r="I827" t="s">
        <v>669</v>
      </c>
      <c r="J827" t="s">
        <v>64</v>
      </c>
      <c r="K827" t="s">
        <v>65</v>
      </c>
      <c r="M827" t="s">
        <v>6</v>
      </c>
    </row>
    <row r="828" spans="2:13" hidden="1">
      <c r="B828">
        <v>826</v>
      </c>
      <c r="C828">
        <v>82</v>
      </c>
      <c r="D828">
        <v>4</v>
      </c>
      <c r="E828">
        <v>4</v>
      </c>
      <c r="F828">
        <v>0</v>
      </c>
      <c r="G828" t="s">
        <v>22</v>
      </c>
      <c r="H828" t="s">
        <v>52</v>
      </c>
      <c r="I828" t="s">
        <v>669</v>
      </c>
      <c r="J828" t="s">
        <v>55</v>
      </c>
      <c r="K828" t="s">
        <v>670</v>
      </c>
      <c r="M828" t="s">
        <v>6</v>
      </c>
    </row>
    <row r="829" spans="2:13" hidden="1">
      <c r="B829">
        <v>827</v>
      </c>
      <c r="C829">
        <v>83</v>
      </c>
      <c r="D829">
        <v>4</v>
      </c>
      <c r="E829">
        <v>0</v>
      </c>
      <c r="F829">
        <v>0</v>
      </c>
      <c r="G829" t="s">
        <v>22</v>
      </c>
      <c r="H829" t="s">
        <v>52</v>
      </c>
      <c r="I829" t="s">
        <v>671</v>
      </c>
      <c r="J829" t="s">
        <v>54</v>
      </c>
      <c r="K829" t="s">
        <v>671</v>
      </c>
      <c r="M829" t="s">
        <v>6</v>
      </c>
    </row>
    <row r="830" spans="2:13" hidden="1">
      <c r="B830">
        <v>828</v>
      </c>
      <c r="C830">
        <v>83</v>
      </c>
      <c r="D830">
        <v>4</v>
      </c>
      <c r="E830">
        <v>1</v>
      </c>
      <c r="F830">
        <v>0</v>
      </c>
      <c r="G830" t="s">
        <v>22</v>
      </c>
      <c r="H830" t="s">
        <v>52</v>
      </c>
      <c r="I830" t="s">
        <v>671</v>
      </c>
      <c r="J830" t="s">
        <v>55</v>
      </c>
      <c r="K830" t="s">
        <v>62</v>
      </c>
      <c r="M830" t="s">
        <v>6</v>
      </c>
    </row>
    <row r="831" spans="2:13" hidden="1">
      <c r="B831">
        <v>829</v>
      </c>
      <c r="C831">
        <v>83</v>
      </c>
      <c r="D831">
        <v>4</v>
      </c>
      <c r="E831">
        <v>2</v>
      </c>
      <c r="F831">
        <v>0</v>
      </c>
      <c r="G831" t="s">
        <v>22</v>
      </c>
      <c r="H831" t="s">
        <v>52</v>
      </c>
      <c r="I831" t="s">
        <v>671</v>
      </c>
      <c r="J831" t="s">
        <v>55</v>
      </c>
      <c r="K831" t="s">
        <v>63</v>
      </c>
      <c r="M831" t="s">
        <v>6</v>
      </c>
    </row>
    <row r="832" spans="2:13" hidden="1">
      <c r="B832">
        <v>830</v>
      </c>
      <c r="C832">
        <v>83</v>
      </c>
      <c r="D832">
        <v>4</v>
      </c>
      <c r="E832">
        <v>3</v>
      </c>
      <c r="F832">
        <v>0</v>
      </c>
      <c r="G832" t="s">
        <v>22</v>
      </c>
      <c r="H832" t="s">
        <v>52</v>
      </c>
      <c r="I832" t="s">
        <v>671</v>
      </c>
      <c r="J832" t="s">
        <v>64</v>
      </c>
      <c r="K832" t="s">
        <v>65</v>
      </c>
      <c r="M832" t="s">
        <v>6</v>
      </c>
    </row>
    <row r="833" spans="2:13" hidden="1">
      <c r="B833">
        <v>831</v>
      </c>
      <c r="C833">
        <v>83</v>
      </c>
      <c r="D833">
        <v>4</v>
      </c>
      <c r="E833">
        <v>4</v>
      </c>
      <c r="F833">
        <v>0</v>
      </c>
      <c r="G833" t="s">
        <v>22</v>
      </c>
      <c r="H833" t="s">
        <v>52</v>
      </c>
      <c r="I833" t="s">
        <v>671</v>
      </c>
      <c r="J833" t="s">
        <v>55</v>
      </c>
      <c r="K833" t="s">
        <v>672</v>
      </c>
      <c r="M833" t="s">
        <v>6</v>
      </c>
    </row>
    <row r="834" spans="2:13" hidden="1">
      <c r="B834">
        <v>832</v>
      </c>
      <c r="C834">
        <v>84</v>
      </c>
      <c r="D834">
        <v>4</v>
      </c>
      <c r="E834">
        <v>0</v>
      </c>
      <c r="F834">
        <v>0</v>
      </c>
      <c r="G834" t="s">
        <v>22</v>
      </c>
      <c r="H834" t="s">
        <v>52</v>
      </c>
      <c r="I834" t="s">
        <v>673</v>
      </c>
      <c r="J834" t="s">
        <v>54</v>
      </c>
      <c r="K834" t="s">
        <v>673</v>
      </c>
      <c r="M834" t="s">
        <v>6</v>
      </c>
    </row>
    <row r="835" spans="2:13" hidden="1">
      <c r="B835">
        <v>833</v>
      </c>
      <c r="C835">
        <v>84</v>
      </c>
      <c r="D835">
        <v>4</v>
      </c>
      <c r="E835">
        <v>1</v>
      </c>
      <c r="F835">
        <v>0</v>
      </c>
      <c r="G835" t="s">
        <v>22</v>
      </c>
      <c r="H835" t="s">
        <v>52</v>
      </c>
      <c r="I835" t="s">
        <v>673</v>
      </c>
      <c r="J835" t="s">
        <v>55</v>
      </c>
      <c r="K835" t="s">
        <v>62</v>
      </c>
      <c r="M835" t="s">
        <v>6</v>
      </c>
    </row>
    <row r="836" spans="2:13" hidden="1">
      <c r="B836">
        <v>834</v>
      </c>
      <c r="C836">
        <v>84</v>
      </c>
      <c r="D836">
        <v>4</v>
      </c>
      <c r="E836">
        <v>2</v>
      </c>
      <c r="F836">
        <v>0</v>
      </c>
      <c r="G836" t="s">
        <v>22</v>
      </c>
      <c r="H836" t="s">
        <v>52</v>
      </c>
      <c r="I836" t="s">
        <v>673</v>
      </c>
      <c r="J836" t="s">
        <v>55</v>
      </c>
      <c r="K836" t="s">
        <v>63</v>
      </c>
      <c r="M836" t="s">
        <v>6</v>
      </c>
    </row>
    <row r="837" spans="2:13" hidden="1">
      <c r="B837">
        <v>835</v>
      </c>
      <c r="C837">
        <v>84</v>
      </c>
      <c r="D837">
        <v>4</v>
      </c>
      <c r="E837">
        <v>3</v>
      </c>
      <c r="F837">
        <v>0</v>
      </c>
      <c r="G837" t="s">
        <v>22</v>
      </c>
      <c r="H837" t="s">
        <v>52</v>
      </c>
      <c r="I837" t="s">
        <v>673</v>
      </c>
      <c r="J837" t="s">
        <v>64</v>
      </c>
      <c r="K837" t="s">
        <v>65</v>
      </c>
      <c r="M837" t="s">
        <v>6</v>
      </c>
    </row>
    <row r="838" spans="2:13" hidden="1">
      <c r="B838">
        <v>836</v>
      </c>
      <c r="C838">
        <v>84</v>
      </c>
      <c r="D838">
        <v>4</v>
      </c>
      <c r="E838">
        <v>4</v>
      </c>
      <c r="F838">
        <v>0</v>
      </c>
      <c r="G838" t="s">
        <v>22</v>
      </c>
      <c r="H838" t="s">
        <v>52</v>
      </c>
      <c r="I838" t="s">
        <v>673</v>
      </c>
      <c r="J838" t="s">
        <v>55</v>
      </c>
      <c r="K838" t="s">
        <v>674</v>
      </c>
      <c r="M838" t="s">
        <v>6</v>
      </c>
    </row>
    <row r="839" spans="2:13" hidden="1">
      <c r="B839">
        <v>837</v>
      </c>
      <c r="C839">
        <v>85</v>
      </c>
      <c r="D839">
        <v>4</v>
      </c>
      <c r="E839">
        <v>0</v>
      </c>
      <c r="F839">
        <v>0</v>
      </c>
      <c r="G839" t="s">
        <v>22</v>
      </c>
      <c r="H839" t="s">
        <v>52</v>
      </c>
      <c r="I839" t="s">
        <v>675</v>
      </c>
      <c r="J839" t="s">
        <v>54</v>
      </c>
      <c r="K839" t="s">
        <v>675</v>
      </c>
      <c r="M839" t="s">
        <v>6</v>
      </c>
    </row>
    <row r="840" spans="2:13" hidden="1">
      <c r="B840">
        <v>838</v>
      </c>
      <c r="C840">
        <v>85</v>
      </c>
      <c r="D840">
        <v>4</v>
      </c>
      <c r="E840">
        <v>1</v>
      </c>
      <c r="F840">
        <v>0</v>
      </c>
      <c r="G840" t="s">
        <v>22</v>
      </c>
      <c r="H840" t="s">
        <v>52</v>
      </c>
      <c r="I840" t="s">
        <v>675</v>
      </c>
      <c r="J840" t="s">
        <v>55</v>
      </c>
      <c r="K840" t="s">
        <v>62</v>
      </c>
      <c r="M840" t="s">
        <v>6</v>
      </c>
    </row>
    <row r="841" spans="2:13" hidden="1">
      <c r="B841">
        <v>839</v>
      </c>
      <c r="C841">
        <v>85</v>
      </c>
      <c r="D841">
        <v>4</v>
      </c>
      <c r="E841">
        <v>2</v>
      </c>
      <c r="F841">
        <v>0</v>
      </c>
      <c r="G841" t="s">
        <v>22</v>
      </c>
      <c r="H841" t="s">
        <v>52</v>
      </c>
      <c r="I841" t="s">
        <v>675</v>
      </c>
      <c r="J841" t="s">
        <v>55</v>
      </c>
      <c r="K841" t="s">
        <v>63</v>
      </c>
      <c r="M841" t="s">
        <v>6</v>
      </c>
    </row>
    <row r="842" spans="2:13" hidden="1">
      <c r="B842">
        <v>840</v>
      </c>
      <c r="C842">
        <v>85</v>
      </c>
      <c r="D842">
        <v>4</v>
      </c>
      <c r="E842">
        <v>3</v>
      </c>
      <c r="F842">
        <v>0</v>
      </c>
      <c r="G842" t="s">
        <v>22</v>
      </c>
      <c r="H842" t="s">
        <v>52</v>
      </c>
      <c r="I842" t="s">
        <v>675</v>
      </c>
      <c r="J842" t="s">
        <v>64</v>
      </c>
      <c r="K842" t="s">
        <v>65</v>
      </c>
      <c r="M842" t="s">
        <v>6</v>
      </c>
    </row>
    <row r="843" spans="2:13" hidden="1">
      <c r="B843">
        <v>841</v>
      </c>
      <c r="C843">
        <v>85</v>
      </c>
      <c r="D843">
        <v>4</v>
      </c>
      <c r="E843">
        <v>4</v>
      </c>
      <c r="F843">
        <v>0</v>
      </c>
      <c r="G843" t="s">
        <v>22</v>
      </c>
      <c r="H843" t="s">
        <v>52</v>
      </c>
      <c r="I843" t="s">
        <v>675</v>
      </c>
      <c r="J843" t="s">
        <v>55</v>
      </c>
      <c r="K843" t="s">
        <v>647</v>
      </c>
      <c r="M843" t="s">
        <v>6</v>
      </c>
    </row>
    <row r="844" spans="2:13" hidden="1">
      <c r="B844">
        <v>842</v>
      </c>
      <c r="C844">
        <v>86</v>
      </c>
      <c r="D844">
        <v>4</v>
      </c>
      <c r="E844">
        <v>0</v>
      </c>
      <c r="F844">
        <v>0</v>
      </c>
      <c r="G844" t="s">
        <v>22</v>
      </c>
      <c r="H844" t="s">
        <v>52</v>
      </c>
      <c r="I844" t="s">
        <v>676</v>
      </c>
      <c r="J844" t="s">
        <v>54</v>
      </c>
      <c r="K844" t="s">
        <v>676</v>
      </c>
      <c r="M844" t="s">
        <v>6</v>
      </c>
    </row>
    <row r="845" spans="2:13" hidden="1">
      <c r="B845">
        <v>843</v>
      </c>
      <c r="C845">
        <v>86</v>
      </c>
      <c r="D845">
        <v>4</v>
      </c>
      <c r="E845">
        <v>1</v>
      </c>
      <c r="F845">
        <v>0</v>
      </c>
      <c r="G845" t="s">
        <v>22</v>
      </c>
      <c r="H845" t="s">
        <v>52</v>
      </c>
      <c r="I845" t="s">
        <v>676</v>
      </c>
      <c r="J845" t="s">
        <v>55</v>
      </c>
      <c r="K845" t="s">
        <v>62</v>
      </c>
      <c r="M845" t="s">
        <v>6</v>
      </c>
    </row>
    <row r="846" spans="2:13" hidden="1">
      <c r="B846">
        <v>844</v>
      </c>
      <c r="C846">
        <v>86</v>
      </c>
      <c r="D846">
        <v>4</v>
      </c>
      <c r="E846">
        <v>2</v>
      </c>
      <c r="F846">
        <v>0</v>
      </c>
      <c r="G846" t="s">
        <v>22</v>
      </c>
      <c r="H846" t="s">
        <v>52</v>
      </c>
      <c r="I846" t="s">
        <v>676</v>
      </c>
      <c r="J846" t="s">
        <v>55</v>
      </c>
      <c r="K846" t="s">
        <v>63</v>
      </c>
      <c r="M846" t="s">
        <v>6</v>
      </c>
    </row>
    <row r="847" spans="2:13" hidden="1">
      <c r="B847">
        <v>845</v>
      </c>
      <c r="C847">
        <v>86</v>
      </c>
      <c r="D847">
        <v>4</v>
      </c>
      <c r="E847">
        <v>3</v>
      </c>
      <c r="F847">
        <v>0</v>
      </c>
      <c r="G847" t="s">
        <v>22</v>
      </c>
      <c r="H847" t="s">
        <v>52</v>
      </c>
      <c r="I847" t="s">
        <v>676</v>
      </c>
      <c r="J847" t="s">
        <v>64</v>
      </c>
      <c r="K847" t="s">
        <v>65</v>
      </c>
      <c r="M847" t="s">
        <v>6</v>
      </c>
    </row>
    <row r="848" spans="2:13" hidden="1">
      <c r="B848">
        <v>846</v>
      </c>
      <c r="C848">
        <v>86</v>
      </c>
      <c r="D848">
        <v>4</v>
      </c>
      <c r="E848">
        <v>4</v>
      </c>
      <c r="F848">
        <v>0</v>
      </c>
      <c r="G848" t="s">
        <v>22</v>
      </c>
      <c r="H848" t="s">
        <v>52</v>
      </c>
      <c r="I848" t="s">
        <v>676</v>
      </c>
      <c r="J848" t="s">
        <v>55</v>
      </c>
      <c r="K848" t="s">
        <v>677</v>
      </c>
      <c r="M848" t="s">
        <v>6</v>
      </c>
    </row>
    <row r="849" spans="2:13" hidden="1">
      <c r="B849">
        <v>847</v>
      </c>
      <c r="C849">
        <v>87</v>
      </c>
      <c r="D849">
        <v>4</v>
      </c>
      <c r="E849">
        <v>0</v>
      </c>
      <c r="F849">
        <v>0</v>
      </c>
      <c r="G849" t="s">
        <v>22</v>
      </c>
      <c r="H849" t="s">
        <v>52</v>
      </c>
      <c r="I849" t="s">
        <v>678</v>
      </c>
      <c r="J849" t="s">
        <v>54</v>
      </c>
      <c r="K849" t="s">
        <v>678</v>
      </c>
      <c r="M849" t="s">
        <v>6</v>
      </c>
    </row>
    <row r="850" spans="2:13" hidden="1">
      <c r="B850">
        <v>848</v>
      </c>
      <c r="C850">
        <v>87</v>
      </c>
      <c r="D850">
        <v>4</v>
      </c>
      <c r="E850">
        <v>1</v>
      </c>
      <c r="F850">
        <v>0</v>
      </c>
      <c r="G850" t="s">
        <v>22</v>
      </c>
      <c r="H850" t="s">
        <v>52</v>
      </c>
      <c r="I850" t="s">
        <v>678</v>
      </c>
      <c r="J850" t="s">
        <v>55</v>
      </c>
      <c r="K850" t="s">
        <v>62</v>
      </c>
      <c r="M850" t="s">
        <v>6</v>
      </c>
    </row>
    <row r="851" spans="2:13" hidden="1">
      <c r="B851">
        <v>849</v>
      </c>
      <c r="C851">
        <v>87</v>
      </c>
      <c r="D851">
        <v>4</v>
      </c>
      <c r="E851">
        <v>2</v>
      </c>
      <c r="F851">
        <v>0</v>
      </c>
      <c r="G851" t="s">
        <v>22</v>
      </c>
      <c r="H851" t="s">
        <v>52</v>
      </c>
      <c r="I851" t="s">
        <v>678</v>
      </c>
      <c r="J851" t="s">
        <v>55</v>
      </c>
      <c r="K851" t="s">
        <v>63</v>
      </c>
      <c r="M851" t="s">
        <v>6</v>
      </c>
    </row>
    <row r="852" spans="2:13" hidden="1">
      <c r="B852">
        <v>850</v>
      </c>
      <c r="C852">
        <v>87</v>
      </c>
      <c r="D852">
        <v>4</v>
      </c>
      <c r="E852">
        <v>3</v>
      </c>
      <c r="F852">
        <v>0</v>
      </c>
      <c r="G852" t="s">
        <v>22</v>
      </c>
      <c r="H852" t="s">
        <v>52</v>
      </c>
      <c r="I852" t="s">
        <v>678</v>
      </c>
      <c r="J852" t="s">
        <v>64</v>
      </c>
      <c r="K852" t="s">
        <v>65</v>
      </c>
      <c r="M852" t="s">
        <v>6</v>
      </c>
    </row>
    <row r="853" spans="2:13" hidden="1">
      <c r="B853">
        <v>851</v>
      </c>
      <c r="C853">
        <v>87</v>
      </c>
      <c r="D853">
        <v>4</v>
      </c>
      <c r="E853">
        <v>4</v>
      </c>
      <c r="F853">
        <v>0</v>
      </c>
      <c r="G853" t="s">
        <v>22</v>
      </c>
      <c r="H853" t="s">
        <v>52</v>
      </c>
      <c r="I853" t="s">
        <v>678</v>
      </c>
      <c r="J853" t="s">
        <v>55</v>
      </c>
      <c r="K853" t="s">
        <v>679</v>
      </c>
      <c r="M853" t="s">
        <v>6</v>
      </c>
    </row>
    <row r="854" spans="2:13" hidden="1">
      <c r="B854">
        <v>852</v>
      </c>
      <c r="C854">
        <v>88</v>
      </c>
      <c r="D854">
        <v>5</v>
      </c>
      <c r="E854">
        <v>0</v>
      </c>
      <c r="F854">
        <v>0</v>
      </c>
      <c r="G854" t="s">
        <v>22</v>
      </c>
      <c r="H854" t="s">
        <v>52</v>
      </c>
      <c r="I854" t="s">
        <v>680</v>
      </c>
      <c r="J854" t="s">
        <v>54</v>
      </c>
      <c r="K854" t="s">
        <v>680</v>
      </c>
      <c r="M854" t="s">
        <v>6</v>
      </c>
    </row>
    <row r="855" spans="2:13" hidden="1">
      <c r="B855">
        <v>853</v>
      </c>
      <c r="C855">
        <v>88</v>
      </c>
      <c r="D855">
        <v>5</v>
      </c>
      <c r="E855">
        <v>1</v>
      </c>
      <c r="F855">
        <v>0</v>
      </c>
      <c r="G855" t="s">
        <v>22</v>
      </c>
      <c r="H855" t="s">
        <v>52</v>
      </c>
      <c r="I855" t="s">
        <v>680</v>
      </c>
      <c r="J855" t="s">
        <v>269</v>
      </c>
      <c r="K855" t="s">
        <v>681</v>
      </c>
      <c r="M855" t="s">
        <v>6</v>
      </c>
    </row>
    <row r="856" spans="2:13" hidden="1">
      <c r="B856">
        <v>854</v>
      </c>
      <c r="C856">
        <v>88</v>
      </c>
      <c r="D856">
        <v>5</v>
      </c>
      <c r="E856">
        <v>2</v>
      </c>
      <c r="F856">
        <v>0</v>
      </c>
      <c r="G856" t="s">
        <v>22</v>
      </c>
      <c r="H856" t="s">
        <v>52</v>
      </c>
      <c r="I856" t="s">
        <v>680</v>
      </c>
      <c r="J856" t="s">
        <v>269</v>
      </c>
      <c r="K856" t="s">
        <v>682</v>
      </c>
      <c r="M856" t="s">
        <v>6</v>
      </c>
    </row>
    <row r="857" spans="2:13" hidden="1">
      <c r="B857">
        <v>855</v>
      </c>
      <c r="C857">
        <v>88</v>
      </c>
      <c r="D857">
        <v>5</v>
      </c>
      <c r="E857">
        <v>3</v>
      </c>
      <c r="F857">
        <v>0</v>
      </c>
      <c r="G857" t="s">
        <v>22</v>
      </c>
      <c r="H857" t="s">
        <v>52</v>
      </c>
      <c r="I857" t="s">
        <v>680</v>
      </c>
      <c r="J857" t="s">
        <v>269</v>
      </c>
      <c r="K857" t="s">
        <v>683</v>
      </c>
      <c r="M857" t="s">
        <v>6</v>
      </c>
    </row>
    <row r="858" spans="2:13" hidden="1">
      <c r="B858">
        <v>856</v>
      </c>
      <c r="C858">
        <v>88</v>
      </c>
      <c r="D858">
        <v>5</v>
      </c>
      <c r="E858">
        <v>4</v>
      </c>
      <c r="F858">
        <v>0</v>
      </c>
      <c r="G858" t="s">
        <v>22</v>
      </c>
      <c r="H858" t="s">
        <v>52</v>
      </c>
      <c r="I858" t="s">
        <v>680</v>
      </c>
      <c r="J858" t="s">
        <v>64</v>
      </c>
      <c r="K858" t="s">
        <v>684</v>
      </c>
      <c r="M858" t="s">
        <v>6</v>
      </c>
    </row>
    <row r="859" spans="2:13" hidden="1">
      <c r="B859">
        <v>857</v>
      </c>
      <c r="C859">
        <v>88</v>
      </c>
      <c r="D859">
        <v>5</v>
      </c>
      <c r="E859">
        <v>5</v>
      </c>
      <c r="F859">
        <v>0</v>
      </c>
      <c r="G859" t="s">
        <v>22</v>
      </c>
      <c r="H859" t="s">
        <v>52</v>
      </c>
      <c r="I859" t="s">
        <v>680</v>
      </c>
      <c r="J859" t="s">
        <v>55</v>
      </c>
      <c r="K859" t="s">
        <v>685</v>
      </c>
      <c r="M859" t="s">
        <v>6</v>
      </c>
    </row>
    <row r="860" spans="2:13" hidden="1">
      <c r="B860">
        <v>858</v>
      </c>
      <c r="C860">
        <v>89</v>
      </c>
      <c r="D860">
        <v>7</v>
      </c>
      <c r="E860">
        <v>0</v>
      </c>
      <c r="F860">
        <v>0</v>
      </c>
      <c r="G860" t="s">
        <v>22</v>
      </c>
      <c r="H860" t="s">
        <v>9</v>
      </c>
      <c r="I860" t="s">
        <v>686</v>
      </c>
      <c r="J860" t="s">
        <v>54</v>
      </c>
      <c r="K860" t="s">
        <v>686</v>
      </c>
      <c r="M860" t="s">
        <v>6</v>
      </c>
    </row>
    <row r="861" spans="2:13" hidden="1">
      <c r="B861">
        <v>859</v>
      </c>
      <c r="C861">
        <v>89</v>
      </c>
      <c r="D861">
        <v>7</v>
      </c>
      <c r="E861">
        <v>1</v>
      </c>
      <c r="F861">
        <v>0</v>
      </c>
      <c r="G861" t="s">
        <v>22</v>
      </c>
      <c r="H861" t="s">
        <v>9</v>
      </c>
      <c r="I861" t="s">
        <v>686</v>
      </c>
      <c r="J861" t="s">
        <v>55</v>
      </c>
      <c r="K861" t="s">
        <v>687</v>
      </c>
      <c r="M861" t="s">
        <v>6</v>
      </c>
    </row>
    <row r="862" spans="2:13" hidden="1">
      <c r="B862">
        <v>860</v>
      </c>
      <c r="C862">
        <v>89</v>
      </c>
      <c r="D862">
        <v>7</v>
      </c>
      <c r="E862">
        <v>2</v>
      </c>
      <c r="F862">
        <v>0</v>
      </c>
      <c r="G862" t="s">
        <v>22</v>
      </c>
      <c r="H862" t="s">
        <v>9</v>
      </c>
      <c r="I862" t="s">
        <v>686</v>
      </c>
      <c r="J862" t="s">
        <v>55</v>
      </c>
      <c r="K862" t="s">
        <v>688</v>
      </c>
      <c r="M862" t="s">
        <v>6</v>
      </c>
    </row>
    <row r="863" spans="2:13" hidden="1">
      <c r="B863">
        <v>861</v>
      </c>
      <c r="C863">
        <v>89</v>
      </c>
      <c r="D863">
        <v>7</v>
      </c>
      <c r="E863">
        <v>3</v>
      </c>
      <c r="F863">
        <v>0</v>
      </c>
      <c r="G863" t="s">
        <v>22</v>
      </c>
      <c r="H863" t="s">
        <v>9</v>
      </c>
      <c r="I863" t="s">
        <v>686</v>
      </c>
      <c r="J863" t="s">
        <v>55</v>
      </c>
      <c r="K863" t="s">
        <v>689</v>
      </c>
      <c r="M863" t="s">
        <v>6</v>
      </c>
    </row>
    <row r="864" spans="2:13" hidden="1">
      <c r="B864">
        <v>862</v>
      </c>
      <c r="C864">
        <v>89</v>
      </c>
      <c r="D864">
        <v>7</v>
      </c>
      <c r="E864">
        <v>4</v>
      </c>
      <c r="F864">
        <v>0</v>
      </c>
      <c r="G864" t="s">
        <v>22</v>
      </c>
      <c r="H864" t="s">
        <v>9</v>
      </c>
      <c r="I864" t="s">
        <v>686</v>
      </c>
      <c r="J864" t="s">
        <v>55</v>
      </c>
      <c r="K864" t="s">
        <v>690</v>
      </c>
      <c r="M864" t="s">
        <v>6</v>
      </c>
    </row>
    <row r="865" spans="2:13" hidden="1">
      <c r="B865">
        <v>863</v>
      </c>
      <c r="C865">
        <v>89</v>
      </c>
      <c r="D865">
        <v>7</v>
      </c>
      <c r="E865">
        <v>5</v>
      </c>
      <c r="F865">
        <v>0</v>
      </c>
      <c r="G865" t="s">
        <v>22</v>
      </c>
      <c r="H865" t="s">
        <v>9</v>
      </c>
      <c r="I865" t="s">
        <v>686</v>
      </c>
      <c r="J865" t="s">
        <v>55</v>
      </c>
      <c r="K865" t="s">
        <v>691</v>
      </c>
      <c r="M865" t="s">
        <v>6</v>
      </c>
    </row>
    <row r="866" spans="2:13" hidden="1">
      <c r="B866">
        <v>864</v>
      </c>
      <c r="C866">
        <v>89</v>
      </c>
      <c r="D866">
        <v>7</v>
      </c>
      <c r="E866">
        <v>6</v>
      </c>
      <c r="F866">
        <v>0</v>
      </c>
      <c r="G866" t="s">
        <v>22</v>
      </c>
      <c r="H866" t="s">
        <v>9</v>
      </c>
      <c r="I866" t="s">
        <v>686</v>
      </c>
      <c r="J866" t="s">
        <v>55</v>
      </c>
      <c r="K866" t="s">
        <v>93</v>
      </c>
      <c r="M866" t="s">
        <v>6</v>
      </c>
    </row>
    <row r="867" spans="2:13" hidden="1">
      <c r="B867">
        <v>865</v>
      </c>
      <c r="C867">
        <v>89</v>
      </c>
      <c r="D867">
        <v>7</v>
      </c>
      <c r="E867">
        <v>7</v>
      </c>
      <c r="F867">
        <v>0</v>
      </c>
      <c r="G867" t="s">
        <v>22</v>
      </c>
      <c r="H867" t="s">
        <v>9</v>
      </c>
      <c r="I867" t="s">
        <v>686</v>
      </c>
      <c r="J867" t="s">
        <v>64</v>
      </c>
      <c r="K867" t="s">
        <v>94</v>
      </c>
      <c r="M867" t="s">
        <v>6</v>
      </c>
    </row>
    <row r="868" spans="2:13" hidden="1">
      <c r="B868">
        <v>866</v>
      </c>
      <c r="C868">
        <v>90</v>
      </c>
      <c r="D868">
        <v>11</v>
      </c>
      <c r="E868">
        <v>0</v>
      </c>
      <c r="F868">
        <v>0</v>
      </c>
      <c r="G868" t="s">
        <v>22</v>
      </c>
      <c r="H868" t="s">
        <v>9</v>
      </c>
      <c r="I868" t="s">
        <v>692</v>
      </c>
      <c r="J868" t="s">
        <v>54</v>
      </c>
      <c r="K868" t="s">
        <v>692</v>
      </c>
      <c r="M868" t="s">
        <v>6</v>
      </c>
    </row>
    <row r="869" spans="2:13" hidden="1">
      <c r="B869">
        <v>867</v>
      </c>
      <c r="C869">
        <v>90</v>
      </c>
      <c r="D869">
        <v>11</v>
      </c>
      <c r="E869">
        <v>1</v>
      </c>
      <c r="F869">
        <v>0</v>
      </c>
      <c r="G869" t="s">
        <v>22</v>
      </c>
      <c r="H869" t="s">
        <v>9</v>
      </c>
      <c r="I869" t="s">
        <v>692</v>
      </c>
      <c r="J869" t="s">
        <v>55</v>
      </c>
      <c r="K869" t="s">
        <v>693</v>
      </c>
      <c r="M869" t="s">
        <v>6</v>
      </c>
    </row>
    <row r="870" spans="2:13" hidden="1">
      <c r="B870">
        <v>868</v>
      </c>
      <c r="C870">
        <v>90</v>
      </c>
      <c r="D870">
        <v>11</v>
      </c>
      <c r="E870">
        <v>2</v>
      </c>
      <c r="F870">
        <v>0</v>
      </c>
      <c r="G870" t="s">
        <v>22</v>
      </c>
      <c r="H870" t="s">
        <v>9</v>
      </c>
      <c r="I870" t="s">
        <v>692</v>
      </c>
      <c r="J870" t="s">
        <v>55</v>
      </c>
      <c r="K870" t="s">
        <v>694</v>
      </c>
      <c r="M870" t="s">
        <v>6</v>
      </c>
    </row>
    <row r="871" spans="2:13" hidden="1">
      <c r="B871">
        <v>869</v>
      </c>
      <c r="C871">
        <v>90</v>
      </c>
      <c r="D871">
        <v>11</v>
      </c>
      <c r="E871">
        <v>3</v>
      </c>
      <c r="F871">
        <v>0</v>
      </c>
      <c r="G871" t="s">
        <v>22</v>
      </c>
      <c r="H871" t="s">
        <v>9</v>
      </c>
      <c r="I871" t="s">
        <v>692</v>
      </c>
      <c r="J871" t="s">
        <v>55</v>
      </c>
      <c r="K871" t="s">
        <v>695</v>
      </c>
      <c r="M871" t="s">
        <v>6</v>
      </c>
    </row>
    <row r="872" spans="2:13" hidden="1">
      <c r="B872">
        <v>870</v>
      </c>
      <c r="C872">
        <v>90</v>
      </c>
      <c r="D872">
        <v>11</v>
      </c>
      <c r="E872">
        <v>4</v>
      </c>
      <c r="F872">
        <v>0</v>
      </c>
      <c r="G872" t="s">
        <v>22</v>
      </c>
      <c r="H872" t="s">
        <v>9</v>
      </c>
      <c r="I872" t="s">
        <v>692</v>
      </c>
      <c r="J872" t="s">
        <v>55</v>
      </c>
      <c r="K872" t="s">
        <v>696</v>
      </c>
      <c r="M872" t="s">
        <v>6</v>
      </c>
    </row>
    <row r="873" spans="2:13" hidden="1">
      <c r="B873">
        <v>871</v>
      </c>
      <c r="C873">
        <v>90</v>
      </c>
      <c r="D873">
        <v>11</v>
      </c>
      <c r="E873">
        <v>5</v>
      </c>
      <c r="F873">
        <v>0</v>
      </c>
      <c r="G873" t="s">
        <v>22</v>
      </c>
      <c r="H873" t="s">
        <v>9</v>
      </c>
      <c r="I873" t="s">
        <v>692</v>
      </c>
      <c r="J873" t="s">
        <v>55</v>
      </c>
      <c r="K873" t="s">
        <v>697</v>
      </c>
      <c r="M873" t="s">
        <v>6</v>
      </c>
    </row>
    <row r="874" spans="2:13" hidden="1">
      <c r="B874">
        <v>872</v>
      </c>
      <c r="C874">
        <v>90</v>
      </c>
      <c r="D874">
        <v>11</v>
      </c>
      <c r="E874">
        <v>6</v>
      </c>
      <c r="F874">
        <v>0</v>
      </c>
      <c r="G874" t="s">
        <v>22</v>
      </c>
      <c r="H874" t="s">
        <v>9</v>
      </c>
      <c r="I874" t="s">
        <v>692</v>
      </c>
      <c r="J874" t="s">
        <v>55</v>
      </c>
      <c r="K874" t="s">
        <v>698</v>
      </c>
      <c r="M874" t="s">
        <v>6</v>
      </c>
    </row>
    <row r="875" spans="2:13" hidden="1">
      <c r="B875">
        <v>873</v>
      </c>
      <c r="C875">
        <v>90</v>
      </c>
      <c r="D875">
        <v>11</v>
      </c>
      <c r="E875">
        <v>7</v>
      </c>
      <c r="F875">
        <v>0</v>
      </c>
      <c r="G875" t="s">
        <v>22</v>
      </c>
      <c r="H875" t="s">
        <v>9</v>
      </c>
      <c r="I875" t="s">
        <v>692</v>
      </c>
      <c r="J875" t="s">
        <v>55</v>
      </c>
      <c r="K875" t="s">
        <v>699</v>
      </c>
      <c r="M875" t="s">
        <v>6</v>
      </c>
    </row>
    <row r="876" spans="2:13" hidden="1">
      <c r="B876">
        <v>874</v>
      </c>
      <c r="C876">
        <v>90</v>
      </c>
      <c r="D876">
        <v>11</v>
      </c>
      <c r="E876">
        <v>8</v>
      </c>
      <c r="F876">
        <v>0</v>
      </c>
      <c r="G876" t="s">
        <v>22</v>
      </c>
      <c r="H876" t="s">
        <v>9</v>
      </c>
      <c r="I876" t="s">
        <v>692</v>
      </c>
      <c r="J876" t="s">
        <v>55</v>
      </c>
      <c r="K876" t="s">
        <v>700</v>
      </c>
      <c r="M876" t="s">
        <v>6</v>
      </c>
    </row>
    <row r="877" spans="2:13" hidden="1">
      <c r="B877">
        <v>875</v>
      </c>
      <c r="C877">
        <v>90</v>
      </c>
      <c r="D877">
        <v>11</v>
      </c>
      <c r="E877">
        <v>9</v>
      </c>
      <c r="F877">
        <v>0</v>
      </c>
      <c r="G877" t="s">
        <v>22</v>
      </c>
      <c r="H877" t="s">
        <v>9</v>
      </c>
      <c r="I877" t="s">
        <v>692</v>
      </c>
      <c r="J877" t="s">
        <v>55</v>
      </c>
      <c r="K877" t="s">
        <v>619</v>
      </c>
      <c r="M877" t="s">
        <v>6</v>
      </c>
    </row>
    <row r="878" spans="2:13" hidden="1">
      <c r="B878">
        <v>876</v>
      </c>
      <c r="C878">
        <v>90</v>
      </c>
      <c r="D878">
        <v>11</v>
      </c>
      <c r="E878">
        <v>10</v>
      </c>
      <c r="F878">
        <v>0</v>
      </c>
      <c r="G878" t="s">
        <v>22</v>
      </c>
      <c r="H878" t="s">
        <v>9</v>
      </c>
      <c r="I878" t="s">
        <v>692</v>
      </c>
      <c r="J878" t="s">
        <v>55</v>
      </c>
      <c r="K878" t="s">
        <v>93</v>
      </c>
      <c r="M878" t="s">
        <v>6</v>
      </c>
    </row>
    <row r="879" spans="2:13" hidden="1">
      <c r="B879">
        <v>877</v>
      </c>
      <c r="C879">
        <v>90</v>
      </c>
      <c r="D879">
        <v>11</v>
      </c>
      <c r="E879">
        <v>11</v>
      </c>
      <c r="F879">
        <v>0</v>
      </c>
      <c r="G879" t="s">
        <v>22</v>
      </c>
      <c r="H879" t="s">
        <v>9</v>
      </c>
      <c r="I879" t="s">
        <v>692</v>
      </c>
      <c r="J879" t="s">
        <v>64</v>
      </c>
      <c r="K879" t="s">
        <v>94</v>
      </c>
      <c r="M879" t="s">
        <v>6</v>
      </c>
    </row>
    <row r="880" spans="2:13" hidden="1">
      <c r="B880">
        <v>878</v>
      </c>
      <c r="C880">
        <v>91</v>
      </c>
      <c r="D880">
        <v>13</v>
      </c>
      <c r="E880">
        <v>0</v>
      </c>
      <c r="F880">
        <v>0</v>
      </c>
      <c r="G880" t="s">
        <v>22</v>
      </c>
      <c r="H880" t="s">
        <v>9</v>
      </c>
      <c r="I880" t="s">
        <v>701</v>
      </c>
      <c r="J880" t="s">
        <v>54</v>
      </c>
      <c r="K880" t="s">
        <v>701</v>
      </c>
      <c r="M880" t="s">
        <v>6</v>
      </c>
    </row>
    <row r="881" spans="2:13" hidden="1">
      <c r="B881">
        <v>879</v>
      </c>
      <c r="C881">
        <v>91</v>
      </c>
      <c r="D881">
        <v>13</v>
      </c>
      <c r="E881">
        <v>1</v>
      </c>
      <c r="F881">
        <v>0</v>
      </c>
      <c r="G881" t="s">
        <v>22</v>
      </c>
      <c r="H881" t="s">
        <v>9</v>
      </c>
      <c r="I881" t="s">
        <v>701</v>
      </c>
      <c r="J881" t="s">
        <v>55</v>
      </c>
      <c r="K881" t="s">
        <v>693</v>
      </c>
      <c r="M881" t="s">
        <v>6</v>
      </c>
    </row>
    <row r="882" spans="2:13" hidden="1">
      <c r="B882">
        <v>880</v>
      </c>
      <c r="C882">
        <v>91</v>
      </c>
      <c r="D882">
        <v>13</v>
      </c>
      <c r="E882">
        <v>2</v>
      </c>
      <c r="F882">
        <v>0</v>
      </c>
      <c r="G882" t="s">
        <v>22</v>
      </c>
      <c r="H882" t="s">
        <v>9</v>
      </c>
      <c r="I882" t="s">
        <v>701</v>
      </c>
      <c r="J882" t="s">
        <v>55</v>
      </c>
      <c r="K882" t="s">
        <v>694</v>
      </c>
      <c r="M882" t="s">
        <v>6</v>
      </c>
    </row>
    <row r="883" spans="2:13" hidden="1">
      <c r="B883">
        <v>881</v>
      </c>
      <c r="C883">
        <v>91</v>
      </c>
      <c r="D883">
        <v>13</v>
      </c>
      <c r="E883">
        <v>3</v>
      </c>
      <c r="F883">
        <v>0</v>
      </c>
      <c r="G883" t="s">
        <v>22</v>
      </c>
      <c r="H883" t="s">
        <v>9</v>
      </c>
      <c r="I883" t="s">
        <v>701</v>
      </c>
      <c r="J883" t="s">
        <v>55</v>
      </c>
      <c r="K883" t="s">
        <v>695</v>
      </c>
      <c r="M883" t="s">
        <v>6</v>
      </c>
    </row>
    <row r="884" spans="2:13" hidden="1">
      <c r="B884">
        <v>882</v>
      </c>
      <c r="C884">
        <v>91</v>
      </c>
      <c r="D884">
        <v>13</v>
      </c>
      <c r="E884">
        <v>4</v>
      </c>
      <c r="F884">
        <v>0</v>
      </c>
      <c r="G884" t="s">
        <v>22</v>
      </c>
      <c r="H884" t="s">
        <v>9</v>
      </c>
      <c r="I884" t="s">
        <v>701</v>
      </c>
      <c r="J884" t="s">
        <v>55</v>
      </c>
      <c r="K884" t="s">
        <v>702</v>
      </c>
      <c r="M884" t="s">
        <v>6</v>
      </c>
    </row>
    <row r="885" spans="2:13" hidden="1">
      <c r="B885">
        <v>883</v>
      </c>
      <c r="C885">
        <v>91</v>
      </c>
      <c r="D885">
        <v>13</v>
      </c>
      <c r="E885">
        <v>5</v>
      </c>
      <c r="F885">
        <v>0</v>
      </c>
      <c r="G885" t="s">
        <v>22</v>
      </c>
      <c r="H885" t="s">
        <v>9</v>
      </c>
      <c r="I885" t="s">
        <v>701</v>
      </c>
      <c r="J885" t="s">
        <v>55</v>
      </c>
      <c r="K885" t="s">
        <v>697</v>
      </c>
      <c r="M885" t="s">
        <v>6</v>
      </c>
    </row>
    <row r="886" spans="2:13" hidden="1">
      <c r="B886">
        <v>884</v>
      </c>
      <c r="C886">
        <v>91</v>
      </c>
      <c r="D886">
        <v>13</v>
      </c>
      <c r="E886">
        <v>6</v>
      </c>
      <c r="F886">
        <v>0</v>
      </c>
      <c r="G886" t="s">
        <v>22</v>
      </c>
      <c r="H886" t="s">
        <v>9</v>
      </c>
      <c r="I886" t="s">
        <v>701</v>
      </c>
      <c r="J886" t="s">
        <v>55</v>
      </c>
      <c r="K886" t="s">
        <v>698</v>
      </c>
      <c r="M886" t="s">
        <v>6</v>
      </c>
    </row>
    <row r="887" spans="2:13" hidden="1">
      <c r="B887">
        <v>885</v>
      </c>
      <c r="C887">
        <v>91</v>
      </c>
      <c r="D887">
        <v>13</v>
      </c>
      <c r="E887">
        <v>7</v>
      </c>
      <c r="F887">
        <v>0</v>
      </c>
      <c r="G887" t="s">
        <v>22</v>
      </c>
      <c r="H887" t="s">
        <v>9</v>
      </c>
      <c r="I887" t="s">
        <v>701</v>
      </c>
      <c r="J887" t="s">
        <v>55</v>
      </c>
      <c r="K887" t="s">
        <v>703</v>
      </c>
      <c r="M887" t="s">
        <v>6</v>
      </c>
    </row>
    <row r="888" spans="2:13" hidden="1">
      <c r="B888">
        <v>886</v>
      </c>
      <c r="C888">
        <v>91</v>
      </c>
      <c r="D888">
        <v>13</v>
      </c>
      <c r="E888">
        <v>8</v>
      </c>
      <c r="F888">
        <v>0</v>
      </c>
      <c r="G888" t="s">
        <v>22</v>
      </c>
      <c r="H888" t="s">
        <v>9</v>
      </c>
      <c r="I888" t="s">
        <v>701</v>
      </c>
      <c r="J888" t="s">
        <v>55</v>
      </c>
      <c r="K888" t="s">
        <v>704</v>
      </c>
      <c r="M888" t="s">
        <v>6</v>
      </c>
    </row>
    <row r="889" spans="2:13" hidden="1">
      <c r="B889">
        <v>887</v>
      </c>
      <c r="C889">
        <v>91</v>
      </c>
      <c r="D889">
        <v>13</v>
      </c>
      <c r="E889">
        <v>9</v>
      </c>
      <c r="F889">
        <v>0</v>
      </c>
      <c r="G889" t="s">
        <v>22</v>
      </c>
      <c r="H889" t="s">
        <v>9</v>
      </c>
      <c r="I889" t="s">
        <v>701</v>
      </c>
      <c r="J889" t="s">
        <v>55</v>
      </c>
      <c r="K889" t="s">
        <v>705</v>
      </c>
      <c r="M889" t="s">
        <v>6</v>
      </c>
    </row>
    <row r="890" spans="2:13" hidden="1">
      <c r="B890">
        <v>888</v>
      </c>
      <c r="C890">
        <v>91</v>
      </c>
      <c r="D890">
        <v>13</v>
      </c>
      <c r="E890">
        <v>10</v>
      </c>
      <c r="F890">
        <v>0</v>
      </c>
      <c r="G890" t="s">
        <v>22</v>
      </c>
      <c r="H890" t="s">
        <v>9</v>
      </c>
      <c r="I890" t="s">
        <v>701</v>
      </c>
      <c r="J890" t="s">
        <v>55</v>
      </c>
      <c r="K890" t="s">
        <v>700</v>
      </c>
      <c r="M890" t="s">
        <v>6</v>
      </c>
    </row>
    <row r="891" spans="2:13" hidden="1">
      <c r="B891">
        <v>889</v>
      </c>
      <c r="C891">
        <v>91</v>
      </c>
      <c r="D891">
        <v>13</v>
      </c>
      <c r="E891">
        <v>11</v>
      </c>
      <c r="F891">
        <v>0</v>
      </c>
      <c r="G891" t="s">
        <v>22</v>
      </c>
      <c r="H891" t="s">
        <v>9</v>
      </c>
      <c r="I891" t="s">
        <v>701</v>
      </c>
      <c r="J891" t="s">
        <v>55</v>
      </c>
      <c r="K891" t="s">
        <v>621</v>
      </c>
      <c r="M891" t="s">
        <v>6</v>
      </c>
    </row>
    <row r="892" spans="2:13" hidden="1">
      <c r="B892">
        <v>890</v>
      </c>
      <c r="C892">
        <v>91</v>
      </c>
      <c r="D892">
        <v>13</v>
      </c>
      <c r="E892">
        <v>12</v>
      </c>
      <c r="F892">
        <v>0</v>
      </c>
      <c r="G892" t="s">
        <v>22</v>
      </c>
      <c r="H892" t="s">
        <v>9</v>
      </c>
      <c r="I892" t="s">
        <v>701</v>
      </c>
      <c r="J892" t="s">
        <v>55</v>
      </c>
      <c r="K892" t="s">
        <v>93</v>
      </c>
      <c r="M892" t="s">
        <v>6</v>
      </c>
    </row>
    <row r="893" spans="2:13" hidden="1">
      <c r="B893">
        <v>891</v>
      </c>
      <c r="C893">
        <v>91</v>
      </c>
      <c r="D893">
        <v>13</v>
      </c>
      <c r="E893">
        <v>13</v>
      </c>
      <c r="F893">
        <v>0</v>
      </c>
      <c r="G893" t="s">
        <v>22</v>
      </c>
      <c r="H893" t="s">
        <v>9</v>
      </c>
      <c r="I893" t="s">
        <v>701</v>
      </c>
      <c r="J893" t="s">
        <v>64</v>
      </c>
      <c r="K893" t="s">
        <v>94</v>
      </c>
      <c r="M893" t="s">
        <v>6</v>
      </c>
    </row>
    <row r="894" spans="2:13" hidden="1">
      <c r="B894">
        <v>892</v>
      </c>
      <c r="C894">
        <v>92</v>
      </c>
      <c r="D894">
        <v>6</v>
      </c>
      <c r="E894">
        <v>0</v>
      </c>
      <c r="F894">
        <v>0</v>
      </c>
      <c r="G894" t="s">
        <v>22</v>
      </c>
      <c r="H894" t="s">
        <v>9</v>
      </c>
      <c r="I894" t="s">
        <v>706</v>
      </c>
      <c r="J894" t="s">
        <v>54</v>
      </c>
      <c r="K894" t="s">
        <v>706</v>
      </c>
      <c r="M894" t="s">
        <v>6</v>
      </c>
    </row>
    <row r="895" spans="2:13" hidden="1">
      <c r="B895">
        <v>893</v>
      </c>
      <c r="C895">
        <v>92</v>
      </c>
      <c r="D895">
        <v>6</v>
      </c>
      <c r="E895">
        <v>1</v>
      </c>
      <c r="F895">
        <v>0</v>
      </c>
      <c r="G895" t="s">
        <v>22</v>
      </c>
      <c r="H895" t="s">
        <v>9</v>
      </c>
      <c r="I895" t="s">
        <v>706</v>
      </c>
      <c r="J895" t="s">
        <v>55</v>
      </c>
      <c r="K895" t="s">
        <v>707</v>
      </c>
      <c r="M895" t="s">
        <v>6</v>
      </c>
    </row>
    <row r="896" spans="2:13" hidden="1">
      <c r="B896">
        <v>894</v>
      </c>
      <c r="C896">
        <v>92</v>
      </c>
      <c r="D896">
        <v>6</v>
      </c>
      <c r="E896">
        <v>2</v>
      </c>
      <c r="F896">
        <v>0</v>
      </c>
      <c r="G896" t="s">
        <v>22</v>
      </c>
      <c r="H896" t="s">
        <v>9</v>
      </c>
      <c r="I896" t="s">
        <v>706</v>
      </c>
      <c r="J896" t="s">
        <v>55</v>
      </c>
      <c r="K896" t="s">
        <v>708</v>
      </c>
      <c r="M896" t="s">
        <v>6</v>
      </c>
    </row>
    <row r="897" spans="2:13" hidden="1">
      <c r="B897">
        <v>895</v>
      </c>
      <c r="C897">
        <v>92</v>
      </c>
      <c r="D897">
        <v>6</v>
      </c>
      <c r="E897">
        <v>3</v>
      </c>
      <c r="F897">
        <v>0</v>
      </c>
      <c r="G897" t="s">
        <v>22</v>
      </c>
      <c r="H897" t="s">
        <v>9</v>
      </c>
      <c r="I897" t="s">
        <v>706</v>
      </c>
      <c r="J897" t="s">
        <v>55</v>
      </c>
      <c r="K897" t="s">
        <v>709</v>
      </c>
      <c r="M897" t="s">
        <v>6</v>
      </c>
    </row>
    <row r="898" spans="2:13" hidden="1">
      <c r="B898">
        <v>896</v>
      </c>
      <c r="C898">
        <v>92</v>
      </c>
      <c r="D898">
        <v>6</v>
      </c>
      <c r="E898">
        <v>4</v>
      </c>
      <c r="F898">
        <v>0</v>
      </c>
      <c r="G898" t="s">
        <v>22</v>
      </c>
      <c r="H898" t="s">
        <v>9</v>
      </c>
      <c r="I898" t="s">
        <v>706</v>
      </c>
      <c r="J898" t="s">
        <v>55</v>
      </c>
      <c r="K898" t="s">
        <v>623</v>
      </c>
      <c r="M898" t="s">
        <v>6</v>
      </c>
    </row>
    <row r="899" spans="2:13" hidden="1">
      <c r="B899">
        <v>897</v>
      </c>
      <c r="C899">
        <v>92</v>
      </c>
      <c r="D899">
        <v>6</v>
      </c>
      <c r="E899">
        <v>5</v>
      </c>
      <c r="F899">
        <v>0</v>
      </c>
      <c r="G899" t="s">
        <v>22</v>
      </c>
      <c r="H899" t="s">
        <v>9</v>
      </c>
      <c r="I899" t="s">
        <v>706</v>
      </c>
      <c r="J899" t="s">
        <v>55</v>
      </c>
      <c r="K899" t="s">
        <v>93</v>
      </c>
      <c r="M899" t="s">
        <v>6</v>
      </c>
    </row>
    <row r="900" spans="2:13" hidden="1">
      <c r="B900">
        <v>898</v>
      </c>
      <c r="C900">
        <v>92</v>
      </c>
      <c r="D900">
        <v>6</v>
      </c>
      <c r="E900">
        <v>6</v>
      </c>
      <c r="F900">
        <v>0</v>
      </c>
      <c r="G900" t="s">
        <v>22</v>
      </c>
      <c r="H900" t="s">
        <v>9</v>
      </c>
      <c r="I900" t="s">
        <v>706</v>
      </c>
      <c r="J900" t="s">
        <v>64</v>
      </c>
      <c r="K900" t="s">
        <v>94</v>
      </c>
      <c r="M900" t="s">
        <v>6</v>
      </c>
    </row>
    <row r="901" spans="2:13" hidden="1">
      <c r="B901">
        <v>899</v>
      </c>
      <c r="C901">
        <v>93</v>
      </c>
      <c r="D901">
        <v>30</v>
      </c>
      <c r="E901">
        <v>0</v>
      </c>
      <c r="F901">
        <v>0</v>
      </c>
      <c r="G901" t="s">
        <v>22</v>
      </c>
      <c r="H901" t="s">
        <v>9</v>
      </c>
      <c r="I901" t="s">
        <v>710</v>
      </c>
      <c r="J901" t="s">
        <v>478</v>
      </c>
      <c r="K901" t="s">
        <v>710</v>
      </c>
      <c r="M901" t="s">
        <v>6</v>
      </c>
    </row>
    <row r="902" spans="2:13" hidden="1">
      <c r="B902">
        <v>900</v>
      </c>
      <c r="C902">
        <v>93</v>
      </c>
      <c r="D902">
        <v>30</v>
      </c>
      <c r="E902">
        <v>1</v>
      </c>
      <c r="F902">
        <v>0</v>
      </c>
      <c r="G902" t="s">
        <v>22</v>
      </c>
      <c r="H902" t="s">
        <v>9</v>
      </c>
      <c r="I902" t="s">
        <v>710</v>
      </c>
      <c r="J902" t="s">
        <v>479</v>
      </c>
      <c r="K902" t="s">
        <v>711</v>
      </c>
      <c r="M902" t="s">
        <v>6</v>
      </c>
    </row>
    <row r="903" spans="2:13" hidden="1">
      <c r="B903">
        <v>901</v>
      </c>
      <c r="C903">
        <v>93</v>
      </c>
      <c r="D903">
        <v>30</v>
      </c>
      <c r="E903">
        <v>2</v>
      </c>
      <c r="F903">
        <v>0</v>
      </c>
      <c r="G903" t="s">
        <v>22</v>
      </c>
      <c r="H903" t="s">
        <v>9</v>
      </c>
      <c r="I903" t="s">
        <v>710</v>
      </c>
      <c r="J903" t="s">
        <v>55</v>
      </c>
      <c r="K903" t="s">
        <v>712</v>
      </c>
      <c r="M903" t="s">
        <v>6</v>
      </c>
    </row>
    <row r="904" spans="2:13" hidden="1">
      <c r="B904">
        <v>902</v>
      </c>
      <c r="C904">
        <v>93</v>
      </c>
      <c r="D904">
        <v>30</v>
      </c>
      <c r="E904">
        <v>3</v>
      </c>
      <c r="F904">
        <v>0</v>
      </c>
      <c r="G904" t="s">
        <v>22</v>
      </c>
      <c r="H904" t="s">
        <v>9</v>
      </c>
      <c r="I904" t="s">
        <v>710</v>
      </c>
      <c r="J904" t="s">
        <v>55</v>
      </c>
      <c r="K904" t="s">
        <v>713</v>
      </c>
      <c r="M904" t="s">
        <v>6</v>
      </c>
    </row>
    <row r="905" spans="2:13" hidden="1">
      <c r="B905">
        <v>903</v>
      </c>
      <c r="C905">
        <v>93</v>
      </c>
      <c r="D905">
        <v>30</v>
      </c>
      <c r="E905">
        <v>4</v>
      </c>
      <c r="F905">
        <v>0</v>
      </c>
      <c r="G905" t="s">
        <v>22</v>
      </c>
      <c r="H905" t="s">
        <v>9</v>
      </c>
      <c r="I905" t="s">
        <v>710</v>
      </c>
      <c r="J905" t="s">
        <v>479</v>
      </c>
      <c r="K905" t="s">
        <v>714</v>
      </c>
      <c r="M905" t="s">
        <v>6</v>
      </c>
    </row>
    <row r="906" spans="2:13" hidden="1">
      <c r="B906">
        <v>904</v>
      </c>
      <c r="C906">
        <v>93</v>
      </c>
      <c r="D906">
        <v>30</v>
      </c>
      <c r="E906">
        <v>5</v>
      </c>
      <c r="F906">
        <v>0</v>
      </c>
      <c r="G906" t="s">
        <v>22</v>
      </c>
      <c r="H906" t="s">
        <v>9</v>
      </c>
      <c r="I906" t="s">
        <v>710</v>
      </c>
      <c r="J906" t="s">
        <v>55</v>
      </c>
      <c r="K906" t="s">
        <v>715</v>
      </c>
      <c r="M906" t="s">
        <v>6</v>
      </c>
    </row>
    <row r="907" spans="2:13" hidden="1">
      <c r="B907">
        <v>905</v>
      </c>
      <c r="C907">
        <v>93</v>
      </c>
      <c r="D907">
        <v>30</v>
      </c>
      <c r="E907">
        <v>6</v>
      </c>
      <c r="F907">
        <v>0</v>
      </c>
      <c r="G907" t="s">
        <v>22</v>
      </c>
      <c r="H907" t="s">
        <v>9</v>
      </c>
      <c r="I907" t="s">
        <v>710</v>
      </c>
      <c r="J907" t="s">
        <v>55</v>
      </c>
      <c r="K907" t="s">
        <v>716</v>
      </c>
      <c r="M907" t="s">
        <v>6</v>
      </c>
    </row>
    <row r="908" spans="2:13" hidden="1">
      <c r="B908">
        <v>906</v>
      </c>
      <c r="C908">
        <v>93</v>
      </c>
      <c r="D908">
        <v>30</v>
      </c>
      <c r="E908">
        <v>7</v>
      </c>
      <c r="F908">
        <v>0</v>
      </c>
      <c r="G908" t="s">
        <v>22</v>
      </c>
      <c r="H908" t="s">
        <v>9</v>
      </c>
      <c r="I908" t="s">
        <v>710</v>
      </c>
      <c r="J908" t="s">
        <v>55</v>
      </c>
      <c r="K908" t="s">
        <v>717</v>
      </c>
      <c r="M908" t="s">
        <v>6</v>
      </c>
    </row>
    <row r="909" spans="2:13" hidden="1">
      <c r="B909">
        <v>907</v>
      </c>
      <c r="C909">
        <v>93</v>
      </c>
      <c r="D909">
        <v>30</v>
      </c>
      <c r="E909">
        <v>8</v>
      </c>
      <c r="F909">
        <v>0</v>
      </c>
      <c r="G909" t="s">
        <v>22</v>
      </c>
      <c r="H909" t="s">
        <v>9</v>
      </c>
      <c r="I909" t="s">
        <v>710</v>
      </c>
      <c r="J909" t="s">
        <v>55</v>
      </c>
      <c r="K909" t="s">
        <v>718</v>
      </c>
      <c r="M909" t="s">
        <v>6</v>
      </c>
    </row>
    <row r="910" spans="2:13" hidden="1">
      <c r="B910">
        <v>908</v>
      </c>
      <c r="C910">
        <v>93</v>
      </c>
      <c r="D910">
        <v>30</v>
      </c>
      <c r="E910">
        <v>9</v>
      </c>
      <c r="F910">
        <v>0</v>
      </c>
      <c r="G910" t="s">
        <v>22</v>
      </c>
      <c r="H910" t="s">
        <v>9</v>
      </c>
      <c r="I910" t="s">
        <v>710</v>
      </c>
      <c r="J910" t="s">
        <v>55</v>
      </c>
      <c r="K910" t="s">
        <v>719</v>
      </c>
      <c r="M910" t="s">
        <v>6</v>
      </c>
    </row>
    <row r="911" spans="2:13" hidden="1">
      <c r="B911">
        <v>909</v>
      </c>
      <c r="C911">
        <v>93</v>
      </c>
      <c r="D911">
        <v>30</v>
      </c>
      <c r="E911">
        <v>10</v>
      </c>
      <c r="F911">
        <v>0</v>
      </c>
      <c r="G911" t="s">
        <v>22</v>
      </c>
      <c r="H911" t="s">
        <v>9</v>
      </c>
      <c r="I911" t="s">
        <v>710</v>
      </c>
      <c r="J911" t="s">
        <v>55</v>
      </c>
      <c r="K911" t="s">
        <v>720</v>
      </c>
      <c r="M911" t="s">
        <v>6</v>
      </c>
    </row>
    <row r="912" spans="2:13" hidden="1">
      <c r="B912">
        <v>910</v>
      </c>
      <c r="C912">
        <v>93</v>
      </c>
      <c r="D912">
        <v>30</v>
      </c>
      <c r="E912">
        <v>11</v>
      </c>
      <c r="F912">
        <v>0</v>
      </c>
      <c r="G912" t="s">
        <v>22</v>
      </c>
      <c r="H912" t="s">
        <v>9</v>
      </c>
      <c r="I912" t="s">
        <v>710</v>
      </c>
      <c r="J912" t="s">
        <v>479</v>
      </c>
      <c r="K912" t="s">
        <v>721</v>
      </c>
      <c r="M912" t="s">
        <v>6</v>
      </c>
    </row>
    <row r="913" spans="2:13" hidden="1">
      <c r="B913">
        <v>911</v>
      </c>
      <c r="C913">
        <v>93</v>
      </c>
      <c r="D913">
        <v>30</v>
      </c>
      <c r="E913">
        <v>12</v>
      </c>
      <c r="F913">
        <v>0</v>
      </c>
      <c r="G913" t="s">
        <v>22</v>
      </c>
      <c r="H913" t="s">
        <v>9</v>
      </c>
      <c r="I913" t="s">
        <v>710</v>
      </c>
      <c r="J913" t="s">
        <v>722</v>
      </c>
      <c r="K913" t="s">
        <v>723</v>
      </c>
      <c r="M913" t="s">
        <v>6</v>
      </c>
    </row>
    <row r="914" spans="2:13" hidden="1">
      <c r="B914">
        <v>912</v>
      </c>
      <c r="C914">
        <v>93</v>
      </c>
      <c r="D914">
        <v>30</v>
      </c>
      <c r="E914">
        <v>13</v>
      </c>
      <c r="F914">
        <v>0</v>
      </c>
      <c r="G914" t="s">
        <v>22</v>
      </c>
      <c r="H914" t="s">
        <v>9</v>
      </c>
      <c r="I914" t="s">
        <v>710</v>
      </c>
      <c r="J914" t="s">
        <v>724</v>
      </c>
      <c r="K914" t="s">
        <v>723</v>
      </c>
      <c r="M914" t="s">
        <v>6</v>
      </c>
    </row>
    <row r="915" spans="2:13" hidden="1">
      <c r="B915">
        <v>913</v>
      </c>
      <c r="C915">
        <v>93</v>
      </c>
      <c r="D915">
        <v>30</v>
      </c>
      <c r="E915">
        <v>14</v>
      </c>
      <c r="F915">
        <v>0</v>
      </c>
      <c r="G915" t="s">
        <v>22</v>
      </c>
      <c r="H915" t="s">
        <v>9</v>
      </c>
      <c r="I915" t="s">
        <v>710</v>
      </c>
      <c r="J915" t="s">
        <v>55</v>
      </c>
      <c r="K915" t="s">
        <v>725</v>
      </c>
      <c r="M915" t="s">
        <v>6</v>
      </c>
    </row>
    <row r="916" spans="2:13" hidden="1">
      <c r="B916">
        <v>914</v>
      </c>
      <c r="C916">
        <v>93</v>
      </c>
      <c r="D916">
        <v>30</v>
      </c>
      <c r="E916">
        <v>15</v>
      </c>
      <c r="F916">
        <v>0</v>
      </c>
      <c r="G916" t="s">
        <v>22</v>
      </c>
      <c r="H916" t="s">
        <v>9</v>
      </c>
      <c r="I916" t="s">
        <v>710</v>
      </c>
      <c r="J916" t="s">
        <v>420</v>
      </c>
      <c r="K916" t="s">
        <v>726</v>
      </c>
      <c r="M916" t="s">
        <v>6</v>
      </c>
    </row>
    <row r="917" spans="2:13" hidden="1">
      <c r="B917">
        <v>915</v>
      </c>
      <c r="C917">
        <v>93</v>
      </c>
      <c r="D917">
        <v>30</v>
      </c>
      <c r="E917">
        <v>16</v>
      </c>
      <c r="F917">
        <v>0</v>
      </c>
      <c r="G917" t="s">
        <v>22</v>
      </c>
      <c r="H917" t="s">
        <v>9</v>
      </c>
      <c r="I917" t="s">
        <v>710</v>
      </c>
      <c r="J917" t="s">
        <v>55</v>
      </c>
      <c r="K917" t="s">
        <v>727</v>
      </c>
      <c r="M917" t="s">
        <v>6</v>
      </c>
    </row>
    <row r="918" spans="2:13" hidden="1">
      <c r="B918">
        <v>916</v>
      </c>
      <c r="C918">
        <v>93</v>
      </c>
      <c r="D918">
        <v>30</v>
      </c>
      <c r="E918">
        <v>17</v>
      </c>
      <c r="F918">
        <v>0</v>
      </c>
      <c r="G918" t="s">
        <v>22</v>
      </c>
      <c r="H918" t="s">
        <v>9</v>
      </c>
      <c r="I918" t="s">
        <v>710</v>
      </c>
      <c r="J918" t="s">
        <v>420</v>
      </c>
      <c r="K918" t="s">
        <v>728</v>
      </c>
      <c r="M918" t="s">
        <v>6</v>
      </c>
    </row>
    <row r="919" spans="2:13" hidden="1">
      <c r="B919">
        <v>917</v>
      </c>
      <c r="C919">
        <v>93</v>
      </c>
      <c r="D919">
        <v>30</v>
      </c>
      <c r="E919">
        <v>18</v>
      </c>
      <c r="F919">
        <v>0</v>
      </c>
      <c r="G919" t="s">
        <v>22</v>
      </c>
      <c r="H919" t="s">
        <v>9</v>
      </c>
      <c r="I919" t="s">
        <v>710</v>
      </c>
      <c r="J919" t="s">
        <v>55</v>
      </c>
      <c r="K919" t="s">
        <v>729</v>
      </c>
      <c r="M919" t="s">
        <v>6</v>
      </c>
    </row>
    <row r="920" spans="2:13" hidden="1">
      <c r="B920">
        <v>918</v>
      </c>
      <c r="C920">
        <v>93</v>
      </c>
      <c r="D920">
        <v>30</v>
      </c>
      <c r="E920">
        <v>19</v>
      </c>
      <c r="F920">
        <v>0</v>
      </c>
      <c r="G920" t="s">
        <v>22</v>
      </c>
      <c r="H920" t="s">
        <v>9</v>
      </c>
      <c r="I920" t="s">
        <v>710</v>
      </c>
      <c r="J920" t="s">
        <v>55</v>
      </c>
      <c r="K920" t="s">
        <v>730</v>
      </c>
      <c r="M920" t="s">
        <v>6</v>
      </c>
    </row>
    <row r="921" spans="2:13" hidden="1">
      <c r="B921">
        <v>919</v>
      </c>
      <c r="C921">
        <v>93</v>
      </c>
      <c r="D921">
        <v>30</v>
      </c>
      <c r="E921">
        <v>20</v>
      </c>
      <c r="F921">
        <v>0</v>
      </c>
      <c r="G921" t="s">
        <v>22</v>
      </c>
      <c r="H921" t="s">
        <v>9</v>
      </c>
      <c r="I921" t="s">
        <v>710</v>
      </c>
      <c r="J921" t="s">
        <v>724</v>
      </c>
      <c r="K921" t="s">
        <v>731</v>
      </c>
      <c r="M921" t="s">
        <v>6</v>
      </c>
    </row>
    <row r="922" spans="2:13" hidden="1">
      <c r="B922">
        <v>920</v>
      </c>
      <c r="C922">
        <v>93</v>
      </c>
      <c r="D922">
        <v>30</v>
      </c>
      <c r="E922">
        <v>21</v>
      </c>
      <c r="F922">
        <v>0</v>
      </c>
      <c r="G922" t="s">
        <v>22</v>
      </c>
      <c r="H922" t="s">
        <v>9</v>
      </c>
      <c r="I922" t="s">
        <v>710</v>
      </c>
      <c r="J922" t="s">
        <v>64</v>
      </c>
      <c r="K922" t="s">
        <v>94</v>
      </c>
      <c r="M922" t="s">
        <v>6</v>
      </c>
    </row>
    <row r="923" spans="2:13" hidden="1">
      <c r="B923">
        <v>921</v>
      </c>
      <c r="C923">
        <v>93</v>
      </c>
      <c r="D923">
        <v>30</v>
      </c>
      <c r="E923">
        <v>22</v>
      </c>
      <c r="F923">
        <v>0</v>
      </c>
      <c r="G923" t="s">
        <v>22</v>
      </c>
      <c r="H923" t="s">
        <v>9</v>
      </c>
      <c r="I923" t="s">
        <v>710</v>
      </c>
      <c r="J923" t="s">
        <v>479</v>
      </c>
      <c r="K923" t="s">
        <v>732</v>
      </c>
      <c r="M923" t="s">
        <v>6</v>
      </c>
    </row>
    <row r="924" spans="2:13" hidden="1">
      <c r="B924">
        <v>922</v>
      </c>
      <c r="C924">
        <v>93</v>
      </c>
      <c r="D924">
        <v>30</v>
      </c>
      <c r="E924">
        <v>23</v>
      </c>
      <c r="F924">
        <v>0</v>
      </c>
      <c r="G924" t="s">
        <v>22</v>
      </c>
      <c r="H924" t="s">
        <v>9</v>
      </c>
      <c r="I924" t="s">
        <v>710</v>
      </c>
      <c r="J924" t="s">
        <v>55</v>
      </c>
      <c r="K924" t="s">
        <v>725</v>
      </c>
      <c r="M924" t="s">
        <v>6</v>
      </c>
    </row>
    <row r="925" spans="2:13" hidden="1">
      <c r="B925">
        <v>923</v>
      </c>
      <c r="C925">
        <v>93</v>
      </c>
      <c r="D925">
        <v>30</v>
      </c>
      <c r="E925">
        <v>24</v>
      </c>
      <c r="F925">
        <v>0</v>
      </c>
      <c r="G925" t="s">
        <v>22</v>
      </c>
      <c r="H925" t="s">
        <v>9</v>
      </c>
      <c r="I925" t="s">
        <v>710</v>
      </c>
      <c r="J925" t="s">
        <v>420</v>
      </c>
      <c r="K925" t="s">
        <v>726</v>
      </c>
      <c r="M925" t="s">
        <v>6</v>
      </c>
    </row>
    <row r="926" spans="2:13" hidden="1">
      <c r="B926">
        <v>924</v>
      </c>
      <c r="C926">
        <v>93</v>
      </c>
      <c r="D926">
        <v>30</v>
      </c>
      <c r="E926">
        <v>25</v>
      </c>
      <c r="F926">
        <v>0</v>
      </c>
      <c r="G926" t="s">
        <v>22</v>
      </c>
      <c r="H926" t="s">
        <v>9</v>
      </c>
      <c r="I926" t="s">
        <v>710</v>
      </c>
      <c r="J926" t="s">
        <v>55</v>
      </c>
      <c r="K926" t="s">
        <v>727</v>
      </c>
      <c r="M926" t="s">
        <v>6</v>
      </c>
    </row>
    <row r="927" spans="2:13" hidden="1">
      <c r="B927">
        <v>925</v>
      </c>
      <c r="C927">
        <v>93</v>
      </c>
      <c r="D927">
        <v>30</v>
      </c>
      <c r="E927">
        <v>26</v>
      </c>
      <c r="F927">
        <v>0</v>
      </c>
      <c r="G927" t="s">
        <v>22</v>
      </c>
      <c r="H927" t="s">
        <v>9</v>
      </c>
      <c r="I927" t="s">
        <v>710</v>
      </c>
      <c r="J927" t="s">
        <v>420</v>
      </c>
      <c r="K927" t="s">
        <v>728</v>
      </c>
      <c r="M927" t="s">
        <v>6</v>
      </c>
    </row>
    <row r="928" spans="2:13" hidden="1">
      <c r="B928">
        <v>926</v>
      </c>
      <c r="C928">
        <v>93</v>
      </c>
      <c r="D928">
        <v>30</v>
      </c>
      <c r="E928">
        <v>27</v>
      </c>
      <c r="F928">
        <v>0</v>
      </c>
      <c r="G928" t="s">
        <v>22</v>
      </c>
      <c r="H928" t="s">
        <v>9</v>
      </c>
      <c r="I928" t="s">
        <v>710</v>
      </c>
      <c r="J928" t="s">
        <v>55</v>
      </c>
      <c r="K928" t="s">
        <v>729</v>
      </c>
      <c r="M928" t="s">
        <v>6</v>
      </c>
    </row>
    <row r="929" spans="2:13" hidden="1">
      <c r="B929">
        <v>927</v>
      </c>
      <c r="C929">
        <v>93</v>
      </c>
      <c r="D929">
        <v>30</v>
      </c>
      <c r="E929">
        <v>28</v>
      </c>
      <c r="F929">
        <v>0</v>
      </c>
      <c r="G929" t="s">
        <v>22</v>
      </c>
      <c r="H929" t="s">
        <v>9</v>
      </c>
      <c r="I929" t="s">
        <v>710</v>
      </c>
      <c r="J929" t="s">
        <v>55</v>
      </c>
      <c r="K929" t="s">
        <v>730</v>
      </c>
      <c r="M929" t="s">
        <v>6</v>
      </c>
    </row>
    <row r="930" spans="2:13" hidden="1">
      <c r="B930">
        <v>928</v>
      </c>
      <c r="C930">
        <v>93</v>
      </c>
      <c r="D930">
        <v>30</v>
      </c>
      <c r="E930">
        <v>29</v>
      </c>
      <c r="F930">
        <v>0</v>
      </c>
      <c r="G930" t="s">
        <v>22</v>
      </c>
      <c r="H930" t="s">
        <v>9</v>
      </c>
      <c r="I930" t="s">
        <v>710</v>
      </c>
      <c r="J930" t="s">
        <v>724</v>
      </c>
      <c r="K930" t="s">
        <v>731</v>
      </c>
      <c r="M930" t="s">
        <v>6</v>
      </c>
    </row>
    <row r="931" spans="2:13" hidden="1">
      <c r="B931">
        <v>929</v>
      </c>
      <c r="C931">
        <v>93</v>
      </c>
      <c r="D931">
        <v>30</v>
      </c>
      <c r="E931">
        <v>30</v>
      </c>
      <c r="F931">
        <v>0</v>
      </c>
      <c r="G931" t="s">
        <v>22</v>
      </c>
      <c r="H931" t="s">
        <v>9</v>
      </c>
      <c r="I931" t="s">
        <v>710</v>
      </c>
      <c r="J931" t="s">
        <v>64</v>
      </c>
      <c r="K931" t="s">
        <v>733</v>
      </c>
      <c r="M931" t="s">
        <v>6</v>
      </c>
    </row>
    <row r="932" spans="2:13" hidden="1">
      <c r="B932">
        <v>930</v>
      </c>
      <c r="C932">
        <v>94</v>
      </c>
      <c r="D932">
        <v>17</v>
      </c>
      <c r="E932">
        <v>0</v>
      </c>
      <c r="F932">
        <v>0</v>
      </c>
      <c r="G932" t="s">
        <v>22</v>
      </c>
      <c r="H932" t="s">
        <v>9</v>
      </c>
      <c r="I932" t="s">
        <v>734</v>
      </c>
      <c r="J932" t="s">
        <v>478</v>
      </c>
      <c r="K932" t="s">
        <v>734</v>
      </c>
      <c r="M932" t="s">
        <v>6</v>
      </c>
    </row>
    <row r="933" spans="2:13" hidden="1">
      <c r="B933">
        <v>931</v>
      </c>
      <c r="C933">
        <v>94</v>
      </c>
      <c r="D933">
        <v>17</v>
      </c>
      <c r="E933">
        <v>1</v>
      </c>
      <c r="F933">
        <v>0</v>
      </c>
      <c r="G933" t="s">
        <v>22</v>
      </c>
      <c r="H933" t="s">
        <v>9</v>
      </c>
      <c r="I933" t="s">
        <v>734</v>
      </c>
      <c r="J933" t="s">
        <v>735</v>
      </c>
      <c r="K933" t="s">
        <v>736</v>
      </c>
      <c r="M933" t="s">
        <v>6</v>
      </c>
    </row>
    <row r="934" spans="2:13" hidden="1">
      <c r="B934">
        <v>932</v>
      </c>
      <c r="C934">
        <v>94</v>
      </c>
      <c r="D934">
        <v>17</v>
      </c>
      <c r="E934">
        <v>2</v>
      </c>
      <c r="F934">
        <v>0</v>
      </c>
      <c r="G934" t="s">
        <v>22</v>
      </c>
      <c r="H934" t="s">
        <v>9</v>
      </c>
      <c r="I934" t="s">
        <v>734</v>
      </c>
      <c r="J934" t="s">
        <v>55</v>
      </c>
      <c r="K934" t="s">
        <v>737</v>
      </c>
      <c r="M934" t="s">
        <v>6</v>
      </c>
    </row>
    <row r="935" spans="2:13" hidden="1">
      <c r="B935">
        <v>933</v>
      </c>
      <c r="C935">
        <v>94</v>
      </c>
      <c r="D935">
        <v>17</v>
      </c>
      <c r="E935">
        <v>3</v>
      </c>
      <c r="F935">
        <v>0</v>
      </c>
      <c r="G935" t="s">
        <v>22</v>
      </c>
      <c r="H935" t="s">
        <v>9</v>
      </c>
      <c r="I935" t="s">
        <v>734</v>
      </c>
      <c r="J935" t="s">
        <v>55</v>
      </c>
      <c r="K935" t="s">
        <v>738</v>
      </c>
      <c r="M935" t="s">
        <v>6</v>
      </c>
    </row>
    <row r="936" spans="2:13" hidden="1">
      <c r="B936">
        <v>934</v>
      </c>
      <c r="C936">
        <v>94</v>
      </c>
      <c r="D936">
        <v>17</v>
      </c>
      <c r="E936">
        <v>4</v>
      </c>
      <c r="F936">
        <v>0</v>
      </c>
      <c r="G936" t="s">
        <v>22</v>
      </c>
      <c r="H936" t="s">
        <v>9</v>
      </c>
      <c r="I936" t="s">
        <v>734</v>
      </c>
      <c r="J936" t="s">
        <v>55</v>
      </c>
      <c r="K936" t="s">
        <v>739</v>
      </c>
      <c r="M936" t="s">
        <v>6</v>
      </c>
    </row>
    <row r="937" spans="2:13" hidden="1">
      <c r="B937">
        <v>935</v>
      </c>
      <c r="C937">
        <v>94</v>
      </c>
      <c r="D937">
        <v>17</v>
      </c>
      <c r="E937">
        <v>5</v>
      </c>
      <c r="F937">
        <v>0</v>
      </c>
      <c r="G937" t="s">
        <v>22</v>
      </c>
      <c r="H937" t="s">
        <v>9</v>
      </c>
      <c r="I937" t="s">
        <v>734</v>
      </c>
      <c r="J937" t="s">
        <v>735</v>
      </c>
      <c r="K937" t="s">
        <v>740</v>
      </c>
      <c r="M937" t="s">
        <v>6</v>
      </c>
    </row>
    <row r="938" spans="2:13" hidden="1">
      <c r="B938">
        <v>936</v>
      </c>
      <c r="C938">
        <v>94</v>
      </c>
      <c r="D938">
        <v>17</v>
      </c>
      <c r="E938">
        <v>6</v>
      </c>
      <c r="F938">
        <v>0</v>
      </c>
      <c r="G938" t="s">
        <v>22</v>
      </c>
      <c r="H938" t="s">
        <v>9</v>
      </c>
      <c r="I938" t="s">
        <v>734</v>
      </c>
      <c r="J938" t="s">
        <v>55</v>
      </c>
      <c r="K938" t="s">
        <v>741</v>
      </c>
      <c r="M938" t="s">
        <v>6</v>
      </c>
    </row>
    <row r="939" spans="2:13" hidden="1">
      <c r="B939">
        <v>937</v>
      </c>
      <c r="C939">
        <v>94</v>
      </c>
      <c r="D939">
        <v>17</v>
      </c>
      <c r="E939">
        <v>7</v>
      </c>
      <c r="F939">
        <v>0</v>
      </c>
      <c r="G939" t="s">
        <v>22</v>
      </c>
      <c r="H939" t="s">
        <v>9</v>
      </c>
      <c r="I939" t="s">
        <v>734</v>
      </c>
      <c r="J939" t="s">
        <v>55</v>
      </c>
      <c r="K939" t="s">
        <v>742</v>
      </c>
      <c r="M939" t="s">
        <v>6</v>
      </c>
    </row>
    <row r="940" spans="2:13" hidden="1">
      <c r="B940">
        <v>938</v>
      </c>
      <c r="C940">
        <v>94</v>
      </c>
      <c r="D940">
        <v>17</v>
      </c>
      <c r="E940">
        <v>8</v>
      </c>
      <c r="F940">
        <v>0</v>
      </c>
      <c r="G940" t="s">
        <v>22</v>
      </c>
      <c r="H940" t="s">
        <v>9</v>
      </c>
      <c r="I940" t="s">
        <v>734</v>
      </c>
      <c r="J940" t="s">
        <v>55</v>
      </c>
      <c r="K940" t="s">
        <v>743</v>
      </c>
      <c r="M940" t="s">
        <v>6</v>
      </c>
    </row>
    <row r="941" spans="2:13" hidden="1">
      <c r="B941">
        <v>939</v>
      </c>
      <c r="C941">
        <v>94</v>
      </c>
      <c r="D941">
        <v>17</v>
      </c>
      <c r="E941">
        <v>9</v>
      </c>
      <c r="F941">
        <v>0</v>
      </c>
      <c r="G941" t="s">
        <v>22</v>
      </c>
      <c r="H941" t="s">
        <v>9</v>
      </c>
      <c r="I941" t="s">
        <v>734</v>
      </c>
      <c r="J941" t="s">
        <v>55</v>
      </c>
      <c r="K941" t="s">
        <v>744</v>
      </c>
      <c r="M941" t="s">
        <v>6</v>
      </c>
    </row>
    <row r="942" spans="2:13" hidden="1">
      <c r="B942">
        <v>940</v>
      </c>
      <c r="C942">
        <v>94</v>
      </c>
      <c r="D942">
        <v>17</v>
      </c>
      <c r="E942">
        <v>10</v>
      </c>
      <c r="F942">
        <v>0</v>
      </c>
      <c r="G942" t="s">
        <v>22</v>
      </c>
      <c r="H942" t="s">
        <v>9</v>
      </c>
      <c r="I942" t="s">
        <v>734</v>
      </c>
      <c r="J942" t="s">
        <v>55</v>
      </c>
      <c r="K942" t="s">
        <v>745</v>
      </c>
      <c r="M942" t="s">
        <v>6</v>
      </c>
    </row>
    <row r="943" spans="2:13" hidden="1">
      <c r="B943">
        <v>941</v>
      </c>
      <c r="C943">
        <v>94</v>
      </c>
      <c r="D943">
        <v>17</v>
      </c>
      <c r="E943">
        <v>11</v>
      </c>
      <c r="F943">
        <v>0</v>
      </c>
      <c r="G943" t="s">
        <v>22</v>
      </c>
      <c r="H943" t="s">
        <v>9</v>
      </c>
      <c r="I943" t="s">
        <v>734</v>
      </c>
      <c r="J943" t="s">
        <v>55</v>
      </c>
      <c r="K943" t="s">
        <v>746</v>
      </c>
      <c r="M943" t="s">
        <v>6</v>
      </c>
    </row>
    <row r="944" spans="2:13" hidden="1">
      <c r="B944">
        <v>942</v>
      </c>
      <c r="C944">
        <v>94</v>
      </c>
      <c r="D944">
        <v>17</v>
      </c>
      <c r="E944">
        <v>12</v>
      </c>
      <c r="F944">
        <v>0</v>
      </c>
      <c r="G944" t="s">
        <v>22</v>
      </c>
      <c r="H944" t="s">
        <v>9</v>
      </c>
      <c r="I944" t="s">
        <v>734</v>
      </c>
      <c r="J944" t="s">
        <v>55</v>
      </c>
      <c r="K944" t="s">
        <v>747</v>
      </c>
      <c r="M944" t="s">
        <v>6</v>
      </c>
    </row>
    <row r="945" spans="2:13" hidden="1">
      <c r="B945">
        <v>943</v>
      </c>
      <c r="C945">
        <v>94</v>
      </c>
      <c r="D945">
        <v>17</v>
      </c>
      <c r="E945">
        <v>13</v>
      </c>
      <c r="F945">
        <v>0</v>
      </c>
      <c r="G945" t="s">
        <v>22</v>
      </c>
      <c r="H945" t="s">
        <v>9</v>
      </c>
      <c r="I945" t="s">
        <v>734</v>
      </c>
      <c r="J945" t="s">
        <v>55</v>
      </c>
      <c r="K945" t="s">
        <v>748</v>
      </c>
      <c r="M945" t="s">
        <v>6</v>
      </c>
    </row>
    <row r="946" spans="2:13" hidden="1">
      <c r="B946">
        <v>944</v>
      </c>
      <c r="C946">
        <v>94</v>
      </c>
      <c r="D946">
        <v>17</v>
      </c>
      <c r="E946">
        <v>14</v>
      </c>
      <c r="F946">
        <v>0</v>
      </c>
      <c r="G946" t="s">
        <v>22</v>
      </c>
      <c r="H946" t="s">
        <v>9</v>
      </c>
      <c r="I946" t="s">
        <v>734</v>
      </c>
      <c r="J946" t="s">
        <v>55</v>
      </c>
      <c r="K946" t="s">
        <v>749</v>
      </c>
      <c r="M946" t="s">
        <v>6</v>
      </c>
    </row>
    <row r="947" spans="2:13" hidden="1">
      <c r="B947">
        <v>945</v>
      </c>
      <c r="C947">
        <v>94</v>
      </c>
      <c r="D947">
        <v>17</v>
      </c>
      <c r="E947">
        <v>15</v>
      </c>
      <c r="F947">
        <v>0</v>
      </c>
      <c r="G947" t="s">
        <v>22</v>
      </c>
      <c r="H947" t="s">
        <v>9</v>
      </c>
      <c r="I947" t="s">
        <v>734</v>
      </c>
      <c r="J947" t="s">
        <v>55</v>
      </c>
      <c r="K947" t="s">
        <v>750</v>
      </c>
      <c r="M947" t="s">
        <v>6</v>
      </c>
    </row>
    <row r="948" spans="2:13" hidden="1">
      <c r="B948">
        <v>946</v>
      </c>
      <c r="C948">
        <v>94</v>
      </c>
      <c r="D948">
        <v>17</v>
      </c>
      <c r="E948">
        <v>16</v>
      </c>
      <c r="F948">
        <v>0</v>
      </c>
      <c r="G948" t="s">
        <v>22</v>
      </c>
      <c r="H948" t="s">
        <v>9</v>
      </c>
      <c r="I948" t="s">
        <v>734</v>
      </c>
      <c r="J948" t="s">
        <v>55</v>
      </c>
      <c r="K948" t="s">
        <v>93</v>
      </c>
      <c r="M948" t="s">
        <v>6</v>
      </c>
    </row>
    <row r="949" spans="2:13" hidden="1">
      <c r="B949">
        <v>947</v>
      </c>
      <c r="C949">
        <v>94</v>
      </c>
      <c r="D949">
        <v>17</v>
      </c>
      <c r="E949">
        <v>17</v>
      </c>
      <c r="F949">
        <v>0</v>
      </c>
      <c r="G949" t="s">
        <v>22</v>
      </c>
      <c r="H949" t="s">
        <v>9</v>
      </c>
      <c r="I949" t="s">
        <v>734</v>
      </c>
      <c r="J949" t="s">
        <v>64</v>
      </c>
      <c r="K949" t="s">
        <v>94</v>
      </c>
      <c r="M949" t="s">
        <v>6</v>
      </c>
    </row>
    <row r="950" spans="2:13" hidden="1">
      <c r="B950">
        <v>948</v>
      </c>
      <c r="C950">
        <v>95</v>
      </c>
      <c r="D950">
        <v>6</v>
      </c>
      <c r="E950">
        <v>0</v>
      </c>
      <c r="F950">
        <v>0</v>
      </c>
      <c r="G950" t="s">
        <v>22</v>
      </c>
      <c r="H950" t="s">
        <v>9</v>
      </c>
      <c r="I950" t="s">
        <v>751</v>
      </c>
      <c r="J950" t="s">
        <v>478</v>
      </c>
      <c r="K950" t="s">
        <v>751</v>
      </c>
      <c r="M950" t="s">
        <v>6</v>
      </c>
    </row>
    <row r="951" spans="2:13" hidden="1">
      <c r="B951">
        <v>949</v>
      </c>
      <c r="C951">
        <v>95</v>
      </c>
      <c r="D951">
        <v>6</v>
      </c>
      <c r="E951">
        <v>1</v>
      </c>
      <c r="F951">
        <v>0</v>
      </c>
      <c r="G951" t="s">
        <v>22</v>
      </c>
      <c r="H951" t="s">
        <v>9</v>
      </c>
      <c r="I951" t="s">
        <v>751</v>
      </c>
      <c r="J951" t="s">
        <v>55</v>
      </c>
      <c r="K951" t="s">
        <v>752</v>
      </c>
      <c r="M951" t="s">
        <v>6</v>
      </c>
    </row>
    <row r="952" spans="2:13" hidden="1">
      <c r="B952">
        <v>950</v>
      </c>
      <c r="C952">
        <v>95</v>
      </c>
      <c r="D952">
        <v>6</v>
      </c>
      <c r="E952">
        <v>2</v>
      </c>
      <c r="F952">
        <v>0</v>
      </c>
      <c r="G952" t="s">
        <v>22</v>
      </c>
      <c r="H952" t="s">
        <v>9</v>
      </c>
      <c r="I952" t="s">
        <v>751</v>
      </c>
      <c r="J952" t="s">
        <v>55</v>
      </c>
      <c r="K952" t="s">
        <v>753</v>
      </c>
      <c r="M952" t="s">
        <v>6</v>
      </c>
    </row>
    <row r="953" spans="2:13" hidden="1">
      <c r="B953">
        <v>951</v>
      </c>
      <c r="C953">
        <v>95</v>
      </c>
      <c r="D953">
        <v>6</v>
      </c>
      <c r="E953">
        <v>3</v>
      </c>
      <c r="F953">
        <v>0</v>
      </c>
      <c r="G953" t="s">
        <v>22</v>
      </c>
      <c r="H953" t="s">
        <v>9</v>
      </c>
      <c r="I953" t="s">
        <v>751</v>
      </c>
      <c r="J953" t="s">
        <v>55</v>
      </c>
      <c r="K953" t="s">
        <v>754</v>
      </c>
      <c r="M953" t="s">
        <v>6</v>
      </c>
    </row>
    <row r="954" spans="2:13" hidden="1">
      <c r="B954">
        <v>952</v>
      </c>
      <c r="C954">
        <v>95</v>
      </c>
      <c r="D954">
        <v>6</v>
      </c>
      <c r="E954">
        <v>4</v>
      </c>
      <c r="F954">
        <v>0</v>
      </c>
      <c r="G954" t="s">
        <v>22</v>
      </c>
      <c r="H954" t="s">
        <v>9</v>
      </c>
      <c r="I954" t="s">
        <v>751</v>
      </c>
      <c r="J954" t="s">
        <v>55</v>
      </c>
      <c r="K954" t="s">
        <v>755</v>
      </c>
      <c r="M954" t="s">
        <v>6</v>
      </c>
    </row>
    <row r="955" spans="2:13" hidden="1">
      <c r="B955">
        <v>953</v>
      </c>
      <c r="C955">
        <v>95</v>
      </c>
      <c r="D955">
        <v>6</v>
      </c>
      <c r="E955">
        <v>5</v>
      </c>
      <c r="F955">
        <v>0</v>
      </c>
      <c r="G955" t="s">
        <v>22</v>
      </c>
      <c r="H955" t="s">
        <v>9</v>
      </c>
      <c r="I955" t="s">
        <v>751</v>
      </c>
      <c r="J955" t="s">
        <v>55</v>
      </c>
      <c r="K955" t="s">
        <v>93</v>
      </c>
      <c r="M955" t="s">
        <v>6</v>
      </c>
    </row>
    <row r="956" spans="2:13" hidden="1">
      <c r="B956">
        <v>954</v>
      </c>
      <c r="C956">
        <v>95</v>
      </c>
      <c r="D956">
        <v>6</v>
      </c>
      <c r="E956">
        <v>6</v>
      </c>
      <c r="F956">
        <v>0</v>
      </c>
      <c r="G956" t="s">
        <v>22</v>
      </c>
      <c r="H956" t="s">
        <v>9</v>
      </c>
      <c r="I956" t="s">
        <v>751</v>
      </c>
      <c r="J956" t="s">
        <v>64</v>
      </c>
      <c r="K956" t="s">
        <v>94</v>
      </c>
      <c r="M956" t="s">
        <v>6</v>
      </c>
    </row>
    <row r="957" spans="2:13" hidden="1">
      <c r="B957">
        <v>955</v>
      </c>
      <c r="C957">
        <v>96</v>
      </c>
      <c r="D957">
        <v>9</v>
      </c>
      <c r="E957">
        <v>0</v>
      </c>
      <c r="F957">
        <v>0</v>
      </c>
      <c r="G957" t="s">
        <v>22</v>
      </c>
      <c r="H957" t="s">
        <v>9</v>
      </c>
      <c r="I957" t="s">
        <v>756</v>
      </c>
      <c r="J957" t="s">
        <v>54</v>
      </c>
      <c r="K957" t="s">
        <v>756</v>
      </c>
      <c r="M957" t="s">
        <v>6</v>
      </c>
    </row>
    <row r="958" spans="2:13" hidden="1">
      <c r="B958">
        <v>956</v>
      </c>
      <c r="C958">
        <v>96</v>
      </c>
      <c r="D958">
        <v>9</v>
      </c>
      <c r="E958">
        <v>1</v>
      </c>
      <c r="F958">
        <v>0</v>
      </c>
      <c r="G958" t="s">
        <v>22</v>
      </c>
      <c r="H958" t="s">
        <v>9</v>
      </c>
      <c r="I958" t="s">
        <v>756</v>
      </c>
      <c r="J958" t="s">
        <v>55</v>
      </c>
      <c r="K958" t="s">
        <v>757</v>
      </c>
      <c r="M958" t="s">
        <v>6</v>
      </c>
    </row>
    <row r="959" spans="2:13" hidden="1">
      <c r="B959">
        <v>957</v>
      </c>
      <c r="C959">
        <v>96</v>
      </c>
      <c r="D959">
        <v>9</v>
      </c>
      <c r="E959">
        <v>2</v>
      </c>
      <c r="F959">
        <v>0</v>
      </c>
      <c r="G959" t="s">
        <v>22</v>
      </c>
      <c r="H959" t="s">
        <v>9</v>
      </c>
      <c r="I959" t="s">
        <v>756</v>
      </c>
      <c r="J959" t="s">
        <v>55</v>
      </c>
      <c r="K959" t="s">
        <v>758</v>
      </c>
      <c r="M959" t="s">
        <v>6</v>
      </c>
    </row>
    <row r="960" spans="2:13" hidden="1">
      <c r="B960">
        <v>958</v>
      </c>
      <c r="C960">
        <v>96</v>
      </c>
      <c r="D960">
        <v>9</v>
      </c>
      <c r="E960">
        <v>3</v>
      </c>
      <c r="F960">
        <v>0</v>
      </c>
      <c r="G960" t="s">
        <v>22</v>
      </c>
      <c r="H960" t="s">
        <v>9</v>
      </c>
      <c r="I960" t="s">
        <v>756</v>
      </c>
      <c r="J960" t="s">
        <v>55</v>
      </c>
      <c r="K960" t="s">
        <v>759</v>
      </c>
      <c r="M960" t="s">
        <v>6</v>
      </c>
    </row>
    <row r="961" spans="2:13" hidden="1">
      <c r="B961">
        <v>959</v>
      </c>
      <c r="C961">
        <v>96</v>
      </c>
      <c r="D961">
        <v>9</v>
      </c>
      <c r="E961">
        <v>4</v>
      </c>
      <c r="F961">
        <v>0</v>
      </c>
      <c r="G961" t="s">
        <v>22</v>
      </c>
      <c r="H961" t="s">
        <v>9</v>
      </c>
      <c r="I961" t="s">
        <v>756</v>
      </c>
      <c r="J961" t="s">
        <v>55</v>
      </c>
      <c r="K961" t="s">
        <v>760</v>
      </c>
      <c r="M961" t="s">
        <v>6</v>
      </c>
    </row>
    <row r="962" spans="2:13" hidden="1">
      <c r="B962">
        <v>960</v>
      </c>
      <c r="C962">
        <v>96</v>
      </c>
      <c r="D962">
        <v>9</v>
      </c>
      <c r="E962">
        <v>5</v>
      </c>
      <c r="F962">
        <v>0</v>
      </c>
      <c r="G962" t="s">
        <v>22</v>
      </c>
      <c r="H962" t="s">
        <v>9</v>
      </c>
      <c r="I962" t="s">
        <v>756</v>
      </c>
      <c r="J962" t="s">
        <v>55</v>
      </c>
      <c r="K962" t="s">
        <v>761</v>
      </c>
      <c r="M962" t="s">
        <v>6</v>
      </c>
    </row>
    <row r="963" spans="2:13" hidden="1">
      <c r="B963">
        <v>961</v>
      </c>
      <c r="C963">
        <v>96</v>
      </c>
      <c r="D963">
        <v>9</v>
      </c>
      <c r="E963">
        <v>6</v>
      </c>
      <c r="F963">
        <v>0</v>
      </c>
      <c r="G963" t="s">
        <v>22</v>
      </c>
      <c r="H963" t="s">
        <v>9</v>
      </c>
      <c r="I963" t="s">
        <v>756</v>
      </c>
      <c r="J963" t="s">
        <v>55</v>
      </c>
      <c r="K963" t="s">
        <v>762</v>
      </c>
      <c r="M963" t="s">
        <v>6</v>
      </c>
    </row>
    <row r="964" spans="2:13" hidden="1">
      <c r="B964">
        <v>962</v>
      </c>
      <c r="C964">
        <v>96</v>
      </c>
      <c r="D964">
        <v>9</v>
      </c>
      <c r="E964">
        <v>7</v>
      </c>
      <c r="F964">
        <v>0</v>
      </c>
      <c r="G964" t="s">
        <v>22</v>
      </c>
      <c r="H964" t="s">
        <v>9</v>
      </c>
      <c r="I964" t="s">
        <v>756</v>
      </c>
      <c r="J964" t="s">
        <v>55</v>
      </c>
      <c r="K964" t="s">
        <v>763</v>
      </c>
      <c r="M964" t="s">
        <v>6</v>
      </c>
    </row>
    <row r="965" spans="2:13" hidden="1">
      <c r="B965">
        <v>963</v>
      </c>
      <c r="C965">
        <v>96</v>
      </c>
      <c r="D965">
        <v>9</v>
      </c>
      <c r="E965">
        <v>8</v>
      </c>
      <c r="F965">
        <v>0</v>
      </c>
      <c r="G965" t="s">
        <v>22</v>
      </c>
      <c r="H965" t="s">
        <v>9</v>
      </c>
      <c r="I965" t="s">
        <v>756</v>
      </c>
      <c r="J965" t="s">
        <v>55</v>
      </c>
      <c r="K965" t="s">
        <v>93</v>
      </c>
      <c r="M965" t="s">
        <v>6</v>
      </c>
    </row>
    <row r="966" spans="2:13" hidden="1">
      <c r="B966">
        <v>964</v>
      </c>
      <c r="C966">
        <v>96</v>
      </c>
      <c r="D966">
        <v>9</v>
      </c>
      <c r="E966">
        <v>9</v>
      </c>
      <c r="F966">
        <v>0</v>
      </c>
      <c r="G966" t="s">
        <v>22</v>
      </c>
      <c r="H966" t="s">
        <v>9</v>
      </c>
      <c r="I966" t="s">
        <v>756</v>
      </c>
      <c r="J966" t="s">
        <v>64</v>
      </c>
      <c r="K966" t="s">
        <v>94</v>
      </c>
      <c r="M966" t="s">
        <v>6</v>
      </c>
    </row>
    <row r="967" spans="2:13" hidden="1">
      <c r="B967">
        <v>965</v>
      </c>
      <c r="C967">
        <v>97</v>
      </c>
      <c r="D967">
        <v>10</v>
      </c>
      <c r="E967">
        <v>0</v>
      </c>
      <c r="F967">
        <v>0</v>
      </c>
      <c r="G967" t="s">
        <v>22</v>
      </c>
      <c r="H967" t="s">
        <v>9</v>
      </c>
      <c r="I967" t="s">
        <v>764</v>
      </c>
      <c r="J967" t="s">
        <v>54</v>
      </c>
      <c r="K967" t="s">
        <v>764</v>
      </c>
      <c r="M967" t="s">
        <v>6</v>
      </c>
    </row>
    <row r="968" spans="2:13" hidden="1">
      <c r="B968">
        <v>966</v>
      </c>
      <c r="C968">
        <v>97</v>
      </c>
      <c r="D968">
        <v>10</v>
      </c>
      <c r="E968">
        <v>1</v>
      </c>
      <c r="F968">
        <v>0</v>
      </c>
      <c r="G968" t="s">
        <v>22</v>
      </c>
      <c r="H968" t="s">
        <v>9</v>
      </c>
      <c r="I968" t="s">
        <v>764</v>
      </c>
      <c r="J968" t="s">
        <v>55</v>
      </c>
      <c r="K968" t="s">
        <v>765</v>
      </c>
      <c r="M968" t="s">
        <v>6</v>
      </c>
    </row>
    <row r="969" spans="2:13" hidden="1">
      <c r="B969">
        <v>967</v>
      </c>
      <c r="C969">
        <v>97</v>
      </c>
      <c r="D969">
        <v>10</v>
      </c>
      <c r="E969">
        <v>2</v>
      </c>
      <c r="F969">
        <v>0</v>
      </c>
      <c r="G969" t="s">
        <v>22</v>
      </c>
      <c r="H969" t="s">
        <v>9</v>
      </c>
      <c r="I969" t="s">
        <v>764</v>
      </c>
      <c r="J969" t="s">
        <v>420</v>
      </c>
      <c r="K969" t="s">
        <v>766</v>
      </c>
      <c r="M969" t="s">
        <v>6</v>
      </c>
    </row>
    <row r="970" spans="2:13" hidden="1">
      <c r="B970">
        <v>968</v>
      </c>
      <c r="C970">
        <v>97</v>
      </c>
      <c r="D970">
        <v>10</v>
      </c>
      <c r="E970">
        <v>3</v>
      </c>
      <c r="F970">
        <v>0</v>
      </c>
      <c r="G970" t="s">
        <v>22</v>
      </c>
      <c r="H970" t="s">
        <v>9</v>
      </c>
      <c r="I970" t="s">
        <v>764</v>
      </c>
      <c r="J970" t="s">
        <v>55</v>
      </c>
      <c r="K970" t="s">
        <v>767</v>
      </c>
      <c r="M970" t="s">
        <v>6</v>
      </c>
    </row>
    <row r="971" spans="2:13" hidden="1">
      <c r="B971">
        <v>969</v>
      </c>
      <c r="C971">
        <v>97</v>
      </c>
      <c r="D971">
        <v>10</v>
      </c>
      <c r="E971">
        <v>4</v>
      </c>
      <c r="F971">
        <v>0</v>
      </c>
      <c r="G971" t="s">
        <v>22</v>
      </c>
      <c r="H971" t="s">
        <v>9</v>
      </c>
      <c r="I971" t="s">
        <v>764</v>
      </c>
      <c r="J971" t="s">
        <v>55</v>
      </c>
      <c r="K971" t="s">
        <v>768</v>
      </c>
      <c r="M971" t="s">
        <v>6</v>
      </c>
    </row>
    <row r="972" spans="2:13" hidden="1">
      <c r="B972">
        <v>970</v>
      </c>
      <c r="C972">
        <v>97</v>
      </c>
      <c r="D972">
        <v>10</v>
      </c>
      <c r="E972">
        <v>5</v>
      </c>
      <c r="F972">
        <v>0</v>
      </c>
      <c r="G972" t="s">
        <v>22</v>
      </c>
      <c r="H972" t="s">
        <v>9</v>
      </c>
      <c r="I972" t="s">
        <v>764</v>
      </c>
      <c r="J972" t="s">
        <v>55</v>
      </c>
      <c r="K972" t="s">
        <v>769</v>
      </c>
      <c r="M972" t="s">
        <v>6</v>
      </c>
    </row>
    <row r="973" spans="2:13" hidden="1">
      <c r="B973">
        <v>971</v>
      </c>
      <c r="C973">
        <v>97</v>
      </c>
      <c r="D973">
        <v>10</v>
      </c>
      <c r="E973">
        <v>6</v>
      </c>
      <c r="F973">
        <v>0</v>
      </c>
      <c r="G973" t="s">
        <v>22</v>
      </c>
      <c r="H973" t="s">
        <v>9</v>
      </c>
      <c r="I973" t="s">
        <v>764</v>
      </c>
      <c r="J973" t="s">
        <v>55</v>
      </c>
      <c r="K973" t="s">
        <v>770</v>
      </c>
      <c r="M973" t="s">
        <v>6</v>
      </c>
    </row>
    <row r="974" spans="2:13" hidden="1">
      <c r="B974">
        <v>972</v>
      </c>
      <c r="C974">
        <v>97</v>
      </c>
      <c r="D974">
        <v>10</v>
      </c>
      <c r="E974">
        <v>7</v>
      </c>
      <c r="F974">
        <v>0</v>
      </c>
      <c r="G974" t="s">
        <v>22</v>
      </c>
      <c r="H974" t="s">
        <v>9</v>
      </c>
      <c r="I974" t="s">
        <v>764</v>
      </c>
      <c r="J974" t="s">
        <v>55</v>
      </c>
      <c r="K974" t="s">
        <v>771</v>
      </c>
      <c r="M974" t="s">
        <v>6</v>
      </c>
    </row>
    <row r="975" spans="2:13" hidden="1">
      <c r="B975">
        <v>973</v>
      </c>
      <c r="C975">
        <v>97</v>
      </c>
      <c r="D975">
        <v>10</v>
      </c>
      <c r="E975">
        <v>8</v>
      </c>
      <c r="F975">
        <v>0</v>
      </c>
      <c r="G975" t="s">
        <v>22</v>
      </c>
      <c r="H975" t="s">
        <v>9</v>
      </c>
      <c r="I975" t="s">
        <v>764</v>
      </c>
      <c r="J975" t="s">
        <v>64</v>
      </c>
      <c r="K975" t="s">
        <v>772</v>
      </c>
      <c r="M975" t="s">
        <v>6</v>
      </c>
    </row>
    <row r="976" spans="2:13" hidden="1">
      <c r="B976">
        <v>974</v>
      </c>
      <c r="C976">
        <v>97</v>
      </c>
      <c r="D976">
        <v>10</v>
      </c>
      <c r="E976">
        <v>9</v>
      </c>
      <c r="F976">
        <v>0</v>
      </c>
      <c r="G976" t="s">
        <v>22</v>
      </c>
      <c r="H976" t="s">
        <v>9</v>
      </c>
      <c r="I976" t="s">
        <v>764</v>
      </c>
      <c r="J976" t="s">
        <v>55</v>
      </c>
      <c r="K976" t="s">
        <v>93</v>
      </c>
      <c r="M976" t="s">
        <v>6</v>
      </c>
    </row>
    <row r="977" spans="2:13" hidden="1">
      <c r="B977">
        <v>975</v>
      </c>
      <c r="C977">
        <v>97</v>
      </c>
      <c r="D977">
        <v>10</v>
      </c>
      <c r="E977">
        <v>10</v>
      </c>
      <c r="F977">
        <v>0</v>
      </c>
      <c r="G977" t="s">
        <v>22</v>
      </c>
      <c r="H977" t="s">
        <v>9</v>
      </c>
      <c r="I977" t="s">
        <v>764</v>
      </c>
      <c r="J977" t="s">
        <v>64</v>
      </c>
      <c r="K977" t="s">
        <v>94</v>
      </c>
      <c r="M977" t="s">
        <v>6</v>
      </c>
    </row>
    <row r="978" spans="2:13" hidden="1">
      <c r="B978">
        <v>976</v>
      </c>
      <c r="C978">
        <v>98</v>
      </c>
      <c r="D978">
        <v>8</v>
      </c>
      <c r="E978">
        <v>0</v>
      </c>
      <c r="F978">
        <v>0</v>
      </c>
      <c r="G978" t="s">
        <v>22</v>
      </c>
      <c r="H978" t="s">
        <v>9</v>
      </c>
      <c r="I978" t="s">
        <v>773</v>
      </c>
      <c r="J978" t="s">
        <v>54</v>
      </c>
      <c r="K978" t="s">
        <v>773</v>
      </c>
      <c r="M978" t="s">
        <v>6</v>
      </c>
    </row>
    <row r="979" spans="2:13" hidden="1">
      <c r="B979">
        <v>977</v>
      </c>
      <c r="C979">
        <v>98</v>
      </c>
      <c r="D979">
        <v>8</v>
      </c>
      <c r="E979">
        <v>1</v>
      </c>
      <c r="F979">
        <v>0</v>
      </c>
      <c r="G979" t="s">
        <v>22</v>
      </c>
      <c r="H979" t="s">
        <v>9</v>
      </c>
      <c r="I979" t="s">
        <v>773</v>
      </c>
      <c r="J979" t="s">
        <v>55</v>
      </c>
      <c r="K979" t="s">
        <v>774</v>
      </c>
      <c r="M979" t="s">
        <v>6</v>
      </c>
    </row>
    <row r="980" spans="2:13" hidden="1">
      <c r="B980">
        <v>978</v>
      </c>
      <c r="C980">
        <v>98</v>
      </c>
      <c r="D980">
        <v>8</v>
      </c>
      <c r="E980">
        <v>2</v>
      </c>
      <c r="F980">
        <v>0</v>
      </c>
      <c r="G980" t="s">
        <v>22</v>
      </c>
      <c r="H980" t="s">
        <v>9</v>
      </c>
      <c r="I980" t="s">
        <v>773</v>
      </c>
      <c r="J980" t="s">
        <v>55</v>
      </c>
      <c r="K980" t="s">
        <v>775</v>
      </c>
      <c r="M980" t="s">
        <v>6</v>
      </c>
    </row>
    <row r="981" spans="2:13" hidden="1">
      <c r="B981">
        <v>979</v>
      </c>
      <c r="C981">
        <v>98</v>
      </c>
      <c r="D981">
        <v>8</v>
      </c>
      <c r="E981">
        <v>3</v>
      </c>
      <c r="F981">
        <v>0</v>
      </c>
      <c r="G981" t="s">
        <v>22</v>
      </c>
      <c r="H981" t="s">
        <v>9</v>
      </c>
      <c r="I981" t="s">
        <v>773</v>
      </c>
      <c r="J981" t="s">
        <v>55</v>
      </c>
      <c r="K981" t="s">
        <v>776</v>
      </c>
      <c r="M981" t="s">
        <v>6</v>
      </c>
    </row>
    <row r="982" spans="2:13" hidden="1">
      <c r="B982">
        <v>980</v>
      </c>
      <c r="C982">
        <v>98</v>
      </c>
      <c r="D982">
        <v>8</v>
      </c>
      <c r="E982">
        <v>4</v>
      </c>
      <c r="F982">
        <v>0</v>
      </c>
      <c r="G982" t="s">
        <v>22</v>
      </c>
      <c r="H982" t="s">
        <v>9</v>
      </c>
      <c r="I982" t="s">
        <v>773</v>
      </c>
      <c r="J982" t="s">
        <v>55</v>
      </c>
      <c r="K982" t="s">
        <v>777</v>
      </c>
      <c r="M982" t="s">
        <v>6</v>
      </c>
    </row>
    <row r="983" spans="2:13" hidden="1">
      <c r="B983">
        <v>981</v>
      </c>
      <c r="C983">
        <v>98</v>
      </c>
      <c r="D983">
        <v>8</v>
      </c>
      <c r="E983">
        <v>5</v>
      </c>
      <c r="F983">
        <v>0</v>
      </c>
      <c r="G983" t="s">
        <v>22</v>
      </c>
      <c r="H983" t="s">
        <v>9</v>
      </c>
      <c r="I983" t="s">
        <v>773</v>
      </c>
      <c r="J983" t="s">
        <v>55</v>
      </c>
      <c r="K983" t="s">
        <v>778</v>
      </c>
      <c r="M983" t="s">
        <v>6</v>
      </c>
    </row>
    <row r="984" spans="2:13" hidden="1">
      <c r="B984">
        <v>982</v>
      </c>
      <c r="C984">
        <v>98</v>
      </c>
      <c r="D984">
        <v>8</v>
      </c>
      <c r="E984">
        <v>6</v>
      </c>
      <c r="F984">
        <v>0</v>
      </c>
      <c r="G984" t="s">
        <v>22</v>
      </c>
      <c r="H984" t="s">
        <v>9</v>
      </c>
      <c r="I984" t="s">
        <v>773</v>
      </c>
      <c r="J984" t="s">
        <v>55</v>
      </c>
      <c r="K984" t="s">
        <v>779</v>
      </c>
      <c r="M984" t="s">
        <v>6</v>
      </c>
    </row>
    <row r="985" spans="2:13" hidden="1">
      <c r="B985">
        <v>983</v>
      </c>
      <c r="C985">
        <v>98</v>
      </c>
      <c r="D985">
        <v>8</v>
      </c>
      <c r="E985">
        <v>7</v>
      </c>
      <c r="F985">
        <v>0</v>
      </c>
      <c r="G985" t="s">
        <v>22</v>
      </c>
      <c r="H985" t="s">
        <v>9</v>
      </c>
      <c r="I985" t="s">
        <v>773</v>
      </c>
      <c r="J985" t="s">
        <v>55</v>
      </c>
      <c r="K985" t="s">
        <v>93</v>
      </c>
      <c r="M985" t="s">
        <v>6</v>
      </c>
    </row>
    <row r="986" spans="2:13" hidden="1">
      <c r="B986">
        <v>984</v>
      </c>
      <c r="C986">
        <v>98</v>
      </c>
      <c r="D986">
        <v>8</v>
      </c>
      <c r="E986">
        <v>8</v>
      </c>
      <c r="F986">
        <v>0</v>
      </c>
      <c r="G986" t="s">
        <v>22</v>
      </c>
      <c r="H986" t="s">
        <v>9</v>
      </c>
      <c r="I986" t="s">
        <v>773</v>
      </c>
      <c r="J986" t="s">
        <v>64</v>
      </c>
      <c r="K986" t="s">
        <v>94</v>
      </c>
      <c r="M986" t="s">
        <v>6</v>
      </c>
    </row>
    <row r="987" spans="2:13" hidden="1">
      <c r="B987">
        <v>985</v>
      </c>
      <c r="C987">
        <v>99</v>
      </c>
      <c r="D987">
        <v>9</v>
      </c>
      <c r="E987">
        <v>0</v>
      </c>
      <c r="F987">
        <v>0</v>
      </c>
      <c r="G987" t="s">
        <v>22</v>
      </c>
      <c r="H987" t="s">
        <v>9</v>
      </c>
      <c r="I987" t="s">
        <v>780</v>
      </c>
      <c r="J987" t="s">
        <v>54</v>
      </c>
      <c r="K987" t="s">
        <v>780</v>
      </c>
      <c r="M987" t="s">
        <v>6</v>
      </c>
    </row>
    <row r="988" spans="2:13" hidden="1">
      <c r="B988">
        <v>986</v>
      </c>
      <c r="C988">
        <v>99</v>
      </c>
      <c r="D988">
        <v>9</v>
      </c>
      <c r="E988">
        <v>1</v>
      </c>
      <c r="F988">
        <v>0</v>
      </c>
      <c r="G988" t="s">
        <v>22</v>
      </c>
      <c r="H988" t="s">
        <v>9</v>
      </c>
      <c r="I988" t="s">
        <v>780</v>
      </c>
      <c r="J988" t="s">
        <v>55</v>
      </c>
      <c r="K988" t="s">
        <v>757</v>
      </c>
      <c r="M988" t="s">
        <v>6</v>
      </c>
    </row>
    <row r="989" spans="2:13" hidden="1">
      <c r="B989">
        <v>987</v>
      </c>
      <c r="C989">
        <v>99</v>
      </c>
      <c r="D989">
        <v>9</v>
      </c>
      <c r="E989">
        <v>2</v>
      </c>
      <c r="F989">
        <v>0</v>
      </c>
      <c r="G989" t="s">
        <v>22</v>
      </c>
      <c r="H989" t="s">
        <v>9</v>
      </c>
      <c r="I989" t="s">
        <v>780</v>
      </c>
      <c r="J989" t="s">
        <v>55</v>
      </c>
      <c r="K989" t="s">
        <v>758</v>
      </c>
      <c r="M989" t="s">
        <v>6</v>
      </c>
    </row>
    <row r="990" spans="2:13" hidden="1">
      <c r="B990">
        <v>988</v>
      </c>
      <c r="C990">
        <v>99</v>
      </c>
      <c r="D990">
        <v>9</v>
      </c>
      <c r="E990">
        <v>3</v>
      </c>
      <c r="F990">
        <v>0</v>
      </c>
      <c r="G990" t="s">
        <v>22</v>
      </c>
      <c r="H990" t="s">
        <v>9</v>
      </c>
      <c r="I990" t="s">
        <v>780</v>
      </c>
      <c r="J990" t="s">
        <v>55</v>
      </c>
      <c r="K990" t="s">
        <v>759</v>
      </c>
      <c r="M990" t="s">
        <v>6</v>
      </c>
    </row>
    <row r="991" spans="2:13" hidden="1">
      <c r="B991">
        <v>989</v>
      </c>
      <c r="C991">
        <v>99</v>
      </c>
      <c r="D991">
        <v>9</v>
      </c>
      <c r="E991">
        <v>4</v>
      </c>
      <c r="F991">
        <v>0</v>
      </c>
      <c r="G991" t="s">
        <v>22</v>
      </c>
      <c r="H991" t="s">
        <v>9</v>
      </c>
      <c r="I991" t="s">
        <v>780</v>
      </c>
      <c r="J991" t="s">
        <v>55</v>
      </c>
      <c r="K991" t="s">
        <v>760</v>
      </c>
      <c r="M991" t="s">
        <v>6</v>
      </c>
    </row>
    <row r="992" spans="2:13" hidden="1">
      <c r="B992">
        <v>990</v>
      </c>
      <c r="C992">
        <v>99</v>
      </c>
      <c r="D992">
        <v>9</v>
      </c>
      <c r="E992">
        <v>5</v>
      </c>
      <c r="F992">
        <v>0</v>
      </c>
      <c r="G992" t="s">
        <v>22</v>
      </c>
      <c r="H992" t="s">
        <v>9</v>
      </c>
      <c r="I992" t="s">
        <v>780</v>
      </c>
      <c r="J992" t="s">
        <v>55</v>
      </c>
      <c r="K992" t="s">
        <v>761</v>
      </c>
      <c r="M992" t="s">
        <v>6</v>
      </c>
    </row>
    <row r="993" spans="2:13" hidden="1">
      <c r="B993">
        <v>991</v>
      </c>
      <c r="C993">
        <v>99</v>
      </c>
      <c r="D993">
        <v>9</v>
      </c>
      <c r="E993">
        <v>6</v>
      </c>
      <c r="F993">
        <v>0</v>
      </c>
      <c r="G993" t="s">
        <v>22</v>
      </c>
      <c r="H993" t="s">
        <v>9</v>
      </c>
      <c r="I993" t="s">
        <v>780</v>
      </c>
      <c r="J993" t="s">
        <v>55</v>
      </c>
      <c r="K993" t="s">
        <v>762</v>
      </c>
      <c r="M993" t="s">
        <v>6</v>
      </c>
    </row>
    <row r="994" spans="2:13" hidden="1">
      <c r="B994">
        <v>992</v>
      </c>
      <c r="C994">
        <v>99</v>
      </c>
      <c r="D994">
        <v>9</v>
      </c>
      <c r="E994">
        <v>7</v>
      </c>
      <c r="F994">
        <v>0</v>
      </c>
      <c r="G994" t="s">
        <v>22</v>
      </c>
      <c r="H994" t="s">
        <v>9</v>
      </c>
      <c r="I994" t="s">
        <v>780</v>
      </c>
      <c r="J994" t="s">
        <v>55</v>
      </c>
      <c r="K994" t="s">
        <v>763</v>
      </c>
      <c r="M994" t="s">
        <v>6</v>
      </c>
    </row>
    <row r="995" spans="2:13" hidden="1">
      <c r="B995">
        <v>993</v>
      </c>
      <c r="C995">
        <v>99</v>
      </c>
      <c r="D995">
        <v>9</v>
      </c>
      <c r="E995">
        <v>8</v>
      </c>
      <c r="F995">
        <v>0</v>
      </c>
      <c r="G995" t="s">
        <v>22</v>
      </c>
      <c r="H995" t="s">
        <v>9</v>
      </c>
      <c r="I995" t="s">
        <v>780</v>
      </c>
      <c r="J995" t="s">
        <v>55</v>
      </c>
      <c r="K995" t="s">
        <v>93</v>
      </c>
      <c r="M995" t="s">
        <v>6</v>
      </c>
    </row>
    <row r="996" spans="2:13" hidden="1">
      <c r="B996">
        <v>994</v>
      </c>
      <c r="C996">
        <v>99</v>
      </c>
      <c r="D996">
        <v>9</v>
      </c>
      <c r="E996">
        <v>9</v>
      </c>
      <c r="F996">
        <v>0</v>
      </c>
      <c r="G996" t="s">
        <v>22</v>
      </c>
      <c r="H996" t="s">
        <v>9</v>
      </c>
      <c r="I996" t="s">
        <v>780</v>
      </c>
      <c r="J996" t="s">
        <v>64</v>
      </c>
      <c r="K996" t="s">
        <v>94</v>
      </c>
      <c r="M996" t="s">
        <v>6</v>
      </c>
    </row>
    <row r="997" spans="2:13" hidden="1">
      <c r="B997">
        <v>995</v>
      </c>
      <c r="C997">
        <v>100</v>
      </c>
      <c r="D997">
        <v>10</v>
      </c>
      <c r="E997">
        <v>0</v>
      </c>
      <c r="F997">
        <v>0</v>
      </c>
      <c r="G997" t="s">
        <v>22</v>
      </c>
      <c r="H997" t="s">
        <v>9</v>
      </c>
      <c r="I997" t="s">
        <v>781</v>
      </c>
      <c r="J997" t="s">
        <v>54</v>
      </c>
      <c r="K997" t="s">
        <v>781</v>
      </c>
      <c r="M997" t="s">
        <v>6</v>
      </c>
    </row>
    <row r="998" spans="2:13" hidden="1">
      <c r="B998">
        <v>996</v>
      </c>
      <c r="C998">
        <v>100</v>
      </c>
      <c r="D998">
        <v>10</v>
      </c>
      <c r="E998">
        <v>1</v>
      </c>
      <c r="F998">
        <v>0</v>
      </c>
      <c r="G998" t="s">
        <v>22</v>
      </c>
      <c r="H998" t="s">
        <v>9</v>
      </c>
      <c r="I998" t="s">
        <v>781</v>
      </c>
      <c r="J998" t="s">
        <v>55</v>
      </c>
      <c r="K998" t="s">
        <v>782</v>
      </c>
      <c r="M998" t="s">
        <v>6</v>
      </c>
    </row>
    <row r="999" spans="2:13" hidden="1">
      <c r="B999">
        <v>997</v>
      </c>
      <c r="C999">
        <v>100</v>
      </c>
      <c r="D999">
        <v>10</v>
      </c>
      <c r="E999">
        <v>2</v>
      </c>
      <c r="F999">
        <v>0</v>
      </c>
      <c r="G999" t="s">
        <v>22</v>
      </c>
      <c r="H999" t="s">
        <v>9</v>
      </c>
      <c r="I999" t="s">
        <v>781</v>
      </c>
      <c r="J999" t="s">
        <v>55</v>
      </c>
      <c r="K999" t="s">
        <v>783</v>
      </c>
      <c r="M999" t="s">
        <v>6</v>
      </c>
    </row>
    <row r="1000" spans="2:13" hidden="1">
      <c r="B1000">
        <v>998</v>
      </c>
      <c r="C1000">
        <v>100</v>
      </c>
      <c r="D1000">
        <v>10</v>
      </c>
      <c r="E1000">
        <v>3</v>
      </c>
      <c r="F1000">
        <v>0</v>
      </c>
      <c r="G1000" t="s">
        <v>22</v>
      </c>
      <c r="H1000" t="s">
        <v>9</v>
      </c>
      <c r="I1000" t="s">
        <v>781</v>
      </c>
      <c r="J1000" t="s">
        <v>55</v>
      </c>
      <c r="K1000" t="s">
        <v>784</v>
      </c>
      <c r="M1000" t="s">
        <v>6</v>
      </c>
    </row>
    <row r="1001" spans="2:13" hidden="1">
      <c r="B1001">
        <v>999</v>
      </c>
      <c r="C1001">
        <v>100</v>
      </c>
      <c r="D1001">
        <v>10</v>
      </c>
      <c r="E1001">
        <v>4</v>
      </c>
      <c r="F1001">
        <v>0</v>
      </c>
      <c r="G1001" t="s">
        <v>22</v>
      </c>
      <c r="H1001" t="s">
        <v>9</v>
      </c>
      <c r="I1001" t="s">
        <v>781</v>
      </c>
      <c r="J1001" t="s">
        <v>55</v>
      </c>
      <c r="K1001" t="s">
        <v>785</v>
      </c>
      <c r="M1001" t="s">
        <v>6</v>
      </c>
    </row>
    <row r="1002" spans="2:13" hidden="1">
      <c r="B1002">
        <v>1000</v>
      </c>
      <c r="C1002">
        <v>100</v>
      </c>
      <c r="D1002">
        <v>10</v>
      </c>
      <c r="E1002">
        <v>5</v>
      </c>
      <c r="F1002">
        <v>0</v>
      </c>
      <c r="G1002" t="s">
        <v>22</v>
      </c>
      <c r="H1002" t="s">
        <v>9</v>
      </c>
      <c r="I1002" t="s">
        <v>781</v>
      </c>
      <c r="J1002" t="s">
        <v>55</v>
      </c>
      <c r="K1002" t="s">
        <v>786</v>
      </c>
      <c r="M1002" t="s">
        <v>6</v>
      </c>
    </row>
    <row r="1003" spans="2:13" hidden="1">
      <c r="B1003">
        <v>1001</v>
      </c>
      <c r="C1003">
        <v>100</v>
      </c>
      <c r="D1003">
        <v>10</v>
      </c>
      <c r="E1003">
        <v>6</v>
      </c>
      <c r="F1003">
        <v>0</v>
      </c>
      <c r="G1003" t="s">
        <v>22</v>
      </c>
      <c r="H1003" t="s">
        <v>9</v>
      </c>
      <c r="I1003" t="s">
        <v>781</v>
      </c>
      <c r="J1003" t="s">
        <v>55</v>
      </c>
      <c r="K1003" t="s">
        <v>787</v>
      </c>
      <c r="M1003" t="s">
        <v>6</v>
      </c>
    </row>
    <row r="1004" spans="2:13" hidden="1">
      <c r="B1004">
        <v>1002</v>
      </c>
      <c r="C1004">
        <v>100</v>
      </c>
      <c r="D1004">
        <v>10</v>
      </c>
      <c r="E1004">
        <v>7</v>
      </c>
      <c r="F1004">
        <v>0</v>
      </c>
      <c r="G1004" t="s">
        <v>22</v>
      </c>
      <c r="H1004" t="s">
        <v>9</v>
      </c>
      <c r="I1004" t="s">
        <v>781</v>
      </c>
      <c r="J1004" t="s">
        <v>55</v>
      </c>
      <c r="K1004" t="s">
        <v>788</v>
      </c>
      <c r="M1004" t="s">
        <v>6</v>
      </c>
    </row>
    <row r="1005" spans="2:13" hidden="1">
      <c r="B1005">
        <v>1003</v>
      </c>
      <c r="C1005">
        <v>100</v>
      </c>
      <c r="D1005">
        <v>10</v>
      </c>
      <c r="E1005">
        <v>8</v>
      </c>
      <c r="F1005">
        <v>0</v>
      </c>
      <c r="G1005" t="s">
        <v>22</v>
      </c>
      <c r="H1005" t="s">
        <v>9</v>
      </c>
      <c r="I1005" t="s">
        <v>781</v>
      </c>
      <c r="J1005" t="s">
        <v>64</v>
      </c>
      <c r="K1005" t="s">
        <v>772</v>
      </c>
      <c r="M1005" t="s">
        <v>6</v>
      </c>
    </row>
    <row r="1006" spans="2:13" hidden="1">
      <c r="B1006">
        <v>1004</v>
      </c>
      <c r="C1006">
        <v>100</v>
      </c>
      <c r="D1006">
        <v>10</v>
      </c>
      <c r="E1006">
        <v>9</v>
      </c>
      <c r="F1006">
        <v>0</v>
      </c>
      <c r="G1006" t="s">
        <v>22</v>
      </c>
      <c r="H1006" t="s">
        <v>9</v>
      </c>
      <c r="I1006" t="s">
        <v>781</v>
      </c>
      <c r="J1006" t="s">
        <v>55</v>
      </c>
      <c r="K1006" t="s">
        <v>93</v>
      </c>
      <c r="M1006" t="s">
        <v>6</v>
      </c>
    </row>
    <row r="1007" spans="2:13" hidden="1">
      <c r="B1007">
        <v>1005</v>
      </c>
      <c r="C1007">
        <v>100</v>
      </c>
      <c r="D1007">
        <v>10</v>
      </c>
      <c r="E1007">
        <v>10</v>
      </c>
      <c r="F1007">
        <v>0</v>
      </c>
      <c r="G1007" t="s">
        <v>22</v>
      </c>
      <c r="H1007" t="s">
        <v>9</v>
      </c>
      <c r="I1007" t="s">
        <v>781</v>
      </c>
      <c r="J1007" t="s">
        <v>64</v>
      </c>
      <c r="K1007" t="s">
        <v>94</v>
      </c>
      <c r="M1007" t="s">
        <v>6</v>
      </c>
    </row>
    <row r="1008" spans="2:13" hidden="1">
      <c r="B1008">
        <v>1006</v>
      </c>
      <c r="C1008">
        <v>101</v>
      </c>
      <c r="D1008">
        <v>7</v>
      </c>
      <c r="E1008">
        <v>0</v>
      </c>
      <c r="F1008">
        <v>0</v>
      </c>
      <c r="G1008" t="s">
        <v>22</v>
      </c>
      <c r="H1008" t="s">
        <v>9</v>
      </c>
      <c r="I1008" t="s">
        <v>789</v>
      </c>
      <c r="J1008" t="s">
        <v>478</v>
      </c>
      <c r="K1008" t="s">
        <v>789</v>
      </c>
      <c r="M1008" t="s">
        <v>6</v>
      </c>
    </row>
    <row r="1009" spans="2:13" hidden="1">
      <c r="B1009">
        <v>1007</v>
      </c>
      <c r="C1009">
        <v>101</v>
      </c>
      <c r="D1009">
        <v>7</v>
      </c>
      <c r="E1009">
        <v>1</v>
      </c>
      <c r="F1009">
        <v>0</v>
      </c>
      <c r="G1009" t="s">
        <v>22</v>
      </c>
      <c r="H1009" t="s">
        <v>9</v>
      </c>
      <c r="I1009" t="s">
        <v>789</v>
      </c>
      <c r="J1009" t="s">
        <v>55</v>
      </c>
      <c r="K1009" t="s">
        <v>790</v>
      </c>
      <c r="M1009" t="s">
        <v>6</v>
      </c>
    </row>
    <row r="1010" spans="2:13" hidden="1">
      <c r="B1010">
        <v>1008</v>
      </c>
      <c r="C1010">
        <v>101</v>
      </c>
      <c r="D1010">
        <v>7</v>
      </c>
      <c r="E1010">
        <v>2</v>
      </c>
      <c r="F1010">
        <v>0</v>
      </c>
      <c r="G1010" t="s">
        <v>22</v>
      </c>
      <c r="H1010" t="s">
        <v>9</v>
      </c>
      <c r="I1010" t="s">
        <v>789</v>
      </c>
      <c r="J1010" t="s">
        <v>55</v>
      </c>
      <c r="K1010" t="s">
        <v>791</v>
      </c>
      <c r="M1010" t="s">
        <v>6</v>
      </c>
    </row>
    <row r="1011" spans="2:13" hidden="1">
      <c r="B1011">
        <v>1009</v>
      </c>
      <c r="C1011">
        <v>101</v>
      </c>
      <c r="D1011">
        <v>7</v>
      </c>
      <c r="E1011">
        <v>3</v>
      </c>
      <c r="F1011">
        <v>0</v>
      </c>
      <c r="G1011" t="s">
        <v>22</v>
      </c>
      <c r="H1011" t="s">
        <v>9</v>
      </c>
      <c r="I1011" t="s">
        <v>789</v>
      </c>
      <c r="J1011" t="s">
        <v>55</v>
      </c>
      <c r="K1011" t="s">
        <v>792</v>
      </c>
      <c r="M1011" t="s">
        <v>6</v>
      </c>
    </row>
    <row r="1012" spans="2:13" hidden="1">
      <c r="B1012">
        <v>1010</v>
      </c>
      <c r="C1012">
        <v>101</v>
      </c>
      <c r="D1012">
        <v>7</v>
      </c>
      <c r="E1012">
        <v>4</v>
      </c>
      <c r="F1012">
        <v>0</v>
      </c>
      <c r="G1012" t="s">
        <v>22</v>
      </c>
      <c r="H1012" t="s">
        <v>9</v>
      </c>
      <c r="I1012" t="s">
        <v>789</v>
      </c>
      <c r="J1012" t="s">
        <v>55</v>
      </c>
      <c r="K1012" t="s">
        <v>793</v>
      </c>
      <c r="M1012" t="s">
        <v>6</v>
      </c>
    </row>
    <row r="1013" spans="2:13" hidden="1">
      <c r="B1013">
        <v>1011</v>
      </c>
      <c r="C1013">
        <v>101</v>
      </c>
      <c r="D1013">
        <v>7</v>
      </c>
      <c r="E1013">
        <v>5</v>
      </c>
      <c r="F1013">
        <v>0</v>
      </c>
      <c r="G1013" t="s">
        <v>22</v>
      </c>
      <c r="H1013" t="s">
        <v>9</v>
      </c>
      <c r="I1013" t="s">
        <v>789</v>
      </c>
      <c r="J1013" t="s">
        <v>55</v>
      </c>
      <c r="K1013" t="s">
        <v>794</v>
      </c>
      <c r="M1013" t="s">
        <v>6</v>
      </c>
    </row>
    <row r="1014" spans="2:13" hidden="1">
      <c r="B1014">
        <v>1012</v>
      </c>
      <c r="C1014">
        <v>101</v>
      </c>
      <c r="D1014">
        <v>7</v>
      </c>
      <c r="E1014">
        <v>6</v>
      </c>
      <c r="F1014">
        <v>0</v>
      </c>
      <c r="G1014" t="s">
        <v>22</v>
      </c>
      <c r="H1014" t="s">
        <v>9</v>
      </c>
      <c r="I1014" t="s">
        <v>789</v>
      </c>
      <c r="J1014" t="s">
        <v>55</v>
      </c>
      <c r="K1014" t="s">
        <v>93</v>
      </c>
      <c r="M1014" t="s">
        <v>6</v>
      </c>
    </row>
    <row r="1015" spans="2:13" hidden="1">
      <c r="B1015">
        <v>1013</v>
      </c>
      <c r="C1015">
        <v>101</v>
      </c>
      <c r="D1015">
        <v>7</v>
      </c>
      <c r="E1015">
        <v>7</v>
      </c>
      <c r="F1015">
        <v>0</v>
      </c>
      <c r="G1015" t="s">
        <v>22</v>
      </c>
      <c r="H1015" t="s">
        <v>9</v>
      </c>
      <c r="I1015" t="s">
        <v>789</v>
      </c>
      <c r="J1015" t="s">
        <v>64</v>
      </c>
      <c r="K1015" t="s">
        <v>94</v>
      </c>
      <c r="M1015" t="s">
        <v>6</v>
      </c>
    </row>
    <row r="1016" spans="2:13" hidden="1">
      <c r="B1016">
        <v>1014</v>
      </c>
      <c r="C1016">
        <v>102</v>
      </c>
      <c r="D1016">
        <v>9</v>
      </c>
      <c r="E1016">
        <v>0</v>
      </c>
      <c r="F1016">
        <v>0</v>
      </c>
      <c r="G1016" t="s">
        <v>22</v>
      </c>
      <c r="H1016" t="s">
        <v>9</v>
      </c>
      <c r="I1016" t="s">
        <v>795</v>
      </c>
      <c r="J1016" t="s">
        <v>54</v>
      </c>
      <c r="K1016" t="s">
        <v>795</v>
      </c>
      <c r="M1016" t="s">
        <v>6</v>
      </c>
    </row>
    <row r="1017" spans="2:13" hidden="1">
      <c r="B1017">
        <v>1015</v>
      </c>
      <c r="C1017">
        <v>102</v>
      </c>
      <c r="D1017">
        <v>9</v>
      </c>
      <c r="E1017">
        <v>1</v>
      </c>
      <c r="F1017">
        <v>0</v>
      </c>
      <c r="G1017" t="s">
        <v>22</v>
      </c>
      <c r="H1017" t="s">
        <v>9</v>
      </c>
      <c r="I1017" t="s">
        <v>795</v>
      </c>
      <c r="J1017" t="s">
        <v>55</v>
      </c>
      <c r="K1017" t="s">
        <v>757</v>
      </c>
      <c r="M1017" t="s">
        <v>6</v>
      </c>
    </row>
    <row r="1018" spans="2:13" hidden="1">
      <c r="B1018">
        <v>1016</v>
      </c>
      <c r="C1018">
        <v>102</v>
      </c>
      <c r="D1018">
        <v>9</v>
      </c>
      <c r="E1018">
        <v>2</v>
      </c>
      <c r="F1018">
        <v>0</v>
      </c>
      <c r="G1018" t="s">
        <v>22</v>
      </c>
      <c r="H1018" t="s">
        <v>9</v>
      </c>
      <c r="I1018" t="s">
        <v>795</v>
      </c>
      <c r="J1018" t="s">
        <v>55</v>
      </c>
      <c r="K1018" t="s">
        <v>758</v>
      </c>
      <c r="M1018" t="s">
        <v>6</v>
      </c>
    </row>
    <row r="1019" spans="2:13" hidden="1">
      <c r="B1019">
        <v>1017</v>
      </c>
      <c r="C1019">
        <v>102</v>
      </c>
      <c r="D1019">
        <v>9</v>
      </c>
      <c r="E1019">
        <v>3</v>
      </c>
      <c r="F1019">
        <v>0</v>
      </c>
      <c r="G1019" t="s">
        <v>22</v>
      </c>
      <c r="H1019" t="s">
        <v>9</v>
      </c>
      <c r="I1019" t="s">
        <v>795</v>
      </c>
      <c r="J1019" t="s">
        <v>55</v>
      </c>
      <c r="K1019" t="s">
        <v>759</v>
      </c>
      <c r="M1019" t="s">
        <v>6</v>
      </c>
    </row>
    <row r="1020" spans="2:13" hidden="1">
      <c r="B1020">
        <v>1018</v>
      </c>
      <c r="C1020">
        <v>102</v>
      </c>
      <c r="D1020">
        <v>9</v>
      </c>
      <c r="E1020">
        <v>4</v>
      </c>
      <c r="F1020">
        <v>0</v>
      </c>
      <c r="G1020" t="s">
        <v>22</v>
      </c>
      <c r="H1020" t="s">
        <v>9</v>
      </c>
      <c r="I1020" t="s">
        <v>795</v>
      </c>
      <c r="J1020" t="s">
        <v>55</v>
      </c>
      <c r="K1020" t="s">
        <v>760</v>
      </c>
      <c r="M1020" t="s">
        <v>6</v>
      </c>
    </row>
    <row r="1021" spans="2:13" hidden="1">
      <c r="B1021">
        <v>1019</v>
      </c>
      <c r="C1021">
        <v>102</v>
      </c>
      <c r="D1021">
        <v>9</v>
      </c>
      <c r="E1021">
        <v>5</v>
      </c>
      <c r="F1021">
        <v>0</v>
      </c>
      <c r="G1021" t="s">
        <v>22</v>
      </c>
      <c r="H1021" t="s">
        <v>9</v>
      </c>
      <c r="I1021" t="s">
        <v>795</v>
      </c>
      <c r="J1021" t="s">
        <v>55</v>
      </c>
      <c r="K1021" t="s">
        <v>761</v>
      </c>
      <c r="M1021" t="s">
        <v>6</v>
      </c>
    </row>
    <row r="1022" spans="2:13" hidden="1">
      <c r="B1022">
        <v>1020</v>
      </c>
      <c r="C1022">
        <v>102</v>
      </c>
      <c r="D1022">
        <v>9</v>
      </c>
      <c r="E1022">
        <v>6</v>
      </c>
      <c r="F1022">
        <v>0</v>
      </c>
      <c r="G1022" t="s">
        <v>22</v>
      </c>
      <c r="H1022" t="s">
        <v>9</v>
      </c>
      <c r="I1022" t="s">
        <v>795</v>
      </c>
      <c r="J1022" t="s">
        <v>55</v>
      </c>
      <c r="K1022" t="s">
        <v>762</v>
      </c>
      <c r="M1022" t="s">
        <v>6</v>
      </c>
    </row>
    <row r="1023" spans="2:13" hidden="1">
      <c r="B1023">
        <v>1021</v>
      </c>
      <c r="C1023">
        <v>102</v>
      </c>
      <c r="D1023">
        <v>9</v>
      </c>
      <c r="E1023">
        <v>7</v>
      </c>
      <c r="F1023">
        <v>0</v>
      </c>
      <c r="G1023" t="s">
        <v>22</v>
      </c>
      <c r="H1023" t="s">
        <v>9</v>
      </c>
      <c r="I1023" t="s">
        <v>795</v>
      </c>
      <c r="J1023" t="s">
        <v>55</v>
      </c>
      <c r="K1023" t="s">
        <v>763</v>
      </c>
      <c r="M1023" t="s">
        <v>6</v>
      </c>
    </row>
    <row r="1024" spans="2:13" hidden="1">
      <c r="B1024">
        <v>1022</v>
      </c>
      <c r="C1024">
        <v>102</v>
      </c>
      <c r="D1024">
        <v>9</v>
      </c>
      <c r="E1024">
        <v>8</v>
      </c>
      <c r="F1024">
        <v>0</v>
      </c>
      <c r="G1024" t="s">
        <v>22</v>
      </c>
      <c r="H1024" t="s">
        <v>9</v>
      </c>
      <c r="I1024" t="s">
        <v>795</v>
      </c>
      <c r="J1024" t="s">
        <v>55</v>
      </c>
      <c r="K1024" t="s">
        <v>93</v>
      </c>
      <c r="M1024" t="s">
        <v>6</v>
      </c>
    </row>
    <row r="1025" spans="2:13" hidden="1">
      <c r="B1025">
        <v>1023</v>
      </c>
      <c r="C1025">
        <v>102</v>
      </c>
      <c r="D1025">
        <v>9</v>
      </c>
      <c r="E1025">
        <v>9</v>
      </c>
      <c r="F1025">
        <v>0</v>
      </c>
      <c r="G1025" t="s">
        <v>22</v>
      </c>
      <c r="H1025" t="s">
        <v>9</v>
      </c>
      <c r="I1025" t="s">
        <v>795</v>
      </c>
      <c r="J1025" t="s">
        <v>64</v>
      </c>
      <c r="K1025" t="s">
        <v>94</v>
      </c>
      <c r="M1025" t="s">
        <v>6</v>
      </c>
    </row>
    <row r="1026" spans="2:13" hidden="1">
      <c r="B1026">
        <v>1024</v>
      </c>
      <c r="C1026">
        <v>103</v>
      </c>
      <c r="D1026">
        <v>9</v>
      </c>
      <c r="E1026">
        <v>0</v>
      </c>
      <c r="F1026">
        <v>0</v>
      </c>
      <c r="G1026" t="s">
        <v>22</v>
      </c>
      <c r="H1026" t="s">
        <v>9</v>
      </c>
      <c r="I1026" t="s">
        <v>796</v>
      </c>
      <c r="J1026" t="s">
        <v>54</v>
      </c>
      <c r="K1026" t="s">
        <v>796</v>
      </c>
      <c r="M1026" t="s">
        <v>6</v>
      </c>
    </row>
    <row r="1027" spans="2:13" hidden="1">
      <c r="B1027">
        <v>1025</v>
      </c>
      <c r="C1027">
        <v>103</v>
      </c>
      <c r="D1027">
        <v>9</v>
      </c>
      <c r="E1027">
        <v>1</v>
      </c>
      <c r="F1027">
        <v>0</v>
      </c>
      <c r="G1027" t="s">
        <v>22</v>
      </c>
      <c r="H1027" t="s">
        <v>9</v>
      </c>
      <c r="I1027" t="s">
        <v>796</v>
      </c>
      <c r="J1027" t="s">
        <v>55</v>
      </c>
      <c r="K1027" t="s">
        <v>757</v>
      </c>
      <c r="M1027" t="s">
        <v>6</v>
      </c>
    </row>
    <row r="1028" spans="2:13" hidden="1">
      <c r="B1028">
        <v>1026</v>
      </c>
      <c r="C1028">
        <v>103</v>
      </c>
      <c r="D1028">
        <v>9</v>
      </c>
      <c r="E1028">
        <v>2</v>
      </c>
      <c r="F1028">
        <v>0</v>
      </c>
      <c r="G1028" t="s">
        <v>22</v>
      </c>
      <c r="H1028" t="s">
        <v>9</v>
      </c>
      <c r="I1028" t="s">
        <v>796</v>
      </c>
      <c r="J1028" t="s">
        <v>55</v>
      </c>
      <c r="K1028" t="s">
        <v>758</v>
      </c>
      <c r="M1028" t="s">
        <v>6</v>
      </c>
    </row>
    <row r="1029" spans="2:13" hidden="1">
      <c r="B1029">
        <v>1027</v>
      </c>
      <c r="C1029">
        <v>103</v>
      </c>
      <c r="D1029">
        <v>9</v>
      </c>
      <c r="E1029">
        <v>3</v>
      </c>
      <c r="F1029">
        <v>0</v>
      </c>
      <c r="G1029" t="s">
        <v>22</v>
      </c>
      <c r="H1029" t="s">
        <v>9</v>
      </c>
      <c r="I1029" t="s">
        <v>796</v>
      </c>
      <c r="J1029" t="s">
        <v>55</v>
      </c>
      <c r="K1029" t="s">
        <v>759</v>
      </c>
      <c r="M1029" t="s">
        <v>6</v>
      </c>
    </row>
    <row r="1030" spans="2:13" hidden="1">
      <c r="B1030">
        <v>1028</v>
      </c>
      <c r="C1030">
        <v>103</v>
      </c>
      <c r="D1030">
        <v>9</v>
      </c>
      <c r="E1030">
        <v>4</v>
      </c>
      <c r="F1030">
        <v>0</v>
      </c>
      <c r="G1030" t="s">
        <v>22</v>
      </c>
      <c r="H1030" t="s">
        <v>9</v>
      </c>
      <c r="I1030" t="s">
        <v>796</v>
      </c>
      <c r="J1030" t="s">
        <v>55</v>
      </c>
      <c r="K1030" t="s">
        <v>760</v>
      </c>
      <c r="M1030" t="s">
        <v>6</v>
      </c>
    </row>
    <row r="1031" spans="2:13" hidden="1">
      <c r="B1031">
        <v>1029</v>
      </c>
      <c r="C1031">
        <v>103</v>
      </c>
      <c r="D1031">
        <v>9</v>
      </c>
      <c r="E1031">
        <v>5</v>
      </c>
      <c r="F1031">
        <v>0</v>
      </c>
      <c r="G1031" t="s">
        <v>22</v>
      </c>
      <c r="H1031" t="s">
        <v>9</v>
      </c>
      <c r="I1031" t="s">
        <v>796</v>
      </c>
      <c r="J1031" t="s">
        <v>55</v>
      </c>
      <c r="K1031" t="s">
        <v>761</v>
      </c>
      <c r="M1031" t="s">
        <v>6</v>
      </c>
    </row>
    <row r="1032" spans="2:13" hidden="1">
      <c r="B1032">
        <v>1030</v>
      </c>
      <c r="C1032">
        <v>103</v>
      </c>
      <c r="D1032">
        <v>9</v>
      </c>
      <c r="E1032">
        <v>6</v>
      </c>
      <c r="F1032">
        <v>0</v>
      </c>
      <c r="G1032" t="s">
        <v>22</v>
      </c>
      <c r="H1032" t="s">
        <v>9</v>
      </c>
      <c r="I1032" t="s">
        <v>796</v>
      </c>
      <c r="J1032" t="s">
        <v>55</v>
      </c>
      <c r="K1032" t="s">
        <v>762</v>
      </c>
      <c r="M1032" t="s">
        <v>6</v>
      </c>
    </row>
    <row r="1033" spans="2:13" hidden="1">
      <c r="B1033">
        <v>1031</v>
      </c>
      <c r="C1033">
        <v>103</v>
      </c>
      <c r="D1033">
        <v>9</v>
      </c>
      <c r="E1033">
        <v>7</v>
      </c>
      <c r="F1033">
        <v>0</v>
      </c>
      <c r="G1033" t="s">
        <v>22</v>
      </c>
      <c r="H1033" t="s">
        <v>9</v>
      </c>
      <c r="I1033" t="s">
        <v>796</v>
      </c>
      <c r="J1033" t="s">
        <v>55</v>
      </c>
      <c r="K1033" t="s">
        <v>763</v>
      </c>
      <c r="M1033" t="s">
        <v>6</v>
      </c>
    </row>
    <row r="1034" spans="2:13" hidden="1">
      <c r="B1034">
        <v>1032</v>
      </c>
      <c r="C1034">
        <v>103</v>
      </c>
      <c r="D1034">
        <v>9</v>
      </c>
      <c r="E1034">
        <v>8</v>
      </c>
      <c r="F1034">
        <v>0</v>
      </c>
      <c r="G1034" t="s">
        <v>22</v>
      </c>
      <c r="H1034" t="s">
        <v>9</v>
      </c>
      <c r="I1034" t="s">
        <v>796</v>
      </c>
      <c r="J1034" t="s">
        <v>55</v>
      </c>
      <c r="K1034" t="s">
        <v>93</v>
      </c>
      <c r="M1034" t="s">
        <v>6</v>
      </c>
    </row>
    <row r="1035" spans="2:13" hidden="1">
      <c r="B1035">
        <v>1033</v>
      </c>
      <c r="C1035">
        <v>103</v>
      </c>
      <c r="D1035">
        <v>9</v>
      </c>
      <c r="E1035">
        <v>9</v>
      </c>
      <c r="F1035">
        <v>0</v>
      </c>
      <c r="G1035" t="s">
        <v>22</v>
      </c>
      <c r="H1035" t="s">
        <v>9</v>
      </c>
      <c r="I1035" t="s">
        <v>796</v>
      </c>
      <c r="J1035" t="s">
        <v>64</v>
      </c>
      <c r="K1035" t="s">
        <v>94</v>
      </c>
      <c r="M1035" t="s">
        <v>6</v>
      </c>
    </row>
    <row r="1036" spans="2:13" hidden="1">
      <c r="B1036">
        <v>1034</v>
      </c>
      <c r="C1036">
        <v>104</v>
      </c>
      <c r="D1036">
        <v>13</v>
      </c>
      <c r="E1036">
        <v>0</v>
      </c>
      <c r="F1036">
        <v>0</v>
      </c>
      <c r="G1036" t="s">
        <v>22</v>
      </c>
      <c r="H1036" t="s">
        <v>9</v>
      </c>
      <c r="I1036" t="s">
        <v>797</v>
      </c>
      <c r="J1036" t="s">
        <v>478</v>
      </c>
      <c r="K1036" t="s">
        <v>797</v>
      </c>
      <c r="M1036" t="s">
        <v>6</v>
      </c>
    </row>
    <row r="1037" spans="2:13" hidden="1">
      <c r="B1037">
        <v>1035</v>
      </c>
      <c r="C1037">
        <v>104</v>
      </c>
      <c r="D1037">
        <v>13</v>
      </c>
      <c r="E1037">
        <v>1</v>
      </c>
      <c r="F1037">
        <v>0</v>
      </c>
      <c r="G1037" t="s">
        <v>22</v>
      </c>
      <c r="H1037" t="s">
        <v>9</v>
      </c>
      <c r="I1037" t="s">
        <v>797</v>
      </c>
      <c r="J1037" t="s">
        <v>479</v>
      </c>
      <c r="K1037" t="s">
        <v>711</v>
      </c>
      <c r="M1037" t="s">
        <v>6</v>
      </c>
    </row>
    <row r="1038" spans="2:13" hidden="1">
      <c r="B1038">
        <v>1036</v>
      </c>
      <c r="C1038">
        <v>104</v>
      </c>
      <c r="D1038">
        <v>13</v>
      </c>
      <c r="E1038">
        <v>2</v>
      </c>
      <c r="F1038">
        <v>0</v>
      </c>
      <c r="G1038" t="s">
        <v>22</v>
      </c>
      <c r="H1038" t="s">
        <v>9</v>
      </c>
      <c r="I1038" t="s">
        <v>797</v>
      </c>
      <c r="J1038" t="s">
        <v>55</v>
      </c>
      <c r="K1038" s="72" t="s">
        <v>712</v>
      </c>
      <c r="M1038" t="s">
        <v>6</v>
      </c>
    </row>
    <row r="1039" spans="2:13" hidden="1">
      <c r="B1039">
        <v>1037</v>
      </c>
      <c r="C1039">
        <v>104</v>
      </c>
      <c r="D1039">
        <v>13</v>
      </c>
      <c r="E1039">
        <v>3</v>
      </c>
      <c r="F1039">
        <v>0</v>
      </c>
      <c r="G1039" t="s">
        <v>22</v>
      </c>
      <c r="H1039" t="s">
        <v>9</v>
      </c>
      <c r="I1039" t="s">
        <v>797</v>
      </c>
      <c r="J1039" t="s">
        <v>55</v>
      </c>
      <c r="K1039" t="s">
        <v>713</v>
      </c>
      <c r="M1039" t="s">
        <v>6</v>
      </c>
    </row>
    <row r="1040" spans="2:13" hidden="1">
      <c r="B1040">
        <v>1038</v>
      </c>
      <c r="C1040">
        <v>104</v>
      </c>
      <c r="D1040">
        <v>13</v>
      </c>
      <c r="E1040">
        <v>4</v>
      </c>
      <c r="F1040">
        <v>0</v>
      </c>
      <c r="G1040" t="s">
        <v>22</v>
      </c>
      <c r="H1040" t="s">
        <v>9</v>
      </c>
      <c r="I1040" t="s">
        <v>797</v>
      </c>
      <c r="J1040" t="s">
        <v>479</v>
      </c>
      <c r="K1040" t="s">
        <v>714</v>
      </c>
      <c r="M1040" t="s">
        <v>6</v>
      </c>
    </row>
    <row r="1041" spans="2:13" hidden="1">
      <c r="B1041">
        <v>1039</v>
      </c>
      <c r="C1041">
        <v>104</v>
      </c>
      <c r="D1041">
        <v>13</v>
      </c>
      <c r="E1041">
        <v>5</v>
      </c>
      <c r="F1041">
        <v>0</v>
      </c>
      <c r="G1041" t="s">
        <v>22</v>
      </c>
      <c r="H1041" t="s">
        <v>9</v>
      </c>
      <c r="I1041" t="s">
        <v>797</v>
      </c>
      <c r="J1041" t="s">
        <v>55</v>
      </c>
      <c r="K1041" t="s">
        <v>798</v>
      </c>
      <c r="M1041" t="s">
        <v>6</v>
      </c>
    </row>
    <row r="1042" spans="2:13" hidden="1">
      <c r="B1042">
        <v>1040</v>
      </c>
      <c r="C1042">
        <v>104</v>
      </c>
      <c r="D1042">
        <v>13</v>
      </c>
      <c r="E1042">
        <v>6</v>
      </c>
      <c r="F1042">
        <v>0</v>
      </c>
      <c r="G1042" t="s">
        <v>22</v>
      </c>
      <c r="H1042" t="s">
        <v>9</v>
      </c>
      <c r="I1042" t="s">
        <v>797</v>
      </c>
      <c r="J1042" t="s">
        <v>55</v>
      </c>
      <c r="K1042" s="72" t="s">
        <v>799</v>
      </c>
      <c r="M1042" t="s">
        <v>6</v>
      </c>
    </row>
    <row r="1043" spans="2:13" hidden="1">
      <c r="B1043">
        <v>1041</v>
      </c>
      <c r="C1043">
        <v>104</v>
      </c>
      <c r="D1043">
        <v>13</v>
      </c>
      <c r="E1043">
        <v>7</v>
      </c>
      <c r="F1043">
        <v>0</v>
      </c>
      <c r="G1043" t="s">
        <v>22</v>
      </c>
      <c r="H1043" t="s">
        <v>9</v>
      </c>
      <c r="I1043" t="s">
        <v>797</v>
      </c>
      <c r="J1043" t="s">
        <v>55</v>
      </c>
      <c r="K1043" t="s">
        <v>800</v>
      </c>
      <c r="M1043" t="s">
        <v>6</v>
      </c>
    </row>
    <row r="1044" spans="2:13" hidden="1">
      <c r="B1044">
        <v>1042</v>
      </c>
      <c r="C1044">
        <v>104</v>
      </c>
      <c r="D1044">
        <v>13</v>
      </c>
      <c r="E1044">
        <v>8</v>
      </c>
      <c r="F1044">
        <v>0</v>
      </c>
      <c r="G1044" t="s">
        <v>22</v>
      </c>
      <c r="H1044" t="s">
        <v>9</v>
      </c>
      <c r="I1044" t="s">
        <v>797</v>
      </c>
      <c r="J1044" t="s">
        <v>55</v>
      </c>
      <c r="K1044" t="s">
        <v>801</v>
      </c>
      <c r="M1044" t="s">
        <v>6</v>
      </c>
    </row>
    <row r="1045" spans="2:13" hidden="1">
      <c r="B1045">
        <v>1043</v>
      </c>
      <c r="C1045">
        <v>104</v>
      </c>
      <c r="D1045">
        <v>13</v>
      </c>
      <c r="E1045">
        <v>9</v>
      </c>
      <c r="F1045">
        <v>0</v>
      </c>
      <c r="G1045" t="s">
        <v>22</v>
      </c>
      <c r="H1045" t="s">
        <v>9</v>
      </c>
      <c r="I1045" t="s">
        <v>797</v>
      </c>
      <c r="J1045" t="s">
        <v>55</v>
      </c>
      <c r="K1045" t="s">
        <v>718</v>
      </c>
      <c r="M1045" t="s">
        <v>6</v>
      </c>
    </row>
    <row r="1046" spans="2:13" hidden="1">
      <c r="B1046">
        <v>1044</v>
      </c>
      <c r="C1046">
        <v>104</v>
      </c>
      <c r="D1046">
        <v>13</v>
      </c>
      <c r="E1046">
        <v>10</v>
      </c>
      <c r="F1046">
        <v>0</v>
      </c>
      <c r="G1046" t="s">
        <v>22</v>
      </c>
      <c r="H1046" t="s">
        <v>9</v>
      </c>
      <c r="I1046" t="s">
        <v>797</v>
      </c>
      <c r="J1046" t="s">
        <v>55</v>
      </c>
      <c r="K1046" t="s">
        <v>719</v>
      </c>
      <c r="M1046" t="s">
        <v>6</v>
      </c>
    </row>
    <row r="1047" spans="2:13" hidden="1">
      <c r="B1047">
        <v>1045</v>
      </c>
      <c r="C1047">
        <v>104</v>
      </c>
      <c r="D1047">
        <v>13</v>
      </c>
      <c r="E1047">
        <v>11</v>
      </c>
      <c r="F1047">
        <v>0</v>
      </c>
      <c r="G1047" t="s">
        <v>22</v>
      </c>
      <c r="H1047" t="s">
        <v>9</v>
      </c>
      <c r="I1047" t="s">
        <v>797</v>
      </c>
      <c r="J1047" t="s">
        <v>55</v>
      </c>
      <c r="K1047" t="s">
        <v>802</v>
      </c>
      <c r="M1047" t="s">
        <v>6</v>
      </c>
    </row>
    <row r="1048" spans="2:13" hidden="1">
      <c r="B1048">
        <v>1046</v>
      </c>
      <c r="C1048">
        <v>104</v>
      </c>
      <c r="D1048">
        <v>13</v>
      </c>
      <c r="E1048">
        <v>12</v>
      </c>
      <c r="F1048">
        <v>0</v>
      </c>
      <c r="G1048" t="s">
        <v>22</v>
      </c>
      <c r="H1048" t="s">
        <v>9</v>
      </c>
      <c r="I1048" t="s">
        <v>797</v>
      </c>
      <c r="J1048" t="s">
        <v>55</v>
      </c>
      <c r="K1048" t="s">
        <v>93</v>
      </c>
      <c r="M1048" t="s">
        <v>6</v>
      </c>
    </row>
    <row r="1049" spans="2:13" hidden="1">
      <c r="B1049">
        <v>1047</v>
      </c>
      <c r="C1049">
        <v>104</v>
      </c>
      <c r="D1049">
        <v>13</v>
      </c>
      <c r="E1049">
        <v>13</v>
      </c>
      <c r="F1049">
        <v>0</v>
      </c>
      <c r="G1049" t="s">
        <v>22</v>
      </c>
      <c r="H1049" t="s">
        <v>9</v>
      </c>
      <c r="I1049" t="s">
        <v>797</v>
      </c>
      <c r="J1049" t="s">
        <v>64</v>
      </c>
      <c r="K1049" t="s">
        <v>94</v>
      </c>
      <c r="M1049" t="s">
        <v>6</v>
      </c>
    </row>
    <row r="1050" spans="2:13" hidden="1">
      <c r="B1050">
        <v>1048</v>
      </c>
      <c r="C1050">
        <v>105</v>
      </c>
      <c r="D1050">
        <v>9</v>
      </c>
      <c r="E1050">
        <v>0</v>
      </c>
      <c r="F1050">
        <v>0</v>
      </c>
      <c r="G1050" t="s">
        <v>22</v>
      </c>
      <c r="H1050" t="s">
        <v>9</v>
      </c>
      <c r="I1050" t="s">
        <v>803</v>
      </c>
      <c r="J1050" t="s">
        <v>54</v>
      </c>
      <c r="K1050" t="s">
        <v>803</v>
      </c>
      <c r="M1050" t="s">
        <v>6</v>
      </c>
    </row>
    <row r="1051" spans="2:13" hidden="1">
      <c r="B1051">
        <v>1049</v>
      </c>
      <c r="C1051">
        <v>105</v>
      </c>
      <c r="D1051">
        <v>9</v>
      </c>
      <c r="E1051">
        <v>1</v>
      </c>
      <c r="F1051">
        <v>0</v>
      </c>
      <c r="G1051" t="s">
        <v>22</v>
      </c>
      <c r="H1051" t="s">
        <v>9</v>
      </c>
      <c r="I1051" t="s">
        <v>803</v>
      </c>
      <c r="J1051" t="s">
        <v>55</v>
      </c>
      <c r="K1051" t="s">
        <v>804</v>
      </c>
      <c r="M1051" t="s">
        <v>6</v>
      </c>
    </row>
    <row r="1052" spans="2:13" hidden="1">
      <c r="B1052">
        <v>1050</v>
      </c>
      <c r="C1052">
        <v>105</v>
      </c>
      <c r="D1052">
        <v>9</v>
      </c>
      <c r="E1052">
        <v>2</v>
      </c>
      <c r="F1052">
        <v>0</v>
      </c>
      <c r="G1052" t="s">
        <v>22</v>
      </c>
      <c r="H1052" t="s">
        <v>9</v>
      </c>
      <c r="I1052" t="s">
        <v>803</v>
      </c>
      <c r="J1052" t="s">
        <v>55</v>
      </c>
      <c r="K1052" t="s">
        <v>805</v>
      </c>
      <c r="M1052" t="s">
        <v>6</v>
      </c>
    </row>
    <row r="1053" spans="2:13" hidden="1">
      <c r="B1053">
        <v>1051</v>
      </c>
      <c r="C1053">
        <v>105</v>
      </c>
      <c r="D1053">
        <v>9</v>
      </c>
      <c r="E1053">
        <v>3</v>
      </c>
      <c r="F1053">
        <v>0</v>
      </c>
      <c r="G1053" t="s">
        <v>22</v>
      </c>
      <c r="H1053" t="s">
        <v>9</v>
      </c>
      <c r="I1053" t="s">
        <v>803</v>
      </c>
      <c r="J1053" t="s">
        <v>55</v>
      </c>
      <c r="K1053" t="s">
        <v>806</v>
      </c>
      <c r="M1053" t="s">
        <v>6</v>
      </c>
    </row>
    <row r="1054" spans="2:13" hidden="1">
      <c r="B1054">
        <v>1052</v>
      </c>
      <c r="C1054">
        <v>105</v>
      </c>
      <c r="D1054">
        <v>9</v>
      </c>
      <c r="E1054">
        <v>4</v>
      </c>
      <c r="F1054">
        <v>0</v>
      </c>
      <c r="G1054" t="s">
        <v>22</v>
      </c>
      <c r="H1054" t="s">
        <v>9</v>
      </c>
      <c r="I1054" t="s">
        <v>803</v>
      </c>
      <c r="J1054" t="s">
        <v>55</v>
      </c>
      <c r="K1054" t="s">
        <v>807</v>
      </c>
      <c r="M1054" t="s">
        <v>6</v>
      </c>
    </row>
    <row r="1055" spans="2:13" hidden="1">
      <c r="B1055">
        <v>1053</v>
      </c>
      <c r="C1055">
        <v>105</v>
      </c>
      <c r="D1055">
        <v>9</v>
      </c>
      <c r="E1055">
        <v>5</v>
      </c>
      <c r="F1055">
        <v>0</v>
      </c>
      <c r="G1055" t="s">
        <v>22</v>
      </c>
      <c r="H1055" t="s">
        <v>9</v>
      </c>
      <c r="I1055" t="s">
        <v>803</v>
      </c>
      <c r="J1055" t="s">
        <v>55</v>
      </c>
      <c r="K1055" t="s">
        <v>808</v>
      </c>
      <c r="M1055" t="s">
        <v>6</v>
      </c>
    </row>
    <row r="1056" spans="2:13" hidden="1">
      <c r="B1056">
        <v>1054</v>
      </c>
      <c r="C1056">
        <v>105</v>
      </c>
      <c r="D1056">
        <v>9</v>
      </c>
      <c r="E1056">
        <v>6</v>
      </c>
      <c r="F1056">
        <v>0</v>
      </c>
      <c r="G1056" t="s">
        <v>22</v>
      </c>
      <c r="H1056" t="s">
        <v>9</v>
      </c>
      <c r="I1056" t="s">
        <v>803</v>
      </c>
      <c r="J1056" t="s">
        <v>55</v>
      </c>
      <c r="K1056" t="s">
        <v>809</v>
      </c>
      <c r="M1056" t="s">
        <v>6</v>
      </c>
    </row>
    <row r="1057" spans="2:13" hidden="1">
      <c r="B1057">
        <v>1055</v>
      </c>
      <c r="C1057">
        <v>105</v>
      </c>
      <c r="D1057">
        <v>9</v>
      </c>
      <c r="E1057">
        <v>7</v>
      </c>
      <c r="F1057">
        <v>0</v>
      </c>
      <c r="G1057" t="s">
        <v>22</v>
      </c>
      <c r="H1057" t="s">
        <v>9</v>
      </c>
      <c r="I1057" t="s">
        <v>803</v>
      </c>
      <c r="J1057" t="s">
        <v>55</v>
      </c>
      <c r="K1057" t="s">
        <v>810</v>
      </c>
      <c r="M1057" t="s">
        <v>6</v>
      </c>
    </row>
    <row r="1058" spans="2:13" hidden="1">
      <c r="B1058">
        <v>1056</v>
      </c>
      <c r="C1058">
        <v>105</v>
      </c>
      <c r="D1058">
        <v>9</v>
      </c>
      <c r="E1058">
        <v>8</v>
      </c>
      <c r="F1058">
        <v>0</v>
      </c>
      <c r="G1058" t="s">
        <v>22</v>
      </c>
      <c r="H1058" t="s">
        <v>9</v>
      </c>
      <c r="I1058" t="s">
        <v>803</v>
      </c>
      <c r="J1058" t="s">
        <v>55</v>
      </c>
      <c r="K1058" t="s">
        <v>93</v>
      </c>
      <c r="M1058" t="s">
        <v>6</v>
      </c>
    </row>
    <row r="1059" spans="2:13" hidden="1">
      <c r="B1059">
        <v>1057</v>
      </c>
      <c r="C1059">
        <v>105</v>
      </c>
      <c r="D1059">
        <v>9</v>
      </c>
      <c r="E1059">
        <v>9</v>
      </c>
      <c r="F1059">
        <v>0</v>
      </c>
      <c r="G1059" t="s">
        <v>22</v>
      </c>
      <c r="H1059" t="s">
        <v>9</v>
      </c>
      <c r="I1059" t="s">
        <v>803</v>
      </c>
      <c r="J1059" t="s">
        <v>64</v>
      </c>
      <c r="K1059" t="s">
        <v>94</v>
      </c>
      <c r="M1059" t="s">
        <v>6</v>
      </c>
    </row>
    <row r="1060" spans="2:13" hidden="1">
      <c r="B1060">
        <v>1058</v>
      </c>
      <c r="C1060">
        <v>106</v>
      </c>
      <c r="D1060">
        <v>11</v>
      </c>
      <c r="E1060">
        <v>0</v>
      </c>
      <c r="F1060">
        <v>0</v>
      </c>
      <c r="G1060" t="s">
        <v>22</v>
      </c>
      <c r="H1060" t="s">
        <v>9</v>
      </c>
      <c r="I1060" t="s">
        <v>811</v>
      </c>
      <c r="J1060" t="s">
        <v>54</v>
      </c>
      <c r="K1060" t="s">
        <v>811</v>
      </c>
      <c r="M1060" t="s">
        <v>6</v>
      </c>
    </row>
    <row r="1061" spans="2:13" hidden="1">
      <c r="B1061">
        <v>1059</v>
      </c>
      <c r="C1061">
        <v>106</v>
      </c>
      <c r="D1061">
        <v>11</v>
      </c>
      <c r="E1061">
        <v>1</v>
      </c>
      <c r="F1061">
        <v>0</v>
      </c>
      <c r="G1061" t="s">
        <v>22</v>
      </c>
      <c r="H1061" t="s">
        <v>9</v>
      </c>
      <c r="I1061" t="s">
        <v>811</v>
      </c>
      <c r="J1061" t="s">
        <v>55</v>
      </c>
      <c r="K1061" t="s">
        <v>812</v>
      </c>
      <c r="M1061" t="s">
        <v>6</v>
      </c>
    </row>
    <row r="1062" spans="2:13" hidden="1">
      <c r="B1062">
        <v>1060</v>
      </c>
      <c r="C1062">
        <v>106</v>
      </c>
      <c r="D1062">
        <v>11</v>
      </c>
      <c r="E1062">
        <v>2</v>
      </c>
      <c r="F1062">
        <v>0</v>
      </c>
      <c r="G1062" t="s">
        <v>22</v>
      </c>
      <c r="H1062" t="s">
        <v>9</v>
      </c>
      <c r="I1062" t="s">
        <v>811</v>
      </c>
      <c r="J1062" t="s">
        <v>55</v>
      </c>
      <c r="K1062" t="s">
        <v>813</v>
      </c>
      <c r="M1062" t="s">
        <v>6</v>
      </c>
    </row>
    <row r="1063" spans="2:13" hidden="1">
      <c r="B1063">
        <v>1061</v>
      </c>
      <c r="C1063">
        <v>106</v>
      </c>
      <c r="D1063">
        <v>11</v>
      </c>
      <c r="E1063">
        <v>3</v>
      </c>
      <c r="F1063">
        <v>0</v>
      </c>
      <c r="G1063" t="s">
        <v>22</v>
      </c>
      <c r="H1063" t="s">
        <v>9</v>
      </c>
      <c r="I1063" t="s">
        <v>811</v>
      </c>
      <c r="J1063" t="s">
        <v>55</v>
      </c>
      <c r="K1063" t="s">
        <v>814</v>
      </c>
      <c r="M1063" t="s">
        <v>6</v>
      </c>
    </row>
    <row r="1064" spans="2:13" hidden="1">
      <c r="B1064">
        <v>1062</v>
      </c>
      <c r="C1064">
        <v>106</v>
      </c>
      <c r="D1064">
        <v>11</v>
      </c>
      <c r="E1064">
        <v>4</v>
      </c>
      <c r="F1064">
        <v>0</v>
      </c>
      <c r="G1064" t="s">
        <v>22</v>
      </c>
      <c r="H1064" t="s">
        <v>9</v>
      </c>
      <c r="I1064" t="s">
        <v>811</v>
      </c>
      <c r="J1064" t="s">
        <v>55</v>
      </c>
      <c r="K1064" t="s">
        <v>815</v>
      </c>
      <c r="M1064" t="s">
        <v>6</v>
      </c>
    </row>
    <row r="1065" spans="2:13" hidden="1">
      <c r="B1065">
        <v>1063</v>
      </c>
      <c r="C1065">
        <v>106</v>
      </c>
      <c r="D1065">
        <v>11</v>
      </c>
      <c r="E1065">
        <v>5</v>
      </c>
      <c r="F1065">
        <v>0</v>
      </c>
      <c r="G1065" t="s">
        <v>22</v>
      </c>
      <c r="H1065" t="s">
        <v>9</v>
      </c>
      <c r="I1065" t="s">
        <v>811</v>
      </c>
      <c r="J1065" t="s">
        <v>55</v>
      </c>
      <c r="K1065" t="s">
        <v>816</v>
      </c>
      <c r="M1065" t="s">
        <v>6</v>
      </c>
    </row>
    <row r="1066" spans="2:13" hidden="1">
      <c r="B1066">
        <v>1064</v>
      </c>
      <c r="C1066">
        <v>106</v>
      </c>
      <c r="D1066">
        <v>11</v>
      </c>
      <c r="E1066">
        <v>6</v>
      </c>
      <c r="F1066">
        <v>0</v>
      </c>
      <c r="G1066" t="s">
        <v>22</v>
      </c>
      <c r="H1066" t="s">
        <v>9</v>
      </c>
      <c r="I1066" t="s">
        <v>811</v>
      </c>
      <c r="J1066" t="s">
        <v>55</v>
      </c>
      <c r="K1066" t="s">
        <v>817</v>
      </c>
      <c r="M1066" t="s">
        <v>6</v>
      </c>
    </row>
    <row r="1067" spans="2:13" hidden="1">
      <c r="B1067">
        <v>1065</v>
      </c>
      <c r="C1067">
        <v>106</v>
      </c>
      <c r="D1067">
        <v>11</v>
      </c>
      <c r="E1067">
        <v>7</v>
      </c>
      <c r="F1067">
        <v>0</v>
      </c>
      <c r="G1067" t="s">
        <v>22</v>
      </c>
      <c r="H1067" t="s">
        <v>9</v>
      </c>
      <c r="I1067" t="s">
        <v>811</v>
      </c>
      <c r="J1067" t="s">
        <v>55</v>
      </c>
      <c r="K1067" t="s">
        <v>818</v>
      </c>
      <c r="M1067" t="s">
        <v>6</v>
      </c>
    </row>
    <row r="1068" spans="2:13" hidden="1">
      <c r="B1068">
        <v>1066</v>
      </c>
      <c r="C1068">
        <v>106</v>
      </c>
      <c r="D1068">
        <v>11</v>
      </c>
      <c r="E1068">
        <v>8</v>
      </c>
      <c r="F1068">
        <v>0</v>
      </c>
      <c r="G1068" t="s">
        <v>22</v>
      </c>
      <c r="H1068" t="s">
        <v>9</v>
      </c>
      <c r="I1068" t="s">
        <v>811</v>
      </c>
      <c r="J1068" t="s">
        <v>55</v>
      </c>
      <c r="K1068" t="s">
        <v>819</v>
      </c>
      <c r="M1068" t="s">
        <v>6</v>
      </c>
    </row>
    <row r="1069" spans="2:13" hidden="1">
      <c r="B1069">
        <v>1067</v>
      </c>
      <c r="C1069">
        <v>106</v>
      </c>
      <c r="D1069">
        <v>11</v>
      </c>
      <c r="E1069">
        <v>9</v>
      </c>
      <c r="F1069">
        <v>0</v>
      </c>
      <c r="G1069" t="s">
        <v>22</v>
      </c>
      <c r="H1069" t="s">
        <v>9</v>
      </c>
      <c r="I1069" t="s">
        <v>811</v>
      </c>
      <c r="J1069" t="s">
        <v>55</v>
      </c>
      <c r="K1069" t="s">
        <v>820</v>
      </c>
      <c r="M1069" t="s">
        <v>6</v>
      </c>
    </row>
    <row r="1070" spans="2:13" hidden="1">
      <c r="B1070">
        <v>1068</v>
      </c>
      <c r="C1070">
        <v>106</v>
      </c>
      <c r="D1070">
        <v>11</v>
      </c>
      <c r="E1070">
        <v>10</v>
      </c>
      <c r="F1070">
        <v>0</v>
      </c>
      <c r="G1070" t="s">
        <v>22</v>
      </c>
      <c r="H1070" t="s">
        <v>9</v>
      </c>
      <c r="I1070" t="s">
        <v>811</v>
      </c>
      <c r="J1070" t="s">
        <v>55</v>
      </c>
      <c r="K1070" t="s">
        <v>93</v>
      </c>
      <c r="M1070" t="s">
        <v>6</v>
      </c>
    </row>
    <row r="1071" spans="2:13" hidden="1">
      <c r="B1071">
        <v>1069</v>
      </c>
      <c r="C1071">
        <v>106</v>
      </c>
      <c r="D1071">
        <v>11</v>
      </c>
      <c r="E1071">
        <v>11</v>
      </c>
      <c r="F1071">
        <v>0</v>
      </c>
      <c r="G1071" t="s">
        <v>22</v>
      </c>
      <c r="H1071" t="s">
        <v>9</v>
      </c>
      <c r="I1071" t="s">
        <v>811</v>
      </c>
      <c r="J1071" t="s">
        <v>64</v>
      </c>
      <c r="K1071" t="s">
        <v>94</v>
      </c>
      <c r="M1071" t="s">
        <v>6</v>
      </c>
    </row>
    <row r="1072" spans="2:13" hidden="1">
      <c r="B1072">
        <v>1070</v>
      </c>
      <c r="C1072">
        <v>107</v>
      </c>
      <c r="D1072">
        <v>35</v>
      </c>
      <c r="E1072">
        <v>0</v>
      </c>
      <c r="F1072">
        <v>0</v>
      </c>
      <c r="G1072" t="s">
        <v>22</v>
      </c>
      <c r="H1072" t="s">
        <v>9</v>
      </c>
      <c r="I1072" t="s">
        <v>821</v>
      </c>
      <c r="J1072" t="s">
        <v>478</v>
      </c>
      <c r="K1072" t="s">
        <v>821</v>
      </c>
      <c r="M1072" t="s">
        <v>6</v>
      </c>
    </row>
    <row r="1073" spans="2:13" hidden="1">
      <c r="B1073">
        <v>1071</v>
      </c>
      <c r="C1073">
        <v>107</v>
      </c>
      <c r="D1073">
        <v>35</v>
      </c>
      <c r="E1073">
        <v>1</v>
      </c>
      <c r="F1073">
        <v>0</v>
      </c>
      <c r="G1073" t="s">
        <v>22</v>
      </c>
      <c r="H1073" t="s">
        <v>9</v>
      </c>
      <c r="I1073" t="s">
        <v>821</v>
      </c>
      <c r="J1073" t="s">
        <v>479</v>
      </c>
      <c r="K1073" t="s">
        <v>822</v>
      </c>
      <c r="M1073" t="s">
        <v>6</v>
      </c>
    </row>
    <row r="1074" spans="2:13" hidden="1">
      <c r="B1074">
        <v>1072</v>
      </c>
      <c r="C1074">
        <v>107</v>
      </c>
      <c r="D1074">
        <v>35</v>
      </c>
      <c r="E1074">
        <v>2</v>
      </c>
      <c r="F1074">
        <v>0</v>
      </c>
      <c r="G1074" t="s">
        <v>22</v>
      </c>
      <c r="H1074" t="s">
        <v>9</v>
      </c>
      <c r="I1074" t="s">
        <v>821</v>
      </c>
      <c r="J1074" t="s">
        <v>55</v>
      </c>
      <c r="K1074" t="s">
        <v>823</v>
      </c>
      <c r="M1074" t="s">
        <v>6</v>
      </c>
    </row>
    <row r="1075" spans="2:13" hidden="1">
      <c r="B1075">
        <v>1073</v>
      </c>
      <c r="C1075">
        <v>107</v>
      </c>
      <c r="D1075">
        <v>35</v>
      </c>
      <c r="E1075">
        <v>3</v>
      </c>
      <c r="F1075">
        <v>0</v>
      </c>
      <c r="G1075" t="s">
        <v>22</v>
      </c>
      <c r="H1075" t="s">
        <v>9</v>
      </c>
      <c r="I1075" t="s">
        <v>821</v>
      </c>
      <c r="J1075" t="s">
        <v>55</v>
      </c>
      <c r="K1075" t="s">
        <v>824</v>
      </c>
      <c r="M1075" t="s">
        <v>6</v>
      </c>
    </row>
    <row r="1076" spans="2:13" hidden="1">
      <c r="B1076">
        <v>1074</v>
      </c>
      <c r="C1076">
        <v>107</v>
      </c>
      <c r="D1076">
        <v>35</v>
      </c>
      <c r="E1076">
        <v>4</v>
      </c>
      <c r="F1076">
        <v>0</v>
      </c>
      <c r="G1076" t="s">
        <v>22</v>
      </c>
      <c r="H1076" t="s">
        <v>9</v>
      </c>
      <c r="I1076" t="s">
        <v>821</v>
      </c>
      <c r="J1076" t="s">
        <v>55</v>
      </c>
      <c r="K1076" t="s">
        <v>825</v>
      </c>
      <c r="M1076" t="s">
        <v>6</v>
      </c>
    </row>
    <row r="1077" spans="2:13" hidden="1">
      <c r="B1077">
        <v>1075</v>
      </c>
      <c r="C1077">
        <v>107</v>
      </c>
      <c r="D1077">
        <v>35</v>
      </c>
      <c r="E1077">
        <v>5</v>
      </c>
      <c r="F1077">
        <v>0</v>
      </c>
      <c r="G1077" t="s">
        <v>22</v>
      </c>
      <c r="H1077" t="s">
        <v>9</v>
      </c>
      <c r="I1077" t="s">
        <v>821</v>
      </c>
      <c r="J1077" t="s">
        <v>55</v>
      </c>
      <c r="K1077" t="s">
        <v>826</v>
      </c>
      <c r="M1077" t="s">
        <v>6</v>
      </c>
    </row>
    <row r="1078" spans="2:13" hidden="1">
      <c r="B1078">
        <v>1076</v>
      </c>
      <c r="C1078">
        <v>107</v>
      </c>
      <c r="D1078">
        <v>35</v>
      </c>
      <c r="E1078">
        <v>6</v>
      </c>
      <c r="F1078">
        <v>0</v>
      </c>
      <c r="G1078" t="s">
        <v>22</v>
      </c>
      <c r="H1078" t="s">
        <v>9</v>
      </c>
      <c r="I1078" t="s">
        <v>821</v>
      </c>
      <c r="J1078" t="s">
        <v>55</v>
      </c>
      <c r="K1078" t="s">
        <v>827</v>
      </c>
      <c r="M1078" t="s">
        <v>6</v>
      </c>
    </row>
    <row r="1079" spans="2:13" hidden="1">
      <c r="B1079">
        <v>1077</v>
      </c>
      <c r="C1079">
        <v>107</v>
      </c>
      <c r="D1079">
        <v>35</v>
      </c>
      <c r="E1079">
        <v>7</v>
      </c>
      <c r="F1079">
        <v>0</v>
      </c>
      <c r="G1079" t="s">
        <v>22</v>
      </c>
      <c r="H1079" t="s">
        <v>9</v>
      </c>
      <c r="I1079" t="s">
        <v>821</v>
      </c>
      <c r="J1079" t="s">
        <v>479</v>
      </c>
      <c r="K1079" t="s">
        <v>828</v>
      </c>
      <c r="M1079" t="s">
        <v>6</v>
      </c>
    </row>
    <row r="1080" spans="2:13" hidden="1">
      <c r="B1080">
        <v>1078</v>
      </c>
      <c r="C1080">
        <v>107</v>
      </c>
      <c r="D1080">
        <v>35</v>
      </c>
      <c r="E1080">
        <v>8</v>
      </c>
      <c r="F1080">
        <v>0</v>
      </c>
      <c r="G1080" t="s">
        <v>22</v>
      </c>
      <c r="H1080" t="s">
        <v>9</v>
      </c>
      <c r="I1080" t="s">
        <v>821</v>
      </c>
      <c r="J1080" t="s">
        <v>55</v>
      </c>
      <c r="K1080" t="s">
        <v>829</v>
      </c>
      <c r="M1080" t="s">
        <v>6</v>
      </c>
    </row>
    <row r="1081" spans="2:13" hidden="1">
      <c r="B1081">
        <v>1079</v>
      </c>
      <c r="C1081">
        <v>107</v>
      </c>
      <c r="D1081">
        <v>35</v>
      </c>
      <c r="E1081">
        <v>9</v>
      </c>
      <c r="F1081">
        <v>0</v>
      </c>
      <c r="G1081" t="s">
        <v>22</v>
      </c>
      <c r="H1081" t="s">
        <v>9</v>
      </c>
      <c r="I1081" t="s">
        <v>821</v>
      </c>
      <c r="J1081" t="s">
        <v>55</v>
      </c>
      <c r="K1081" t="s">
        <v>830</v>
      </c>
      <c r="M1081" t="s">
        <v>6</v>
      </c>
    </row>
    <row r="1082" spans="2:13" hidden="1">
      <c r="B1082">
        <v>1080</v>
      </c>
      <c r="C1082">
        <v>107</v>
      </c>
      <c r="D1082">
        <v>35</v>
      </c>
      <c r="E1082">
        <v>10</v>
      </c>
      <c r="F1082">
        <v>0</v>
      </c>
      <c r="G1082" t="s">
        <v>22</v>
      </c>
      <c r="H1082" t="s">
        <v>9</v>
      </c>
      <c r="I1082" t="s">
        <v>821</v>
      </c>
      <c r="J1082" t="s">
        <v>55</v>
      </c>
      <c r="K1082" t="s">
        <v>831</v>
      </c>
      <c r="M1082" t="s">
        <v>6</v>
      </c>
    </row>
    <row r="1083" spans="2:13" hidden="1">
      <c r="B1083">
        <v>1081</v>
      </c>
      <c r="C1083">
        <v>107</v>
      </c>
      <c r="D1083">
        <v>35</v>
      </c>
      <c r="E1083">
        <v>11</v>
      </c>
      <c r="F1083">
        <v>0</v>
      </c>
      <c r="G1083" t="s">
        <v>22</v>
      </c>
      <c r="H1083" t="s">
        <v>9</v>
      </c>
      <c r="I1083" t="s">
        <v>821</v>
      </c>
      <c r="J1083" t="s">
        <v>55</v>
      </c>
      <c r="K1083" t="s">
        <v>832</v>
      </c>
      <c r="M1083" t="s">
        <v>6</v>
      </c>
    </row>
    <row r="1084" spans="2:13" hidden="1">
      <c r="B1084">
        <v>1082</v>
      </c>
      <c r="C1084">
        <v>107</v>
      </c>
      <c r="D1084">
        <v>35</v>
      </c>
      <c r="E1084">
        <v>12</v>
      </c>
      <c r="F1084">
        <v>0</v>
      </c>
      <c r="G1084" t="s">
        <v>22</v>
      </c>
      <c r="H1084" t="s">
        <v>9</v>
      </c>
      <c r="I1084" t="s">
        <v>821</v>
      </c>
      <c r="J1084" t="s">
        <v>55</v>
      </c>
      <c r="K1084" t="s">
        <v>833</v>
      </c>
      <c r="M1084" t="s">
        <v>6</v>
      </c>
    </row>
    <row r="1085" spans="2:13" hidden="1">
      <c r="B1085">
        <v>1083</v>
      </c>
      <c r="C1085">
        <v>107</v>
      </c>
      <c r="D1085">
        <v>35</v>
      </c>
      <c r="E1085">
        <v>13</v>
      </c>
      <c r="F1085">
        <v>0</v>
      </c>
      <c r="G1085" t="s">
        <v>22</v>
      </c>
      <c r="H1085" t="s">
        <v>9</v>
      </c>
      <c r="I1085" t="s">
        <v>821</v>
      </c>
      <c r="J1085" t="s">
        <v>55</v>
      </c>
      <c r="K1085" t="s">
        <v>827</v>
      </c>
      <c r="M1085" t="s">
        <v>6</v>
      </c>
    </row>
    <row r="1086" spans="2:13" hidden="1">
      <c r="B1086">
        <v>1084</v>
      </c>
      <c r="C1086">
        <v>107</v>
      </c>
      <c r="D1086">
        <v>35</v>
      </c>
      <c r="E1086">
        <v>14</v>
      </c>
      <c r="F1086">
        <v>0</v>
      </c>
      <c r="G1086" t="s">
        <v>22</v>
      </c>
      <c r="H1086" t="s">
        <v>9</v>
      </c>
      <c r="I1086" t="s">
        <v>821</v>
      </c>
      <c r="J1086" t="s">
        <v>479</v>
      </c>
      <c r="K1086" t="s">
        <v>834</v>
      </c>
      <c r="M1086" t="s">
        <v>6</v>
      </c>
    </row>
    <row r="1087" spans="2:13" hidden="1">
      <c r="B1087">
        <v>1085</v>
      </c>
      <c r="C1087">
        <v>107</v>
      </c>
      <c r="D1087">
        <v>35</v>
      </c>
      <c r="E1087">
        <v>15</v>
      </c>
      <c r="F1087">
        <v>0</v>
      </c>
      <c r="G1087" t="s">
        <v>22</v>
      </c>
      <c r="H1087" t="s">
        <v>9</v>
      </c>
      <c r="I1087" t="s">
        <v>821</v>
      </c>
      <c r="J1087" t="s">
        <v>55</v>
      </c>
      <c r="K1087" t="s">
        <v>835</v>
      </c>
      <c r="M1087" t="s">
        <v>6</v>
      </c>
    </row>
    <row r="1088" spans="2:13" hidden="1">
      <c r="B1088">
        <v>1086</v>
      </c>
      <c r="C1088">
        <v>107</v>
      </c>
      <c r="D1088">
        <v>35</v>
      </c>
      <c r="E1088">
        <v>16</v>
      </c>
      <c r="F1088">
        <v>0</v>
      </c>
      <c r="G1088" t="s">
        <v>22</v>
      </c>
      <c r="H1088" t="s">
        <v>9</v>
      </c>
      <c r="I1088" t="s">
        <v>821</v>
      </c>
      <c r="J1088" t="s">
        <v>55</v>
      </c>
      <c r="K1088" t="s">
        <v>836</v>
      </c>
      <c r="M1088" t="s">
        <v>6</v>
      </c>
    </row>
    <row r="1089" spans="2:13" hidden="1">
      <c r="B1089">
        <v>1087</v>
      </c>
      <c r="C1089">
        <v>107</v>
      </c>
      <c r="D1089">
        <v>35</v>
      </c>
      <c r="E1089">
        <v>17</v>
      </c>
      <c r="F1089">
        <v>0</v>
      </c>
      <c r="G1089" t="s">
        <v>22</v>
      </c>
      <c r="H1089" t="s">
        <v>9</v>
      </c>
      <c r="I1089" t="s">
        <v>821</v>
      </c>
      <c r="J1089" t="s">
        <v>55</v>
      </c>
      <c r="K1089" t="s">
        <v>837</v>
      </c>
      <c r="M1089" t="s">
        <v>6</v>
      </c>
    </row>
    <row r="1090" spans="2:13" hidden="1">
      <c r="B1090">
        <v>1088</v>
      </c>
      <c r="C1090">
        <v>107</v>
      </c>
      <c r="D1090">
        <v>35</v>
      </c>
      <c r="E1090">
        <v>18</v>
      </c>
      <c r="F1090">
        <v>0</v>
      </c>
      <c r="G1090" t="s">
        <v>22</v>
      </c>
      <c r="H1090" t="s">
        <v>9</v>
      </c>
      <c r="I1090" t="s">
        <v>821</v>
      </c>
      <c r="J1090" t="s">
        <v>55</v>
      </c>
      <c r="K1090" t="s">
        <v>838</v>
      </c>
      <c r="M1090" t="s">
        <v>6</v>
      </c>
    </row>
    <row r="1091" spans="2:13" hidden="1">
      <c r="B1091">
        <v>1089</v>
      </c>
      <c r="C1091">
        <v>107</v>
      </c>
      <c r="D1091">
        <v>35</v>
      </c>
      <c r="E1091">
        <v>19</v>
      </c>
      <c r="F1091">
        <v>0</v>
      </c>
      <c r="G1091" t="s">
        <v>22</v>
      </c>
      <c r="H1091" t="s">
        <v>9</v>
      </c>
      <c r="I1091" t="s">
        <v>821</v>
      </c>
      <c r="J1091" t="s">
        <v>55</v>
      </c>
      <c r="K1091" t="s">
        <v>839</v>
      </c>
      <c r="M1091" t="s">
        <v>6</v>
      </c>
    </row>
    <row r="1092" spans="2:13" hidden="1">
      <c r="B1092">
        <v>1090</v>
      </c>
      <c r="C1092">
        <v>107</v>
      </c>
      <c r="D1092">
        <v>35</v>
      </c>
      <c r="E1092">
        <v>20</v>
      </c>
      <c r="F1092">
        <v>0</v>
      </c>
      <c r="G1092" t="s">
        <v>22</v>
      </c>
      <c r="H1092" t="s">
        <v>9</v>
      </c>
      <c r="I1092" t="s">
        <v>821</v>
      </c>
      <c r="J1092" t="s">
        <v>55</v>
      </c>
      <c r="K1092" t="s">
        <v>827</v>
      </c>
      <c r="M1092" t="s">
        <v>6</v>
      </c>
    </row>
    <row r="1093" spans="2:13" hidden="1">
      <c r="B1093">
        <v>1091</v>
      </c>
      <c r="C1093">
        <v>107</v>
      </c>
      <c r="D1093">
        <v>35</v>
      </c>
      <c r="E1093">
        <v>21</v>
      </c>
      <c r="F1093">
        <v>0</v>
      </c>
      <c r="G1093" t="s">
        <v>22</v>
      </c>
      <c r="H1093" t="s">
        <v>9</v>
      </c>
      <c r="I1093" t="s">
        <v>821</v>
      </c>
      <c r="J1093" t="s">
        <v>479</v>
      </c>
      <c r="K1093" t="s">
        <v>840</v>
      </c>
      <c r="M1093" t="s">
        <v>6</v>
      </c>
    </row>
    <row r="1094" spans="2:13" hidden="1">
      <c r="B1094">
        <v>1092</v>
      </c>
      <c r="C1094">
        <v>107</v>
      </c>
      <c r="D1094">
        <v>35</v>
      </c>
      <c r="E1094">
        <v>22</v>
      </c>
      <c r="F1094">
        <v>0</v>
      </c>
      <c r="G1094" t="s">
        <v>22</v>
      </c>
      <c r="H1094" t="s">
        <v>9</v>
      </c>
      <c r="I1094" t="s">
        <v>821</v>
      </c>
      <c r="J1094" t="s">
        <v>55</v>
      </c>
      <c r="K1094" t="s">
        <v>841</v>
      </c>
      <c r="M1094" t="s">
        <v>6</v>
      </c>
    </row>
    <row r="1095" spans="2:13" hidden="1">
      <c r="B1095">
        <v>1093</v>
      </c>
      <c r="C1095">
        <v>107</v>
      </c>
      <c r="D1095">
        <v>35</v>
      </c>
      <c r="E1095">
        <v>23</v>
      </c>
      <c r="F1095">
        <v>0</v>
      </c>
      <c r="G1095" t="s">
        <v>22</v>
      </c>
      <c r="H1095" t="s">
        <v>9</v>
      </c>
      <c r="I1095" t="s">
        <v>821</v>
      </c>
      <c r="J1095" t="s">
        <v>55</v>
      </c>
      <c r="K1095" t="s">
        <v>842</v>
      </c>
      <c r="M1095" t="s">
        <v>6</v>
      </c>
    </row>
    <row r="1096" spans="2:13" hidden="1">
      <c r="B1096">
        <v>1094</v>
      </c>
      <c r="C1096">
        <v>107</v>
      </c>
      <c r="D1096">
        <v>35</v>
      </c>
      <c r="E1096">
        <v>24</v>
      </c>
      <c r="F1096">
        <v>0</v>
      </c>
      <c r="G1096" t="s">
        <v>22</v>
      </c>
      <c r="H1096" t="s">
        <v>9</v>
      </c>
      <c r="I1096" t="s">
        <v>821</v>
      </c>
      <c r="J1096" t="s">
        <v>55</v>
      </c>
      <c r="K1096" t="s">
        <v>843</v>
      </c>
      <c r="M1096" t="s">
        <v>6</v>
      </c>
    </row>
    <row r="1097" spans="2:13" hidden="1">
      <c r="B1097">
        <v>1095</v>
      </c>
      <c r="C1097">
        <v>107</v>
      </c>
      <c r="D1097">
        <v>35</v>
      </c>
      <c r="E1097">
        <v>25</v>
      </c>
      <c r="F1097">
        <v>0</v>
      </c>
      <c r="G1097" t="s">
        <v>22</v>
      </c>
      <c r="H1097" t="s">
        <v>9</v>
      </c>
      <c r="I1097" t="s">
        <v>821</v>
      </c>
      <c r="J1097" t="s">
        <v>55</v>
      </c>
      <c r="K1097" t="s">
        <v>844</v>
      </c>
      <c r="M1097" t="s">
        <v>6</v>
      </c>
    </row>
    <row r="1098" spans="2:13" hidden="1">
      <c r="B1098">
        <v>1096</v>
      </c>
      <c r="C1098">
        <v>107</v>
      </c>
      <c r="D1098">
        <v>35</v>
      </c>
      <c r="E1098">
        <v>26</v>
      </c>
      <c r="F1098">
        <v>0</v>
      </c>
      <c r="G1098" t="s">
        <v>22</v>
      </c>
      <c r="H1098" t="s">
        <v>9</v>
      </c>
      <c r="I1098" t="s">
        <v>821</v>
      </c>
      <c r="J1098" t="s">
        <v>55</v>
      </c>
      <c r="K1098" t="s">
        <v>845</v>
      </c>
      <c r="M1098" t="s">
        <v>6</v>
      </c>
    </row>
    <row r="1099" spans="2:13" hidden="1">
      <c r="B1099">
        <v>1097</v>
      </c>
      <c r="C1099">
        <v>107</v>
      </c>
      <c r="D1099">
        <v>35</v>
      </c>
      <c r="E1099">
        <v>27</v>
      </c>
      <c r="F1099">
        <v>0</v>
      </c>
      <c r="G1099" t="s">
        <v>22</v>
      </c>
      <c r="H1099" t="s">
        <v>9</v>
      </c>
      <c r="I1099" t="s">
        <v>821</v>
      </c>
      <c r="J1099" t="s">
        <v>55</v>
      </c>
      <c r="K1099" t="s">
        <v>827</v>
      </c>
      <c r="M1099" t="s">
        <v>6</v>
      </c>
    </row>
    <row r="1100" spans="2:13" hidden="1">
      <c r="B1100">
        <v>1098</v>
      </c>
      <c r="C1100">
        <v>107</v>
      </c>
      <c r="D1100">
        <v>35</v>
      </c>
      <c r="E1100">
        <v>28</v>
      </c>
      <c r="F1100">
        <v>0</v>
      </c>
      <c r="G1100" t="s">
        <v>22</v>
      </c>
      <c r="H1100" t="s">
        <v>9</v>
      </c>
      <c r="I1100" t="s">
        <v>821</v>
      </c>
      <c r="J1100" t="s">
        <v>479</v>
      </c>
      <c r="K1100" t="s">
        <v>846</v>
      </c>
      <c r="M1100" t="s">
        <v>6</v>
      </c>
    </row>
    <row r="1101" spans="2:13" hidden="1">
      <c r="B1101">
        <v>1099</v>
      </c>
      <c r="C1101">
        <v>107</v>
      </c>
      <c r="D1101">
        <v>35</v>
      </c>
      <c r="E1101">
        <v>29</v>
      </c>
      <c r="F1101">
        <v>0</v>
      </c>
      <c r="G1101" t="s">
        <v>22</v>
      </c>
      <c r="H1101" t="s">
        <v>9</v>
      </c>
      <c r="I1101" t="s">
        <v>821</v>
      </c>
      <c r="J1101" t="s">
        <v>55</v>
      </c>
      <c r="K1101" t="s">
        <v>847</v>
      </c>
      <c r="M1101" t="s">
        <v>6</v>
      </c>
    </row>
    <row r="1102" spans="2:13" hidden="1">
      <c r="B1102">
        <v>1100</v>
      </c>
      <c r="C1102">
        <v>107</v>
      </c>
      <c r="D1102">
        <v>35</v>
      </c>
      <c r="E1102">
        <v>30</v>
      </c>
      <c r="F1102">
        <v>0</v>
      </c>
      <c r="G1102" t="s">
        <v>22</v>
      </c>
      <c r="H1102" t="s">
        <v>9</v>
      </c>
      <c r="I1102" t="s">
        <v>821</v>
      </c>
      <c r="J1102" t="s">
        <v>55</v>
      </c>
      <c r="K1102" t="s">
        <v>848</v>
      </c>
      <c r="M1102" t="s">
        <v>6</v>
      </c>
    </row>
    <row r="1103" spans="2:13" hidden="1">
      <c r="B1103">
        <v>1101</v>
      </c>
      <c r="C1103">
        <v>107</v>
      </c>
      <c r="D1103">
        <v>35</v>
      </c>
      <c r="E1103">
        <v>31</v>
      </c>
      <c r="F1103">
        <v>0</v>
      </c>
      <c r="G1103" t="s">
        <v>22</v>
      </c>
      <c r="H1103" t="s">
        <v>9</v>
      </c>
      <c r="I1103" t="s">
        <v>821</v>
      </c>
      <c r="J1103" t="s">
        <v>55</v>
      </c>
      <c r="K1103" t="s">
        <v>849</v>
      </c>
      <c r="M1103" t="s">
        <v>6</v>
      </c>
    </row>
    <row r="1104" spans="2:13" hidden="1">
      <c r="B1104">
        <v>1102</v>
      </c>
      <c r="C1104">
        <v>107</v>
      </c>
      <c r="D1104">
        <v>35</v>
      </c>
      <c r="E1104">
        <v>32</v>
      </c>
      <c r="F1104">
        <v>0</v>
      </c>
      <c r="G1104" t="s">
        <v>22</v>
      </c>
      <c r="H1104" t="s">
        <v>9</v>
      </c>
      <c r="I1104" t="s">
        <v>821</v>
      </c>
      <c r="J1104" t="s">
        <v>55</v>
      </c>
      <c r="K1104" t="s">
        <v>850</v>
      </c>
      <c r="M1104" t="s">
        <v>6</v>
      </c>
    </row>
    <row r="1105" spans="2:13" hidden="1">
      <c r="B1105">
        <v>1103</v>
      </c>
      <c r="C1105">
        <v>107</v>
      </c>
      <c r="D1105">
        <v>35</v>
      </c>
      <c r="E1105">
        <v>33</v>
      </c>
      <c r="F1105">
        <v>0</v>
      </c>
      <c r="G1105" t="s">
        <v>22</v>
      </c>
      <c r="H1105" t="s">
        <v>9</v>
      </c>
      <c r="I1105" t="s">
        <v>821</v>
      </c>
      <c r="J1105" t="s">
        <v>55</v>
      </c>
      <c r="K1105" t="s">
        <v>827</v>
      </c>
      <c r="M1105" t="s">
        <v>6</v>
      </c>
    </row>
    <row r="1106" spans="2:13" hidden="1">
      <c r="B1106">
        <v>1104</v>
      </c>
      <c r="C1106">
        <v>107</v>
      </c>
      <c r="D1106">
        <v>35</v>
      </c>
      <c r="E1106">
        <v>34</v>
      </c>
      <c r="F1106">
        <v>0</v>
      </c>
      <c r="G1106" t="s">
        <v>22</v>
      </c>
      <c r="H1106" t="s">
        <v>9</v>
      </c>
      <c r="I1106" t="s">
        <v>821</v>
      </c>
      <c r="J1106" t="s">
        <v>55</v>
      </c>
      <c r="K1106" t="s">
        <v>93</v>
      </c>
      <c r="M1106" t="s">
        <v>6</v>
      </c>
    </row>
    <row r="1107" spans="2:13" hidden="1">
      <c r="B1107">
        <v>1105</v>
      </c>
      <c r="C1107">
        <v>107</v>
      </c>
      <c r="D1107">
        <v>35</v>
      </c>
      <c r="E1107">
        <v>35</v>
      </c>
      <c r="F1107">
        <v>0</v>
      </c>
      <c r="G1107" t="s">
        <v>22</v>
      </c>
      <c r="H1107" t="s">
        <v>9</v>
      </c>
      <c r="I1107" t="s">
        <v>821</v>
      </c>
      <c r="J1107" t="s">
        <v>64</v>
      </c>
      <c r="K1107" t="s">
        <v>94</v>
      </c>
      <c r="M1107" t="s">
        <v>6</v>
      </c>
    </row>
    <row r="1108" spans="2:13" hidden="1">
      <c r="B1108">
        <v>1106</v>
      </c>
      <c r="C1108">
        <v>108</v>
      </c>
      <c r="D1108">
        <v>12</v>
      </c>
      <c r="E1108">
        <v>0</v>
      </c>
      <c r="F1108">
        <v>0</v>
      </c>
      <c r="G1108" t="s">
        <v>22</v>
      </c>
      <c r="H1108" t="s">
        <v>9</v>
      </c>
      <c r="I1108" t="s">
        <v>851</v>
      </c>
      <c r="J1108" t="s">
        <v>54</v>
      </c>
      <c r="K1108" t="s">
        <v>851</v>
      </c>
      <c r="M1108" t="s">
        <v>6</v>
      </c>
    </row>
    <row r="1109" spans="2:13" hidden="1">
      <c r="B1109">
        <v>1107</v>
      </c>
      <c r="C1109">
        <v>108</v>
      </c>
      <c r="D1109">
        <v>12</v>
      </c>
      <c r="E1109">
        <v>1</v>
      </c>
      <c r="F1109">
        <v>0</v>
      </c>
      <c r="G1109" t="s">
        <v>22</v>
      </c>
      <c r="H1109" t="s">
        <v>9</v>
      </c>
      <c r="I1109" t="s">
        <v>851</v>
      </c>
      <c r="J1109" t="s">
        <v>55</v>
      </c>
      <c r="K1109" t="s">
        <v>852</v>
      </c>
      <c r="M1109" t="s">
        <v>6</v>
      </c>
    </row>
    <row r="1110" spans="2:13" hidden="1">
      <c r="B1110">
        <v>1108</v>
      </c>
      <c r="C1110">
        <v>108</v>
      </c>
      <c r="D1110">
        <v>12</v>
      </c>
      <c r="E1110">
        <v>2</v>
      </c>
      <c r="F1110">
        <v>0</v>
      </c>
      <c r="G1110" t="s">
        <v>22</v>
      </c>
      <c r="H1110" t="s">
        <v>9</v>
      </c>
      <c r="I1110" t="s">
        <v>851</v>
      </c>
      <c r="J1110" t="s">
        <v>214</v>
      </c>
      <c r="K1110" t="s">
        <v>853</v>
      </c>
      <c r="M1110" t="s">
        <v>6</v>
      </c>
    </row>
    <row r="1111" spans="2:13" hidden="1">
      <c r="B1111">
        <v>1109</v>
      </c>
      <c r="C1111">
        <v>108</v>
      </c>
      <c r="D1111">
        <v>12</v>
      </c>
      <c r="E1111">
        <v>3</v>
      </c>
      <c r="F1111">
        <v>0</v>
      </c>
      <c r="G1111" t="s">
        <v>22</v>
      </c>
      <c r="H1111" t="s">
        <v>9</v>
      </c>
      <c r="I1111" t="s">
        <v>851</v>
      </c>
      <c r="J1111" t="s">
        <v>55</v>
      </c>
      <c r="K1111" t="s">
        <v>854</v>
      </c>
      <c r="M1111" t="s">
        <v>6</v>
      </c>
    </row>
    <row r="1112" spans="2:13" hidden="1">
      <c r="B1112">
        <v>1110</v>
      </c>
      <c r="C1112">
        <v>108</v>
      </c>
      <c r="D1112">
        <v>12</v>
      </c>
      <c r="E1112">
        <v>4</v>
      </c>
      <c r="F1112">
        <v>0</v>
      </c>
      <c r="G1112" t="s">
        <v>22</v>
      </c>
      <c r="H1112" t="s">
        <v>9</v>
      </c>
      <c r="I1112" t="s">
        <v>851</v>
      </c>
      <c r="J1112" t="s">
        <v>55</v>
      </c>
      <c r="K1112" t="s">
        <v>855</v>
      </c>
      <c r="M1112" t="s">
        <v>6</v>
      </c>
    </row>
    <row r="1113" spans="2:13" hidden="1">
      <c r="B1113">
        <v>1111</v>
      </c>
      <c r="C1113">
        <v>108</v>
      </c>
      <c r="D1113">
        <v>12</v>
      </c>
      <c r="E1113">
        <v>5</v>
      </c>
      <c r="F1113">
        <v>0</v>
      </c>
      <c r="G1113" t="s">
        <v>22</v>
      </c>
      <c r="H1113" t="s">
        <v>9</v>
      </c>
      <c r="I1113" t="s">
        <v>851</v>
      </c>
      <c r="J1113" t="s">
        <v>55</v>
      </c>
      <c r="K1113" t="s">
        <v>856</v>
      </c>
      <c r="M1113" t="s">
        <v>6</v>
      </c>
    </row>
    <row r="1114" spans="2:13" hidden="1">
      <c r="B1114">
        <v>1112</v>
      </c>
      <c r="C1114">
        <v>108</v>
      </c>
      <c r="D1114">
        <v>12</v>
      </c>
      <c r="E1114">
        <v>6</v>
      </c>
      <c r="F1114">
        <v>0</v>
      </c>
      <c r="G1114" t="s">
        <v>22</v>
      </c>
      <c r="H1114" t="s">
        <v>9</v>
      </c>
      <c r="I1114" t="s">
        <v>851</v>
      </c>
      <c r="J1114" t="s">
        <v>55</v>
      </c>
      <c r="K1114" t="s">
        <v>857</v>
      </c>
      <c r="M1114" t="s">
        <v>6</v>
      </c>
    </row>
    <row r="1115" spans="2:13" hidden="1">
      <c r="B1115">
        <v>1113</v>
      </c>
      <c r="C1115">
        <v>108</v>
      </c>
      <c r="D1115">
        <v>12</v>
      </c>
      <c r="E1115">
        <v>7</v>
      </c>
      <c r="F1115">
        <v>0</v>
      </c>
      <c r="G1115" t="s">
        <v>22</v>
      </c>
      <c r="H1115" t="s">
        <v>9</v>
      </c>
      <c r="I1115" t="s">
        <v>851</v>
      </c>
      <c r="J1115" t="s">
        <v>55</v>
      </c>
      <c r="K1115" t="s">
        <v>858</v>
      </c>
      <c r="M1115" t="s">
        <v>6</v>
      </c>
    </row>
    <row r="1116" spans="2:13" hidden="1">
      <c r="B1116">
        <v>1114</v>
      </c>
      <c r="C1116">
        <v>108</v>
      </c>
      <c r="D1116">
        <v>12</v>
      </c>
      <c r="E1116">
        <v>8</v>
      </c>
      <c r="F1116">
        <v>0</v>
      </c>
      <c r="G1116" t="s">
        <v>22</v>
      </c>
      <c r="H1116" t="s">
        <v>9</v>
      </c>
      <c r="I1116" t="s">
        <v>851</v>
      </c>
      <c r="J1116" t="s">
        <v>420</v>
      </c>
      <c r="K1116" t="s">
        <v>859</v>
      </c>
      <c r="M1116" t="s">
        <v>6</v>
      </c>
    </row>
    <row r="1117" spans="2:13" hidden="1">
      <c r="B1117">
        <v>1115</v>
      </c>
      <c r="C1117">
        <v>108</v>
      </c>
      <c r="D1117">
        <v>12</v>
      </c>
      <c r="E1117">
        <v>9</v>
      </c>
      <c r="F1117">
        <v>0</v>
      </c>
      <c r="G1117" t="s">
        <v>22</v>
      </c>
      <c r="H1117" t="s">
        <v>9</v>
      </c>
      <c r="I1117" t="s">
        <v>851</v>
      </c>
      <c r="J1117" t="s">
        <v>55</v>
      </c>
      <c r="K1117" t="s">
        <v>860</v>
      </c>
      <c r="M1117" t="s">
        <v>6</v>
      </c>
    </row>
    <row r="1118" spans="2:13" hidden="1">
      <c r="B1118">
        <v>1116</v>
      </c>
      <c r="C1118">
        <v>108</v>
      </c>
      <c r="D1118">
        <v>12</v>
      </c>
      <c r="E1118">
        <v>10</v>
      </c>
      <c r="F1118">
        <v>0</v>
      </c>
      <c r="G1118" t="s">
        <v>22</v>
      </c>
      <c r="H1118" t="s">
        <v>9</v>
      </c>
      <c r="I1118" t="s">
        <v>851</v>
      </c>
      <c r="J1118" t="s">
        <v>64</v>
      </c>
      <c r="K1118" t="s">
        <v>772</v>
      </c>
      <c r="M1118" t="s">
        <v>6</v>
      </c>
    </row>
    <row r="1119" spans="2:13" hidden="1">
      <c r="B1119">
        <v>1117</v>
      </c>
      <c r="C1119">
        <v>108</v>
      </c>
      <c r="D1119">
        <v>12</v>
      </c>
      <c r="E1119">
        <v>11</v>
      </c>
      <c r="F1119">
        <v>0</v>
      </c>
      <c r="G1119" t="s">
        <v>22</v>
      </c>
      <c r="H1119" t="s">
        <v>9</v>
      </c>
      <c r="I1119" t="s">
        <v>851</v>
      </c>
      <c r="J1119" t="s">
        <v>55</v>
      </c>
      <c r="K1119" t="s">
        <v>93</v>
      </c>
      <c r="M1119" t="s">
        <v>6</v>
      </c>
    </row>
    <row r="1120" spans="2:13" hidden="1">
      <c r="B1120">
        <v>1118</v>
      </c>
      <c r="C1120">
        <v>108</v>
      </c>
      <c r="D1120">
        <v>12</v>
      </c>
      <c r="E1120">
        <v>12</v>
      </c>
      <c r="F1120">
        <v>0</v>
      </c>
      <c r="G1120" t="s">
        <v>22</v>
      </c>
      <c r="H1120" t="s">
        <v>9</v>
      </c>
      <c r="I1120" t="s">
        <v>851</v>
      </c>
      <c r="J1120" t="s">
        <v>64</v>
      </c>
      <c r="K1120" t="s">
        <v>94</v>
      </c>
      <c r="M1120" t="s">
        <v>6</v>
      </c>
    </row>
    <row r="1121" spans="2:13" hidden="1">
      <c r="B1121">
        <v>1119</v>
      </c>
      <c r="C1121">
        <v>109</v>
      </c>
      <c r="D1121">
        <v>12</v>
      </c>
      <c r="E1121">
        <v>0</v>
      </c>
      <c r="F1121">
        <v>0</v>
      </c>
      <c r="G1121" t="s">
        <v>22</v>
      </c>
      <c r="H1121" t="s">
        <v>9</v>
      </c>
      <c r="I1121" t="s">
        <v>861</v>
      </c>
      <c r="J1121" t="s">
        <v>478</v>
      </c>
      <c r="K1121" t="s">
        <v>861</v>
      </c>
      <c r="M1121" t="s">
        <v>6</v>
      </c>
    </row>
    <row r="1122" spans="2:13" hidden="1">
      <c r="B1122">
        <v>1120</v>
      </c>
      <c r="C1122">
        <v>109</v>
      </c>
      <c r="D1122">
        <v>12</v>
      </c>
      <c r="E1122">
        <v>1</v>
      </c>
      <c r="F1122">
        <v>0</v>
      </c>
      <c r="G1122" t="s">
        <v>22</v>
      </c>
      <c r="H1122" t="s">
        <v>9</v>
      </c>
      <c r="I1122" t="s">
        <v>861</v>
      </c>
      <c r="J1122" t="s">
        <v>479</v>
      </c>
      <c r="K1122" t="s">
        <v>711</v>
      </c>
      <c r="M1122" t="s">
        <v>6</v>
      </c>
    </row>
    <row r="1123" spans="2:13" hidden="1">
      <c r="B1123">
        <v>1121</v>
      </c>
      <c r="C1123">
        <v>109</v>
      </c>
      <c r="D1123">
        <v>12</v>
      </c>
      <c r="E1123">
        <v>2</v>
      </c>
      <c r="F1123">
        <v>0</v>
      </c>
      <c r="G1123" t="s">
        <v>22</v>
      </c>
      <c r="H1123" t="s">
        <v>9</v>
      </c>
      <c r="I1123" t="s">
        <v>861</v>
      </c>
      <c r="J1123" t="s">
        <v>55</v>
      </c>
      <c r="K1123" t="s">
        <v>862</v>
      </c>
      <c r="M1123" t="s">
        <v>6</v>
      </c>
    </row>
    <row r="1124" spans="2:13" hidden="1">
      <c r="B1124">
        <v>1122</v>
      </c>
      <c r="C1124">
        <v>109</v>
      </c>
      <c r="D1124">
        <v>12</v>
      </c>
      <c r="E1124">
        <v>3</v>
      </c>
      <c r="F1124">
        <v>0</v>
      </c>
      <c r="G1124" t="s">
        <v>22</v>
      </c>
      <c r="H1124" t="s">
        <v>9</v>
      </c>
      <c r="I1124" t="s">
        <v>861</v>
      </c>
      <c r="J1124" t="s">
        <v>55</v>
      </c>
      <c r="K1124" t="s">
        <v>863</v>
      </c>
      <c r="M1124" t="s">
        <v>6</v>
      </c>
    </row>
    <row r="1125" spans="2:13" hidden="1">
      <c r="B1125">
        <v>1123</v>
      </c>
      <c r="C1125">
        <v>109</v>
      </c>
      <c r="D1125">
        <v>12</v>
      </c>
      <c r="E1125">
        <v>4</v>
      </c>
      <c r="F1125">
        <v>0</v>
      </c>
      <c r="G1125" t="s">
        <v>22</v>
      </c>
      <c r="H1125" t="s">
        <v>9</v>
      </c>
      <c r="I1125" t="s">
        <v>861</v>
      </c>
      <c r="J1125" t="s">
        <v>55</v>
      </c>
      <c r="K1125" t="s">
        <v>864</v>
      </c>
      <c r="M1125" t="s">
        <v>6</v>
      </c>
    </row>
    <row r="1126" spans="2:13" hidden="1">
      <c r="B1126">
        <v>1124</v>
      </c>
      <c r="C1126">
        <v>109</v>
      </c>
      <c r="D1126">
        <v>12</v>
      </c>
      <c r="E1126">
        <v>5</v>
      </c>
      <c r="F1126">
        <v>0</v>
      </c>
      <c r="G1126" t="s">
        <v>22</v>
      </c>
      <c r="H1126" t="s">
        <v>9</v>
      </c>
      <c r="I1126" t="s">
        <v>861</v>
      </c>
      <c r="J1126" t="s">
        <v>479</v>
      </c>
      <c r="K1126" t="s">
        <v>865</v>
      </c>
      <c r="M1126" t="s">
        <v>6</v>
      </c>
    </row>
    <row r="1127" spans="2:13" hidden="1">
      <c r="B1127">
        <v>1125</v>
      </c>
      <c r="C1127">
        <v>109</v>
      </c>
      <c r="D1127">
        <v>12</v>
      </c>
      <c r="E1127">
        <v>6</v>
      </c>
      <c r="F1127">
        <v>0</v>
      </c>
      <c r="G1127" t="s">
        <v>22</v>
      </c>
      <c r="H1127" t="s">
        <v>9</v>
      </c>
      <c r="I1127" t="s">
        <v>861</v>
      </c>
      <c r="J1127" t="s">
        <v>55</v>
      </c>
      <c r="K1127" t="s">
        <v>866</v>
      </c>
      <c r="M1127" t="s">
        <v>6</v>
      </c>
    </row>
    <row r="1128" spans="2:13" hidden="1">
      <c r="B1128">
        <v>1126</v>
      </c>
      <c r="C1128">
        <v>109</v>
      </c>
      <c r="D1128">
        <v>12</v>
      </c>
      <c r="E1128">
        <v>7</v>
      </c>
      <c r="F1128">
        <v>0</v>
      </c>
      <c r="G1128" t="s">
        <v>22</v>
      </c>
      <c r="H1128" t="s">
        <v>9</v>
      </c>
      <c r="I1128" t="s">
        <v>861</v>
      </c>
      <c r="J1128" t="s">
        <v>55</v>
      </c>
      <c r="K1128" t="s">
        <v>867</v>
      </c>
      <c r="M1128" t="s">
        <v>6</v>
      </c>
    </row>
    <row r="1129" spans="2:13" hidden="1">
      <c r="B1129">
        <v>1127</v>
      </c>
      <c r="C1129">
        <v>109</v>
      </c>
      <c r="D1129">
        <v>12</v>
      </c>
      <c r="E1129">
        <v>8</v>
      </c>
      <c r="F1129">
        <v>0</v>
      </c>
      <c r="G1129" t="s">
        <v>22</v>
      </c>
      <c r="H1129" t="s">
        <v>9</v>
      </c>
      <c r="I1129" t="s">
        <v>861</v>
      </c>
      <c r="J1129" t="s">
        <v>55</v>
      </c>
      <c r="K1129" t="s">
        <v>868</v>
      </c>
      <c r="M1129" t="s">
        <v>6</v>
      </c>
    </row>
    <row r="1130" spans="2:13" hidden="1">
      <c r="B1130">
        <v>1128</v>
      </c>
      <c r="C1130">
        <v>109</v>
      </c>
      <c r="D1130">
        <v>12</v>
      </c>
      <c r="E1130">
        <v>9</v>
      </c>
      <c r="F1130">
        <v>0</v>
      </c>
      <c r="G1130" t="s">
        <v>22</v>
      </c>
      <c r="H1130" t="s">
        <v>9</v>
      </c>
      <c r="I1130" t="s">
        <v>861</v>
      </c>
      <c r="J1130" t="s">
        <v>55</v>
      </c>
      <c r="K1130" t="s">
        <v>869</v>
      </c>
      <c r="M1130" t="s">
        <v>6</v>
      </c>
    </row>
    <row r="1131" spans="2:13" hidden="1">
      <c r="B1131">
        <v>1129</v>
      </c>
      <c r="C1131">
        <v>109</v>
      </c>
      <c r="D1131">
        <v>12</v>
      </c>
      <c r="E1131">
        <v>10</v>
      </c>
      <c r="F1131">
        <v>0</v>
      </c>
      <c r="G1131" t="s">
        <v>22</v>
      </c>
      <c r="H1131" t="s">
        <v>9</v>
      </c>
      <c r="I1131" t="s">
        <v>861</v>
      </c>
      <c r="J1131" t="s">
        <v>55</v>
      </c>
      <c r="K1131" t="s">
        <v>870</v>
      </c>
      <c r="M1131" t="s">
        <v>6</v>
      </c>
    </row>
    <row r="1132" spans="2:13" hidden="1">
      <c r="B1132">
        <v>1130</v>
      </c>
      <c r="C1132">
        <v>109</v>
      </c>
      <c r="D1132">
        <v>12</v>
      </c>
      <c r="E1132">
        <v>11</v>
      </c>
      <c r="F1132">
        <v>0</v>
      </c>
      <c r="G1132" t="s">
        <v>22</v>
      </c>
      <c r="H1132" t="s">
        <v>9</v>
      </c>
      <c r="I1132" t="s">
        <v>861</v>
      </c>
      <c r="J1132" t="s">
        <v>55</v>
      </c>
      <c r="K1132" t="s">
        <v>93</v>
      </c>
      <c r="M1132" t="s">
        <v>6</v>
      </c>
    </row>
    <row r="1133" spans="2:13" hidden="1">
      <c r="B1133">
        <v>1131</v>
      </c>
      <c r="C1133">
        <v>109</v>
      </c>
      <c r="D1133">
        <v>12</v>
      </c>
      <c r="E1133">
        <v>12</v>
      </c>
      <c r="F1133">
        <v>0</v>
      </c>
      <c r="G1133" t="s">
        <v>22</v>
      </c>
      <c r="H1133" t="s">
        <v>9</v>
      </c>
      <c r="I1133" t="s">
        <v>861</v>
      </c>
      <c r="J1133" t="s">
        <v>64</v>
      </c>
      <c r="K1133" t="s">
        <v>94</v>
      </c>
      <c r="M1133" t="s">
        <v>6</v>
      </c>
    </row>
    <row r="1134" spans="2:13">
      <c r="B1134">
        <v>1132</v>
      </c>
      <c r="C1134">
        <v>110</v>
      </c>
      <c r="D1134">
        <v>13</v>
      </c>
      <c r="E1134">
        <v>0</v>
      </c>
      <c r="F1134">
        <v>0</v>
      </c>
      <c r="G1134" t="s">
        <v>22</v>
      </c>
      <c r="H1134" t="s">
        <v>9</v>
      </c>
      <c r="I1134" t="s">
        <v>871</v>
      </c>
      <c r="J1134" t="s">
        <v>54</v>
      </c>
      <c r="K1134" t="s">
        <v>871</v>
      </c>
      <c r="M1134" t="s">
        <v>6</v>
      </c>
    </row>
    <row r="1135" spans="2:13">
      <c r="B1135">
        <v>1133</v>
      </c>
      <c r="C1135">
        <v>110</v>
      </c>
      <c r="D1135">
        <v>13</v>
      </c>
      <c r="E1135">
        <v>1</v>
      </c>
      <c r="F1135">
        <v>0</v>
      </c>
      <c r="G1135" t="s">
        <v>22</v>
      </c>
      <c r="H1135" t="s">
        <v>9</v>
      </c>
      <c r="I1135" t="s">
        <v>871</v>
      </c>
      <c r="J1135" t="s">
        <v>722</v>
      </c>
      <c r="K1135" t="s">
        <v>872</v>
      </c>
      <c r="M1135" t="s">
        <v>6</v>
      </c>
    </row>
    <row r="1136" spans="2:13">
      <c r="B1136">
        <v>1134</v>
      </c>
      <c r="C1136">
        <v>110</v>
      </c>
      <c r="D1136">
        <v>13</v>
      </c>
      <c r="E1136">
        <v>2</v>
      </c>
      <c r="F1136">
        <v>0</v>
      </c>
      <c r="G1136" t="s">
        <v>22</v>
      </c>
      <c r="H1136" t="s">
        <v>9</v>
      </c>
      <c r="I1136" t="s">
        <v>871</v>
      </c>
      <c r="J1136" t="s">
        <v>218</v>
      </c>
      <c r="K1136" t="s">
        <v>873</v>
      </c>
      <c r="M1136" t="s">
        <v>6</v>
      </c>
    </row>
    <row r="1137" spans="2:13" ht="27">
      <c r="B1137">
        <v>1135</v>
      </c>
      <c r="C1137">
        <v>110</v>
      </c>
      <c r="D1137">
        <v>13</v>
      </c>
      <c r="E1137">
        <v>3</v>
      </c>
      <c r="F1137">
        <v>0</v>
      </c>
      <c r="G1137" t="s">
        <v>22</v>
      </c>
      <c r="H1137" t="s">
        <v>9</v>
      </c>
      <c r="I1137" t="s">
        <v>871</v>
      </c>
      <c r="J1137" t="s">
        <v>55</v>
      </c>
      <c r="K1137" s="70" t="s">
        <v>874</v>
      </c>
      <c r="M1137" t="s">
        <v>6</v>
      </c>
    </row>
    <row r="1138" spans="2:13">
      <c r="B1138">
        <v>1136</v>
      </c>
      <c r="C1138">
        <v>110</v>
      </c>
      <c r="D1138">
        <v>13</v>
      </c>
      <c r="E1138">
        <v>4</v>
      </c>
      <c r="F1138">
        <v>0</v>
      </c>
      <c r="G1138" t="s">
        <v>22</v>
      </c>
      <c r="H1138" t="s">
        <v>9</v>
      </c>
      <c r="I1138" t="s">
        <v>871</v>
      </c>
      <c r="J1138" t="s">
        <v>55</v>
      </c>
      <c r="K1138" t="s">
        <v>875</v>
      </c>
      <c r="M1138" t="s">
        <v>6</v>
      </c>
    </row>
    <row r="1139" spans="2:13">
      <c r="B1139">
        <v>1137</v>
      </c>
      <c r="C1139">
        <v>110</v>
      </c>
      <c r="D1139">
        <v>13</v>
      </c>
      <c r="E1139">
        <v>5</v>
      </c>
      <c r="F1139">
        <v>0</v>
      </c>
      <c r="G1139" t="s">
        <v>22</v>
      </c>
      <c r="H1139" t="s">
        <v>9</v>
      </c>
      <c r="I1139" t="s">
        <v>871</v>
      </c>
      <c r="J1139" t="s">
        <v>55</v>
      </c>
      <c r="K1139" t="s">
        <v>876</v>
      </c>
      <c r="M1139" t="s">
        <v>6</v>
      </c>
    </row>
    <row r="1140" spans="2:13">
      <c r="B1140">
        <v>1138</v>
      </c>
      <c r="C1140">
        <v>110</v>
      </c>
      <c r="D1140">
        <v>13</v>
      </c>
      <c r="E1140">
        <v>6</v>
      </c>
      <c r="F1140">
        <v>0</v>
      </c>
      <c r="G1140" t="s">
        <v>22</v>
      </c>
      <c r="H1140" t="s">
        <v>9</v>
      </c>
      <c r="I1140" t="s">
        <v>871</v>
      </c>
      <c r="J1140" t="s">
        <v>55</v>
      </c>
      <c r="K1140" t="s">
        <v>877</v>
      </c>
      <c r="M1140" t="s">
        <v>6</v>
      </c>
    </row>
    <row r="1141" spans="2:13">
      <c r="B1141">
        <v>1139</v>
      </c>
      <c r="C1141">
        <v>110</v>
      </c>
      <c r="D1141">
        <v>13</v>
      </c>
      <c r="E1141">
        <v>7</v>
      </c>
      <c r="F1141">
        <v>0</v>
      </c>
      <c r="G1141" t="s">
        <v>22</v>
      </c>
      <c r="H1141" t="s">
        <v>9</v>
      </c>
      <c r="I1141" t="s">
        <v>871</v>
      </c>
      <c r="J1141" t="s">
        <v>55</v>
      </c>
      <c r="K1141" t="s">
        <v>878</v>
      </c>
      <c r="M1141" t="s">
        <v>6</v>
      </c>
    </row>
    <row r="1142" spans="2:13">
      <c r="B1142">
        <v>1140</v>
      </c>
      <c r="C1142">
        <v>110</v>
      </c>
      <c r="D1142">
        <v>13</v>
      </c>
      <c r="E1142">
        <v>8</v>
      </c>
      <c r="F1142">
        <v>0</v>
      </c>
      <c r="G1142" t="s">
        <v>22</v>
      </c>
      <c r="H1142" t="s">
        <v>9</v>
      </c>
      <c r="I1142" t="s">
        <v>871</v>
      </c>
      <c r="J1142" t="s">
        <v>55</v>
      </c>
      <c r="K1142" t="s">
        <v>879</v>
      </c>
      <c r="M1142" t="s">
        <v>6</v>
      </c>
    </row>
    <row r="1143" spans="2:13">
      <c r="B1143">
        <v>1141</v>
      </c>
      <c r="C1143">
        <v>110</v>
      </c>
      <c r="D1143">
        <v>13</v>
      </c>
      <c r="E1143">
        <v>9</v>
      </c>
      <c r="F1143">
        <v>0</v>
      </c>
      <c r="G1143" t="s">
        <v>22</v>
      </c>
      <c r="H1143" t="s">
        <v>9</v>
      </c>
      <c r="I1143" t="s">
        <v>871</v>
      </c>
      <c r="J1143" t="s">
        <v>55</v>
      </c>
      <c r="K1143" t="s">
        <v>779</v>
      </c>
      <c r="M1143" t="s">
        <v>6</v>
      </c>
    </row>
    <row r="1144" spans="2:13">
      <c r="B1144">
        <v>1142</v>
      </c>
      <c r="C1144">
        <v>110</v>
      </c>
      <c r="D1144">
        <v>13</v>
      </c>
      <c r="E1144">
        <v>10</v>
      </c>
      <c r="F1144">
        <v>0</v>
      </c>
      <c r="G1144" t="s">
        <v>22</v>
      </c>
      <c r="H1144" t="s">
        <v>9</v>
      </c>
      <c r="I1144" t="s">
        <v>871</v>
      </c>
      <c r="J1144" t="s">
        <v>55</v>
      </c>
      <c r="K1144" t="s">
        <v>880</v>
      </c>
      <c r="M1144" t="s">
        <v>6</v>
      </c>
    </row>
    <row r="1145" spans="2:13">
      <c r="B1145">
        <v>1143</v>
      </c>
      <c r="C1145">
        <v>110</v>
      </c>
      <c r="D1145">
        <v>13</v>
      </c>
      <c r="E1145">
        <v>11</v>
      </c>
      <c r="F1145">
        <v>0</v>
      </c>
      <c r="G1145" t="s">
        <v>22</v>
      </c>
      <c r="H1145" t="s">
        <v>9</v>
      </c>
      <c r="I1145" t="s">
        <v>871</v>
      </c>
      <c r="J1145" t="s">
        <v>55</v>
      </c>
      <c r="K1145" t="s">
        <v>881</v>
      </c>
      <c r="M1145" t="s">
        <v>6</v>
      </c>
    </row>
    <row r="1146" spans="2:13">
      <c r="B1146">
        <v>1144</v>
      </c>
      <c r="C1146">
        <v>110</v>
      </c>
      <c r="D1146">
        <v>13</v>
      </c>
      <c r="E1146">
        <v>12</v>
      </c>
      <c r="F1146">
        <v>0</v>
      </c>
      <c r="G1146" t="s">
        <v>22</v>
      </c>
      <c r="H1146" t="s">
        <v>9</v>
      </c>
      <c r="I1146" t="s">
        <v>871</v>
      </c>
      <c r="J1146" t="s">
        <v>55</v>
      </c>
      <c r="K1146" t="s">
        <v>93</v>
      </c>
      <c r="M1146" t="s">
        <v>6</v>
      </c>
    </row>
    <row r="1147" spans="2:13">
      <c r="B1147">
        <v>1145</v>
      </c>
      <c r="C1147">
        <v>110</v>
      </c>
      <c r="D1147">
        <v>13</v>
      </c>
      <c r="E1147">
        <v>13</v>
      </c>
      <c r="F1147">
        <v>0</v>
      </c>
      <c r="G1147" t="s">
        <v>22</v>
      </c>
      <c r="H1147" t="s">
        <v>9</v>
      </c>
      <c r="I1147" t="s">
        <v>871</v>
      </c>
      <c r="J1147" t="s">
        <v>64</v>
      </c>
      <c r="K1147" t="s">
        <v>94</v>
      </c>
      <c r="M1147" t="s">
        <v>6</v>
      </c>
    </row>
    <row r="1148" spans="2:13" hidden="1">
      <c r="B1148">
        <v>1146</v>
      </c>
      <c r="C1148">
        <v>111</v>
      </c>
      <c r="D1148">
        <v>7</v>
      </c>
      <c r="E1148">
        <v>0</v>
      </c>
      <c r="F1148">
        <v>0</v>
      </c>
      <c r="G1148" t="s">
        <v>22</v>
      </c>
      <c r="H1148" t="s">
        <v>9</v>
      </c>
      <c r="I1148" t="s">
        <v>882</v>
      </c>
      <c r="J1148" t="s">
        <v>54</v>
      </c>
      <c r="K1148" t="s">
        <v>882</v>
      </c>
      <c r="M1148" t="s">
        <v>6</v>
      </c>
    </row>
    <row r="1149" spans="2:13" hidden="1">
      <c r="B1149">
        <v>1147</v>
      </c>
      <c r="C1149">
        <v>111</v>
      </c>
      <c r="D1149">
        <v>7</v>
      </c>
      <c r="E1149">
        <v>1</v>
      </c>
      <c r="F1149">
        <v>0</v>
      </c>
      <c r="G1149" t="s">
        <v>22</v>
      </c>
      <c r="H1149" t="s">
        <v>9</v>
      </c>
      <c r="I1149" t="s">
        <v>882</v>
      </c>
      <c r="J1149" t="s">
        <v>55</v>
      </c>
      <c r="K1149" t="s">
        <v>883</v>
      </c>
      <c r="M1149" t="s">
        <v>6</v>
      </c>
    </row>
    <row r="1150" spans="2:13" hidden="1">
      <c r="B1150">
        <v>1148</v>
      </c>
      <c r="C1150">
        <v>111</v>
      </c>
      <c r="D1150">
        <v>7</v>
      </c>
      <c r="E1150">
        <v>2</v>
      </c>
      <c r="F1150">
        <v>0</v>
      </c>
      <c r="G1150" t="s">
        <v>22</v>
      </c>
      <c r="H1150" t="s">
        <v>9</v>
      </c>
      <c r="I1150" t="s">
        <v>882</v>
      </c>
      <c r="J1150" t="s">
        <v>55</v>
      </c>
      <c r="K1150" t="s">
        <v>884</v>
      </c>
      <c r="M1150" t="s">
        <v>6</v>
      </c>
    </row>
    <row r="1151" spans="2:13" hidden="1">
      <c r="B1151">
        <v>1149</v>
      </c>
      <c r="C1151">
        <v>111</v>
      </c>
      <c r="D1151">
        <v>7</v>
      </c>
      <c r="E1151">
        <v>3</v>
      </c>
      <c r="F1151">
        <v>0</v>
      </c>
      <c r="G1151" t="s">
        <v>22</v>
      </c>
      <c r="H1151" t="s">
        <v>9</v>
      </c>
      <c r="I1151" t="s">
        <v>882</v>
      </c>
      <c r="J1151" t="s">
        <v>55</v>
      </c>
      <c r="K1151" t="s">
        <v>885</v>
      </c>
      <c r="M1151" t="s">
        <v>6</v>
      </c>
    </row>
    <row r="1152" spans="2:13" hidden="1">
      <c r="B1152">
        <v>1150</v>
      </c>
      <c r="C1152">
        <v>111</v>
      </c>
      <c r="D1152">
        <v>7</v>
      </c>
      <c r="E1152">
        <v>4</v>
      </c>
      <c r="F1152">
        <v>0</v>
      </c>
      <c r="G1152" t="s">
        <v>22</v>
      </c>
      <c r="H1152" t="s">
        <v>9</v>
      </c>
      <c r="I1152" t="s">
        <v>882</v>
      </c>
      <c r="J1152" t="s">
        <v>55</v>
      </c>
      <c r="K1152" t="s">
        <v>886</v>
      </c>
      <c r="M1152" t="s">
        <v>6</v>
      </c>
    </row>
    <row r="1153" spans="2:13" hidden="1">
      <c r="B1153">
        <v>1151</v>
      </c>
      <c r="C1153">
        <v>111</v>
      </c>
      <c r="D1153">
        <v>7</v>
      </c>
      <c r="E1153">
        <v>5</v>
      </c>
      <c r="F1153">
        <v>0</v>
      </c>
      <c r="G1153" t="s">
        <v>22</v>
      </c>
      <c r="H1153" t="s">
        <v>9</v>
      </c>
      <c r="I1153" t="s">
        <v>882</v>
      </c>
      <c r="J1153" t="s">
        <v>55</v>
      </c>
      <c r="K1153" t="s">
        <v>887</v>
      </c>
      <c r="M1153" t="s">
        <v>6</v>
      </c>
    </row>
    <row r="1154" spans="2:13" hidden="1">
      <c r="B1154">
        <v>1152</v>
      </c>
      <c r="C1154">
        <v>111</v>
      </c>
      <c r="D1154">
        <v>7</v>
      </c>
      <c r="E1154">
        <v>6</v>
      </c>
      <c r="F1154">
        <v>0</v>
      </c>
      <c r="G1154" t="s">
        <v>22</v>
      </c>
      <c r="H1154" t="s">
        <v>9</v>
      </c>
      <c r="I1154" t="s">
        <v>882</v>
      </c>
      <c r="J1154" t="s">
        <v>55</v>
      </c>
      <c r="K1154" t="s">
        <v>93</v>
      </c>
      <c r="M1154" t="s">
        <v>6</v>
      </c>
    </row>
    <row r="1155" spans="2:13" hidden="1">
      <c r="B1155">
        <v>1153</v>
      </c>
      <c r="C1155">
        <v>111</v>
      </c>
      <c r="D1155">
        <v>7</v>
      </c>
      <c r="E1155">
        <v>7</v>
      </c>
      <c r="F1155">
        <v>0</v>
      </c>
      <c r="G1155" t="s">
        <v>22</v>
      </c>
      <c r="H1155" t="s">
        <v>9</v>
      </c>
      <c r="I1155" t="s">
        <v>882</v>
      </c>
      <c r="J1155" t="s">
        <v>64</v>
      </c>
      <c r="K1155" t="s">
        <v>94</v>
      </c>
      <c r="M1155" t="s">
        <v>6</v>
      </c>
    </row>
    <row r="1156" spans="2:13" hidden="1">
      <c r="B1156">
        <v>1154</v>
      </c>
      <c r="C1156">
        <v>112</v>
      </c>
      <c r="D1156">
        <v>5</v>
      </c>
      <c r="E1156">
        <v>0</v>
      </c>
      <c r="F1156">
        <v>0</v>
      </c>
      <c r="G1156" t="s">
        <v>22</v>
      </c>
      <c r="H1156" t="s">
        <v>9</v>
      </c>
      <c r="I1156" t="s">
        <v>888</v>
      </c>
      <c r="J1156" t="s">
        <v>54</v>
      </c>
      <c r="K1156" t="s">
        <v>888</v>
      </c>
      <c r="M1156" t="s">
        <v>6</v>
      </c>
    </row>
    <row r="1157" spans="2:13" hidden="1">
      <c r="B1157">
        <v>1155</v>
      </c>
      <c r="C1157">
        <v>112</v>
      </c>
      <c r="D1157">
        <v>5</v>
      </c>
      <c r="E1157">
        <v>1</v>
      </c>
      <c r="F1157">
        <v>0</v>
      </c>
      <c r="G1157" t="s">
        <v>22</v>
      </c>
      <c r="H1157" t="s">
        <v>9</v>
      </c>
      <c r="I1157" t="s">
        <v>888</v>
      </c>
      <c r="J1157" t="s">
        <v>55</v>
      </c>
      <c r="K1157" t="s">
        <v>889</v>
      </c>
      <c r="M1157" t="s">
        <v>6</v>
      </c>
    </row>
    <row r="1158" spans="2:13" hidden="1">
      <c r="B1158">
        <v>1156</v>
      </c>
      <c r="C1158">
        <v>112</v>
      </c>
      <c r="D1158">
        <v>5</v>
      </c>
      <c r="E1158">
        <v>2</v>
      </c>
      <c r="F1158">
        <v>0</v>
      </c>
      <c r="G1158" t="s">
        <v>22</v>
      </c>
      <c r="H1158" t="s">
        <v>9</v>
      </c>
      <c r="I1158" t="s">
        <v>888</v>
      </c>
      <c r="J1158" t="s">
        <v>64</v>
      </c>
      <c r="K1158" t="s">
        <v>94</v>
      </c>
      <c r="M1158" t="s">
        <v>6</v>
      </c>
    </row>
    <row r="1159" spans="2:13" hidden="1">
      <c r="B1159">
        <v>1157</v>
      </c>
      <c r="C1159">
        <v>112</v>
      </c>
      <c r="D1159">
        <v>5</v>
      </c>
      <c r="E1159">
        <v>3</v>
      </c>
      <c r="F1159">
        <v>0</v>
      </c>
      <c r="G1159" t="s">
        <v>22</v>
      </c>
      <c r="H1159" t="s">
        <v>9</v>
      </c>
      <c r="I1159" t="s">
        <v>888</v>
      </c>
      <c r="J1159" t="s">
        <v>54</v>
      </c>
      <c r="K1159" t="s">
        <v>888</v>
      </c>
      <c r="M1159" t="s">
        <v>6</v>
      </c>
    </row>
    <row r="1160" spans="2:13" hidden="1">
      <c r="B1160">
        <v>1158</v>
      </c>
      <c r="C1160">
        <v>112</v>
      </c>
      <c r="D1160">
        <v>5</v>
      </c>
      <c r="E1160">
        <v>4</v>
      </c>
      <c r="F1160">
        <v>0</v>
      </c>
      <c r="G1160" t="s">
        <v>22</v>
      </c>
      <c r="H1160" t="s">
        <v>9</v>
      </c>
      <c r="I1160" t="s">
        <v>888</v>
      </c>
      <c r="J1160" t="s">
        <v>55</v>
      </c>
      <c r="K1160" t="s">
        <v>889</v>
      </c>
      <c r="M1160" t="s">
        <v>6</v>
      </c>
    </row>
    <row r="1161" spans="2:13" hidden="1">
      <c r="B1161">
        <v>1159</v>
      </c>
      <c r="C1161">
        <v>112</v>
      </c>
      <c r="D1161">
        <v>5</v>
      </c>
      <c r="E1161">
        <v>5</v>
      </c>
      <c r="F1161">
        <v>0</v>
      </c>
      <c r="G1161" t="s">
        <v>22</v>
      </c>
      <c r="H1161" t="s">
        <v>9</v>
      </c>
      <c r="I1161" t="s">
        <v>888</v>
      </c>
      <c r="J1161" t="s">
        <v>64</v>
      </c>
      <c r="K1161" t="s">
        <v>94</v>
      </c>
      <c r="M1161" t="s">
        <v>6</v>
      </c>
    </row>
    <row r="1162" spans="2:13" hidden="1">
      <c r="B1162">
        <v>1160</v>
      </c>
      <c r="C1162">
        <v>113</v>
      </c>
      <c r="D1162">
        <v>12</v>
      </c>
      <c r="E1162">
        <v>0</v>
      </c>
      <c r="F1162">
        <v>0</v>
      </c>
      <c r="G1162" t="s">
        <v>22</v>
      </c>
      <c r="H1162" t="s">
        <v>9</v>
      </c>
      <c r="I1162" t="s">
        <v>890</v>
      </c>
      <c r="J1162" t="s">
        <v>54</v>
      </c>
      <c r="K1162" t="s">
        <v>890</v>
      </c>
      <c r="M1162" t="s">
        <v>6</v>
      </c>
    </row>
    <row r="1163" spans="2:13" hidden="1">
      <c r="B1163">
        <v>1161</v>
      </c>
      <c r="C1163">
        <v>113</v>
      </c>
      <c r="D1163">
        <v>12</v>
      </c>
      <c r="E1163">
        <v>1</v>
      </c>
      <c r="F1163">
        <v>0</v>
      </c>
      <c r="G1163" t="s">
        <v>22</v>
      </c>
      <c r="H1163" t="s">
        <v>9</v>
      </c>
      <c r="I1163" t="s">
        <v>890</v>
      </c>
      <c r="J1163" t="s">
        <v>55</v>
      </c>
      <c r="K1163" t="s">
        <v>891</v>
      </c>
      <c r="M1163" t="s">
        <v>6</v>
      </c>
    </row>
    <row r="1164" spans="2:13" hidden="1">
      <c r="B1164">
        <v>1162</v>
      </c>
      <c r="C1164">
        <v>113</v>
      </c>
      <c r="D1164">
        <v>12</v>
      </c>
      <c r="E1164">
        <v>2</v>
      </c>
      <c r="F1164">
        <v>0</v>
      </c>
      <c r="G1164" t="s">
        <v>22</v>
      </c>
      <c r="H1164" t="s">
        <v>9</v>
      </c>
      <c r="I1164" t="s">
        <v>890</v>
      </c>
      <c r="J1164" t="s">
        <v>55</v>
      </c>
      <c r="K1164" t="s">
        <v>892</v>
      </c>
      <c r="M1164" t="s">
        <v>6</v>
      </c>
    </row>
    <row r="1165" spans="2:13" hidden="1">
      <c r="B1165">
        <v>1163</v>
      </c>
      <c r="C1165">
        <v>113</v>
      </c>
      <c r="D1165">
        <v>12</v>
      </c>
      <c r="E1165">
        <v>3</v>
      </c>
      <c r="F1165">
        <v>0</v>
      </c>
      <c r="G1165" t="s">
        <v>22</v>
      </c>
      <c r="H1165" t="s">
        <v>9</v>
      </c>
      <c r="I1165" t="s">
        <v>890</v>
      </c>
      <c r="J1165" t="s">
        <v>55</v>
      </c>
      <c r="K1165" t="s">
        <v>893</v>
      </c>
      <c r="M1165" t="s">
        <v>6</v>
      </c>
    </row>
    <row r="1166" spans="2:13" hidden="1">
      <c r="B1166">
        <v>1164</v>
      </c>
      <c r="C1166">
        <v>113</v>
      </c>
      <c r="D1166">
        <v>12</v>
      </c>
      <c r="E1166">
        <v>4</v>
      </c>
      <c r="F1166">
        <v>0</v>
      </c>
      <c r="G1166" t="s">
        <v>22</v>
      </c>
      <c r="H1166" t="s">
        <v>9</v>
      </c>
      <c r="I1166" t="s">
        <v>890</v>
      </c>
      <c r="J1166" t="s">
        <v>55</v>
      </c>
      <c r="K1166" t="s">
        <v>894</v>
      </c>
      <c r="M1166" t="s">
        <v>6</v>
      </c>
    </row>
    <row r="1167" spans="2:13" hidden="1">
      <c r="B1167">
        <v>1165</v>
      </c>
      <c r="C1167">
        <v>113</v>
      </c>
      <c r="D1167">
        <v>12</v>
      </c>
      <c r="E1167">
        <v>5</v>
      </c>
      <c r="F1167">
        <v>0</v>
      </c>
      <c r="G1167" t="s">
        <v>22</v>
      </c>
      <c r="H1167" t="s">
        <v>9</v>
      </c>
      <c r="I1167" t="s">
        <v>890</v>
      </c>
      <c r="J1167" t="s">
        <v>55</v>
      </c>
      <c r="K1167" t="s">
        <v>895</v>
      </c>
      <c r="M1167" t="s">
        <v>6</v>
      </c>
    </row>
    <row r="1168" spans="2:13" hidden="1">
      <c r="B1168">
        <v>1166</v>
      </c>
      <c r="C1168">
        <v>113</v>
      </c>
      <c r="D1168">
        <v>12</v>
      </c>
      <c r="E1168">
        <v>6</v>
      </c>
      <c r="F1168">
        <v>0</v>
      </c>
      <c r="G1168" t="s">
        <v>22</v>
      </c>
      <c r="H1168" t="s">
        <v>9</v>
      </c>
      <c r="I1168" t="s">
        <v>890</v>
      </c>
      <c r="J1168" t="s">
        <v>55</v>
      </c>
      <c r="K1168" t="s">
        <v>896</v>
      </c>
      <c r="M1168" t="s">
        <v>6</v>
      </c>
    </row>
    <row r="1169" spans="2:13" hidden="1">
      <c r="B1169">
        <v>1167</v>
      </c>
      <c r="C1169">
        <v>113</v>
      </c>
      <c r="D1169">
        <v>12</v>
      </c>
      <c r="E1169">
        <v>7</v>
      </c>
      <c r="F1169">
        <v>0</v>
      </c>
      <c r="G1169" t="s">
        <v>22</v>
      </c>
      <c r="H1169" t="s">
        <v>9</v>
      </c>
      <c r="I1169" t="s">
        <v>890</v>
      </c>
      <c r="J1169" t="s">
        <v>55</v>
      </c>
      <c r="K1169" t="s">
        <v>897</v>
      </c>
      <c r="M1169" t="s">
        <v>6</v>
      </c>
    </row>
    <row r="1170" spans="2:13" hidden="1">
      <c r="B1170">
        <v>1168</v>
      </c>
      <c r="C1170">
        <v>113</v>
      </c>
      <c r="D1170">
        <v>12</v>
      </c>
      <c r="E1170">
        <v>8</v>
      </c>
      <c r="F1170">
        <v>0</v>
      </c>
      <c r="G1170" t="s">
        <v>22</v>
      </c>
      <c r="H1170" t="s">
        <v>9</v>
      </c>
      <c r="I1170" t="s">
        <v>890</v>
      </c>
      <c r="J1170" t="s">
        <v>55</v>
      </c>
      <c r="K1170" t="s">
        <v>898</v>
      </c>
      <c r="M1170" t="s">
        <v>6</v>
      </c>
    </row>
    <row r="1171" spans="2:13" hidden="1">
      <c r="B1171">
        <v>1169</v>
      </c>
      <c r="C1171">
        <v>113</v>
      </c>
      <c r="D1171">
        <v>12</v>
      </c>
      <c r="E1171">
        <v>9</v>
      </c>
      <c r="F1171">
        <v>0</v>
      </c>
      <c r="G1171" t="s">
        <v>22</v>
      </c>
      <c r="H1171" t="s">
        <v>9</v>
      </c>
      <c r="I1171" t="s">
        <v>890</v>
      </c>
      <c r="J1171" t="s">
        <v>55</v>
      </c>
      <c r="K1171" t="s">
        <v>899</v>
      </c>
      <c r="M1171" t="s">
        <v>6</v>
      </c>
    </row>
    <row r="1172" spans="2:13" hidden="1">
      <c r="B1172">
        <v>1170</v>
      </c>
      <c r="C1172">
        <v>113</v>
      </c>
      <c r="D1172">
        <v>12</v>
      </c>
      <c r="E1172">
        <v>10</v>
      </c>
      <c r="F1172">
        <v>0</v>
      </c>
      <c r="G1172" t="s">
        <v>22</v>
      </c>
      <c r="H1172" t="s">
        <v>9</v>
      </c>
      <c r="I1172" t="s">
        <v>890</v>
      </c>
      <c r="J1172" t="s">
        <v>55</v>
      </c>
      <c r="K1172" t="s">
        <v>900</v>
      </c>
      <c r="M1172" t="s">
        <v>6</v>
      </c>
    </row>
    <row r="1173" spans="2:13" hidden="1">
      <c r="B1173">
        <v>1171</v>
      </c>
      <c r="C1173">
        <v>113</v>
      </c>
      <c r="D1173">
        <v>12</v>
      </c>
      <c r="E1173">
        <v>11</v>
      </c>
      <c r="F1173">
        <v>0</v>
      </c>
      <c r="G1173" t="s">
        <v>22</v>
      </c>
      <c r="H1173" t="s">
        <v>9</v>
      </c>
      <c r="I1173" t="s">
        <v>890</v>
      </c>
      <c r="J1173" t="s">
        <v>55</v>
      </c>
      <c r="K1173" t="s">
        <v>93</v>
      </c>
      <c r="M1173" t="s">
        <v>6</v>
      </c>
    </row>
    <row r="1174" spans="2:13" hidden="1">
      <c r="B1174">
        <v>1172</v>
      </c>
      <c r="C1174">
        <v>113</v>
      </c>
      <c r="D1174">
        <v>12</v>
      </c>
      <c r="E1174">
        <v>12</v>
      </c>
      <c r="F1174">
        <v>0</v>
      </c>
      <c r="G1174" t="s">
        <v>22</v>
      </c>
      <c r="H1174" t="s">
        <v>9</v>
      </c>
      <c r="I1174" t="s">
        <v>890</v>
      </c>
      <c r="J1174" t="s">
        <v>64</v>
      </c>
      <c r="K1174" t="s">
        <v>94</v>
      </c>
      <c r="M1174" t="s">
        <v>6</v>
      </c>
    </row>
    <row r="1175" spans="2:13" hidden="1">
      <c r="B1175">
        <v>1173</v>
      </c>
      <c r="C1175">
        <v>114</v>
      </c>
      <c r="D1175">
        <v>16</v>
      </c>
      <c r="E1175">
        <v>0</v>
      </c>
      <c r="F1175">
        <v>0</v>
      </c>
      <c r="G1175" t="s">
        <v>34</v>
      </c>
      <c r="H1175" t="s">
        <v>52</v>
      </c>
      <c r="I1175" t="s">
        <v>901</v>
      </c>
      <c r="J1175" t="s">
        <v>54</v>
      </c>
      <c r="K1175" t="s">
        <v>901</v>
      </c>
      <c r="M1175" t="s">
        <v>6</v>
      </c>
    </row>
    <row r="1176" spans="2:13" hidden="1">
      <c r="B1176">
        <v>1174</v>
      </c>
      <c r="C1176">
        <v>114</v>
      </c>
      <c r="D1176">
        <v>16</v>
      </c>
      <c r="E1176">
        <v>1</v>
      </c>
      <c r="F1176">
        <v>0</v>
      </c>
      <c r="G1176" t="s">
        <v>34</v>
      </c>
      <c r="H1176" t="s">
        <v>52</v>
      </c>
      <c r="I1176" t="s">
        <v>901</v>
      </c>
      <c r="J1176" t="s">
        <v>55</v>
      </c>
      <c r="K1176" t="s">
        <v>429</v>
      </c>
      <c r="M1176" t="s">
        <v>6</v>
      </c>
    </row>
    <row r="1177" spans="2:13" hidden="1">
      <c r="B1177">
        <v>1175</v>
      </c>
      <c r="C1177">
        <v>114</v>
      </c>
      <c r="D1177">
        <v>16</v>
      </c>
      <c r="E1177">
        <v>2</v>
      </c>
      <c r="F1177">
        <v>0</v>
      </c>
      <c r="G1177" t="s">
        <v>34</v>
      </c>
      <c r="H1177" t="s">
        <v>52</v>
      </c>
      <c r="I1177" t="s">
        <v>901</v>
      </c>
      <c r="J1177" t="s">
        <v>55</v>
      </c>
      <c r="K1177" t="s">
        <v>902</v>
      </c>
      <c r="M1177" t="s">
        <v>6</v>
      </c>
    </row>
    <row r="1178" spans="2:13" hidden="1">
      <c r="B1178">
        <v>1176</v>
      </c>
      <c r="C1178">
        <v>114</v>
      </c>
      <c r="D1178">
        <v>16</v>
      </c>
      <c r="E1178">
        <v>3</v>
      </c>
      <c r="F1178">
        <v>0</v>
      </c>
      <c r="G1178" t="s">
        <v>34</v>
      </c>
      <c r="H1178" t="s">
        <v>52</v>
      </c>
      <c r="I1178" t="s">
        <v>901</v>
      </c>
      <c r="J1178" t="s">
        <v>55</v>
      </c>
      <c r="K1178" t="s">
        <v>903</v>
      </c>
      <c r="M1178" t="s">
        <v>6</v>
      </c>
    </row>
    <row r="1179" spans="2:13" hidden="1">
      <c r="B1179">
        <v>1177</v>
      </c>
      <c r="C1179">
        <v>114</v>
      </c>
      <c r="D1179">
        <v>16</v>
      </c>
      <c r="E1179">
        <v>4</v>
      </c>
      <c r="F1179">
        <v>0</v>
      </c>
      <c r="G1179" t="s">
        <v>34</v>
      </c>
      <c r="H1179" t="s">
        <v>52</v>
      </c>
      <c r="I1179" t="s">
        <v>901</v>
      </c>
      <c r="J1179" t="s">
        <v>55</v>
      </c>
      <c r="K1179" t="s">
        <v>904</v>
      </c>
      <c r="M1179" t="s">
        <v>6</v>
      </c>
    </row>
    <row r="1180" spans="2:13" hidden="1">
      <c r="B1180">
        <v>1178</v>
      </c>
      <c r="C1180">
        <v>114</v>
      </c>
      <c r="D1180">
        <v>16</v>
      </c>
      <c r="E1180">
        <v>5</v>
      </c>
      <c r="F1180">
        <v>0</v>
      </c>
      <c r="G1180" t="s">
        <v>34</v>
      </c>
      <c r="H1180" t="s">
        <v>52</v>
      </c>
      <c r="I1180" t="s">
        <v>901</v>
      </c>
      <c r="J1180" t="s">
        <v>55</v>
      </c>
      <c r="K1180" t="s">
        <v>905</v>
      </c>
      <c r="M1180" t="s">
        <v>6</v>
      </c>
    </row>
    <row r="1181" spans="2:13" hidden="1">
      <c r="B1181">
        <v>1179</v>
      </c>
      <c r="C1181">
        <v>114</v>
      </c>
      <c r="D1181">
        <v>16</v>
      </c>
      <c r="E1181">
        <v>6</v>
      </c>
      <c r="F1181">
        <v>0</v>
      </c>
      <c r="G1181" t="s">
        <v>34</v>
      </c>
      <c r="H1181" t="s">
        <v>52</v>
      </c>
      <c r="I1181" t="s">
        <v>901</v>
      </c>
      <c r="J1181" t="s">
        <v>55</v>
      </c>
      <c r="K1181" t="s">
        <v>906</v>
      </c>
      <c r="M1181" t="s">
        <v>6</v>
      </c>
    </row>
    <row r="1182" spans="2:13" hidden="1">
      <c r="B1182">
        <v>1180</v>
      </c>
      <c r="C1182">
        <v>114</v>
      </c>
      <c r="D1182">
        <v>16</v>
      </c>
      <c r="E1182">
        <v>7</v>
      </c>
      <c r="F1182">
        <v>0</v>
      </c>
      <c r="G1182" t="s">
        <v>34</v>
      </c>
      <c r="H1182" t="s">
        <v>52</v>
      </c>
      <c r="I1182" t="s">
        <v>901</v>
      </c>
      <c r="J1182" t="s">
        <v>55</v>
      </c>
      <c r="K1182" t="s">
        <v>907</v>
      </c>
      <c r="M1182" t="s">
        <v>6</v>
      </c>
    </row>
    <row r="1183" spans="2:13" hidden="1">
      <c r="B1183">
        <v>1181</v>
      </c>
      <c r="C1183">
        <v>114</v>
      </c>
      <c r="D1183">
        <v>16</v>
      </c>
      <c r="E1183">
        <v>8</v>
      </c>
      <c r="F1183">
        <v>0</v>
      </c>
      <c r="G1183" t="s">
        <v>34</v>
      </c>
      <c r="H1183" t="s">
        <v>52</v>
      </c>
      <c r="I1183" t="s">
        <v>901</v>
      </c>
      <c r="J1183" t="s">
        <v>55</v>
      </c>
      <c r="K1183" t="s">
        <v>908</v>
      </c>
      <c r="M1183" t="s">
        <v>6</v>
      </c>
    </row>
    <row r="1184" spans="2:13" hidden="1">
      <c r="B1184">
        <v>1182</v>
      </c>
      <c r="C1184">
        <v>114</v>
      </c>
      <c r="D1184">
        <v>16</v>
      </c>
      <c r="E1184">
        <v>9</v>
      </c>
      <c r="F1184">
        <v>0</v>
      </c>
      <c r="G1184" t="s">
        <v>34</v>
      </c>
      <c r="H1184" t="s">
        <v>52</v>
      </c>
      <c r="I1184" t="s">
        <v>901</v>
      </c>
      <c r="J1184" t="s">
        <v>55</v>
      </c>
      <c r="K1184" t="s">
        <v>909</v>
      </c>
      <c r="M1184" t="s">
        <v>6</v>
      </c>
    </row>
    <row r="1185" spans="2:13" hidden="1">
      <c r="B1185">
        <v>1183</v>
      </c>
      <c r="C1185">
        <v>114</v>
      </c>
      <c r="D1185">
        <v>16</v>
      </c>
      <c r="E1185">
        <v>10</v>
      </c>
      <c r="F1185">
        <v>0</v>
      </c>
      <c r="G1185" t="s">
        <v>34</v>
      </c>
      <c r="H1185" t="s">
        <v>52</v>
      </c>
      <c r="I1185" t="s">
        <v>901</v>
      </c>
      <c r="J1185" t="s">
        <v>55</v>
      </c>
      <c r="K1185" t="s">
        <v>910</v>
      </c>
      <c r="M1185" t="s">
        <v>6</v>
      </c>
    </row>
    <row r="1186" spans="2:13" hidden="1">
      <c r="B1186">
        <v>1184</v>
      </c>
      <c r="C1186">
        <v>114</v>
      </c>
      <c r="D1186">
        <v>16</v>
      </c>
      <c r="E1186">
        <v>11</v>
      </c>
      <c r="F1186">
        <v>0</v>
      </c>
      <c r="G1186" t="s">
        <v>34</v>
      </c>
      <c r="H1186" t="s">
        <v>52</v>
      </c>
      <c r="I1186" t="s">
        <v>901</v>
      </c>
      <c r="J1186" t="s">
        <v>55</v>
      </c>
      <c r="K1186" t="s">
        <v>911</v>
      </c>
      <c r="M1186" t="s">
        <v>6</v>
      </c>
    </row>
    <row r="1187" spans="2:13" hidden="1">
      <c r="B1187">
        <v>1185</v>
      </c>
      <c r="C1187">
        <v>114</v>
      </c>
      <c r="D1187">
        <v>16</v>
      </c>
      <c r="E1187">
        <v>12</v>
      </c>
      <c r="F1187">
        <v>0</v>
      </c>
      <c r="G1187" t="s">
        <v>34</v>
      </c>
      <c r="H1187" t="s">
        <v>52</v>
      </c>
      <c r="I1187" t="s">
        <v>901</v>
      </c>
      <c r="J1187" t="s">
        <v>55</v>
      </c>
      <c r="K1187" t="s">
        <v>912</v>
      </c>
      <c r="M1187" t="s">
        <v>6</v>
      </c>
    </row>
    <row r="1188" spans="2:13" hidden="1">
      <c r="B1188">
        <v>1186</v>
      </c>
      <c r="C1188">
        <v>114</v>
      </c>
      <c r="D1188">
        <v>16</v>
      </c>
      <c r="E1188">
        <v>13</v>
      </c>
      <c r="F1188">
        <v>0</v>
      </c>
      <c r="G1188" t="s">
        <v>34</v>
      </c>
      <c r="H1188" t="s">
        <v>52</v>
      </c>
      <c r="I1188" t="s">
        <v>901</v>
      </c>
      <c r="J1188" t="s">
        <v>55</v>
      </c>
      <c r="K1188" t="s">
        <v>913</v>
      </c>
      <c r="M1188" t="s">
        <v>6</v>
      </c>
    </row>
    <row r="1189" spans="2:13" hidden="1">
      <c r="B1189">
        <v>1187</v>
      </c>
      <c r="C1189">
        <v>114</v>
      </c>
      <c r="D1189">
        <v>16</v>
      </c>
      <c r="E1189">
        <v>14</v>
      </c>
      <c r="F1189">
        <v>0</v>
      </c>
      <c r="G1189" t="s">
        <v>34</v>
      </c>
      <c r="H1189" t="s">
        <v>52</v>
      </c>
      <c r="I1189" t="s">
        <v>901</v>
      </c>
      <c r="J1189" t="s">
        <v>55</v>
      </c>
      <c r="K1189" t="s">
        <v>914</v>
      </c>
      <c r="M1189" t="s">
        <v>6</v>
      </c>
    </row>
    <row r="1190" spans="2:13" hidden="1">
      <c r="B1190">
        <v>1188</v>
      </c>
      <c r="C1190">
        <v>114</v>
      </c>
      <c r="D1190">
        <v>16</v>
      </c>
      <c r="E1190">
        <v>15</v>
      </c>
      <c r="F1190">
        <v>0</v>
      </c>
      <c r="G1190" t="s">
        <v>34</v>
      </c>
      <c r="H1190" t="s">
        <v>52</v>
      </c>
      <c r="I1190" t="s">
        <v>901</v>
      </c>
      <c r="J1190" t="s">
        <v>55</v>
      </c>
      <c r="K1190" t="s">
        <v>915</v>
      </c>
      <c r="M1190" t="s">
        <v>6</v>
      </c>
    </row>
    <row r="1191" spans="2:13" hidden="1">
      <c r="B1191">
        <v>1189</v>
      </c>
      <c r="C1191">
        <v>114</v>
      </c>
      <c r="D1191">
        <v>16</v>
      </c>
      <c r="E1191">
        <v>16</v>
      </c>
      <c r="F1191">
        <v>0</v>
      </c>
      <c r="G1191" t="s">
        <v>34</v>
      </c>
      <c r="H1191" t="s">
        <v>52</v>
      </c>
      <c r="I1191" t="s">
        <v>901</v>
      </c>
      <c r="J1191" t="s">
        <v>55</v>
      </c>
      <c r="K1191" t="s">
        <v>916</v>
      </c>
      <c r="M1191" t="s">
        <v>6</v>
      </c>
    </row>
    <row r="1192" spans="2:13" hidden="1">
      <c r="B1192">
        <v>1190</v>
      </c>
      <c r="C1192">
        <v>115</v>
      </c>
      <c r="D1192">
        <v>14</v>
      </c>
      <c r="E1192">
        <v>0</v>
      </c>
      <c r="F1192">
        <v>0</v>
      </c>
      <c r="G1192" t="s">
        <v>917</v>
      </c>
      <c r="H1192" t="s">
        <v>918</v>
      </c>
      <c r="I1192" t="s">
        <v>919</v>
      </c>
      <c r="J1192" t="s">
        <v>478</v>
      </c>
      <c r="K1192" t="s">
        <v>919</v>
      </c>
      <c r="M1192" t="s">
        <v>6</v>
      </c>
    </row>
    <row r="1193" spans="2:13" hidden="1">
      <c r="B1193">
        <v>1191</v>
      </c>
      <c r="C1193">
        <v>115</v>
      </c>
      <c r="D1193">
        <v>14</v>
      </c>
      <c r="E1193">
        <v>1</v>
      </c>
      <c r="F1193">
        <v>0</v>
      </c>
      <c r="G1193" t="s">
        <v>917</v>
      </c>
      <c r="H1193" t="s">
        <v>918</v>
      </c>
      <c r="I1193" t="s">
        <v>919</v>
      </c>
      <c r="J1193" t="s">
        <v>479</v>
      </c>
      <c r="K1193" t="s">
        <v>920</v>
      </c>
      <c r="M1193" t="s">
        <v>6</v>
      </c>
    </row>
    <row r="1194" spans="2:13" hidden="1">
      <c r="B1194">
        <v>1192</v>
      </c>
      <c r="C1194">
        <v>115</v>
      </c>
      <c r="D1194">
        <v>14</v>
      </c>
      <c r="E1194">
        <v>2</v>
      </c>
      <c r="F1194">
        <v>0</v>
      </c>
      <c r="G1194" t="s">
        <v>917</v>
      </c>
      <c r="H1194" t="s">
        <v>918</v>
      </c>
      <c r="I1194" t="s">
        <v>919</v>
      </c>
      <c r="J1194" t="s">
        <v>55</v>
      </c>
      <c r="K1194" t="s">
        <v>921</v>
      </c>
      <c r="M1194" t="s">
        <v>6</v>
      </c>
    </row>
    <row r="1195" spans="2:13" hidden="1">
      <c r="B1195">
        <v>1193</v>
      </c>
      <c r="C1195">
        <v>115</v>
      </c>
      <c r="D1195">
        <v>14</v>
      </c>
      <c r="E1195">
        <v>3</v>
      </c>
      <c r="F1195">
        <v>0</v>
      </c>
      <c r="G1195" t="s">
        <v>917</v>
      </c>
      <c r="H1195" t="s">
        <v>918</v>
      </c>
      <c r="I1195" t="s">
        <v>919</v>
      </c>
      <c r="J1195" t="s">
        <v>214</v>
      </c>
      <c r="K1195" t="s">
        <v>922</v>
      </c>
      <c r="M1195" t="s">
        <v>6</v>
      </c>
    </row>
    <row r="1196" spans="2:13" hidden="1">
      <c r="B1196">
        <v>1194</v>
      </c>
      <c r="C1196">
        <v>115</v>
      </c>
      <c r="D1196">
        <v>14</v>
      </c>
      <c r="E1196">
        <v>4</v>
      </c>
      <c r="F1196">
        <v>0</v>
      </c>
      <c r="G1196" t="s">
        <v>917</v>
      </c>
      <c r="H1196" t="s">
        <v>918</v>
      </c>
      <c r="I1196" t="s">
        <v>919</v>
      </c>
      <c r="J1196" t="s">
        <v>214</v>
      </c>
      <c r="K1196" t="s">
        <v>923</v>
      </c>
      <c r="M1196" t="s">
        <v>6</v>
      </c>
    </row>
    <row r="1197" spans="2:13" hidden="1">
      <c r="B1197">
        <v>1195</v>
      </c>
      <c r="C1197">
        <v>115</v>
      </c>
      <c r="D1197">
        <v>14</v>
      </c>
      <c r="E1197">
        <v>5</v>
      </c>
      <c r="F1197">
        <v>0</v>
      </c>
      <c r="G1197" t="s">
        <v>917</v>
      </c>
      <c r="H1197" t="s">
        <v>918</v>
      </c>
      <c r="I1197" t="s">
        <v>919</v>
      </c>
      <c r="J1197" t="s">
        <v>214</v>
      </c>
      <c r="K1197" t="s">
        <v>924</v>
      </c>
      <c r="M1197" t="s">
        <v>6</v>
      </c>
    </row>
    <row r="1198" spans="2:13" hidden="1">
      <c r="B1198">
        <v>1196</v>
      </c>
      <c r="C1198">
        <v>115</v>
      </c>
      <c r="D1198">
        <v>14</v>
      </c>
      <c r="E1198">
        <v>6</v>
      </c>
      <c r="F1198">
        <v>0</v>
      </c>
      <c r="G1198" t="s">
        <v>917</v>
      </c>
      <c r="H1198" t="s">
        <v>918</v>
      </c>
      <c r="I1198" t="s">
        <v>919</v>
      </c>
      <c r="J1198" t="s">
        <v>214</v>
      </c>
      <c r="K1198" t="s">
        <v>925</v>
      </c>
      <c r="M1198" t="s">
        <v>6</v>
      </c>
    </row>
    <row r="1199" spans="2:13" hidden="1">
      <c r="B1199">
        <v>1197</v>
      </c>
      <c r="C1199">
        <v>115</v>
      </c>
      <c r="D1199">
        <v>14</v>
      </c>
      <c r="E1199">
        <v>7</v>
      </c>
      <c r="F1199">
        <v>0</v>
      </c>
      <c r="G1199" t="s">
        <v>917</v>
      </c>
      <c r="H1199" t="s">
        <v>918</v>
      </c>
      <c r="I1199" t="s">
        <v>919</v>
      </c>
      <c r="J1199" t="s">
        <v>214</v>
      </c>
      <c r="K1199" t="s">
        <v>926</v>
      </c>
      <c r="M1199" t="s">
        <v>6</v>
      </c>
    </row>
    <row r="1200" spans="2:13" hidden="1">
      <c r="B1200">
        <v>1198</v>
      </c>
      <c r="C1200">
        <v>115</v>
      </c>
      <c r="D1200">
        <v>14</v>
      </c>
      <c r="E1200">
        <v>8</v>
      </c>
      <c r="F1200">
        <v>0</v>
      </c>
      <c r="G1200" t="s">
        <v>917</v>
      </c>
      <c r="H1200" t="s">
        <v>918</v>
      </c>
      <c r="I1200" t="s">
        <v>919</v>
      </c>
      <c r="J1200" t="s">
        <v>214</v>
      </c>
      <c r="K1200" t="s">
        <v>927</v>
      </c>
      <c r="M1200" t="s">
        <v>6</v>
      </c>
    </row>
    <row r="1201" spans="2:13" hidden="1">
      <c r="B1201">
        <v>1199</v>
      </c>
      <c r="C1201">
        <v>115</v>
      </c>
      <c r="D1201">
        <v>14</v>
      </c>
      <c r="E1201">
        <v>9</v>
      </c>
      <c r="F1201">
        <v>0</v>
      </c>
      <c r="G1201" t="s">
        <v>917</v>
      </c>
      <c r="H1201" t="s">
        <v>918</v>
      </c>
      <c r="I1201" t="s">
        <v>919</v>
      </c>
      <c r="J1201" t="s">
        <v>214</v>
      </c>
      <c r="K1201" t="s">
        <v>928</v>
      </c>
      <c r="M1201" t="s">
        <v>6</v>
      </c>
    </row>
    <row r="1202" spans="2:13" hidden="1">
      <c r="B1202">
        <v>1200</v>
      </c>
      <c r="C1202">
        <v>115</v>
      </c>
      <c r="D1202">
        <v>14</v>
      </c>
      <c r="E1202">
        <v>10</v>
      </c>
      <c r="F1202">
        <v>0</v>
      </c>
      <c r="G1202" t="s">
        <v>917</v>
      </c>
      <c r="H1202" t="s">
        <v>918</v>
      </c>
      <c r="I1202" t="s">
        <v>919</v>
      </c>
      <c r="J1202" t="s">
        <v>55</v>
      </c>
      <c r="K1202" t="s">
        <v>929</v>
      </c>
      <c r="M1202" t="s">
        <v>6</v>
      </c>
    </row>
    <row r="1203" spans="2:13" hidden="1">
      <c r="B1203">
        <v>1201</v>
      </c>
      <c r="C1203">
        <v>115</v>
      </c>
      <c r="D1203">
        <v>14</v>
      </c>
      <c r="E1203">
        <v>11</v>
      </c>
      <c r="F1203">
        <v>0</v>
      </c>
      <c r="G1203" t="s">
        <v>917</v>
      </c>
      <c r="H1203" t="s">
        <v>918</v>
      </c>
      <c r="I1203" t="s">
        <v>919</v>
      </c>
      <c r="J1203" t="s">
        <v>55</v>
      </c>
      <c r="K1203" t="s">
        <v>930</v>
      </c>
      <c r="M1203" t="s">
        <v>6</v>
      </c>
    </row>
    <row r="1204" spans="2:13" hidden="1">
      <c r="B1204">
        <v>1202</v>
      </c>
      <c r="C1204">
        <v>115</v>
      </c>
      <c r="D1204">
        <v>14</v>
      </c>
      <c r="E1204">
        <v>12</v>
      </c>
      <c r="F1204">
        <v>0</v>
      </c>
      <c r="G1204" t="s">
        <v>917</v>
      </c>
      <c r="H1204" t="s">
        <v>918</v>
      </c>
      <c r="I1204" t="s">
        <v>919</v>
      </c>
      <c r="J1204" t="s">
        <v>479</v>
      </c>
      <c r="K1204" t="s">
        <v>931</v>
      </c>
      <c r="M1204" t="s">
        <v>6</v>
      </c>
    </row>
    <row r="1205" spans="2:13" hidden="1">
      <c r="B1205">
        <v>1203</v>
      </c>
      <c r="C1205">
        <v>115</v>
      </c>
      <c r="D1205">
        <v>14</v>
      </c>
      <c r="E1205">
        <v>13</v>
      </c>
      <c r="F1205">
        <v>0</v>
      </c>
      <c r="G1205" t="s">
        <v>917</v>
      </c>
      <c r="H1205" t="s">
        <v>918</v>
      </c>
      <c r="I1205" t="s">
        <v>919</v>
      </c>
      <c r="J1205" t="s">
        <v>55</v>
      </c>
      <c r="K1205" t="s">
        <v>932</v>
      </c>
      <c r="M1205" t="s">
        <v>6</v>
      </c>
    </row>
    <row r="1206" spans="2:13" hidden="1">
      <c r="B1206">
        <v>1204</v>
      </c>
      <c r="C1206">
        <v>115</v>
      </c>
      <c r="D1206">
        <v>14</v>
      </c>
      <c r="E1206">
        <v>14</v>
      </c>
      <c r="F1206">
        <v>0</v>
      </c>
      <c r="G1206" t="s">
        <v>917</v>
      </c>
      <c r="H1206" t="s">
        <v>918</v>
      </c>
      <c r="I1206" t="s">
        <v>919</v>
      </c>
      <c r="J1206" t="s">
        <v>64</v>
      </c>
      <c r="K1206" t="s">
        <v>933</v>
      </c>
      <c r="M1206" t="s">
        <v>6</v>
      </c>
    </row>
    <row r="1207" spans="2:13" hidden="1">
      <c r="B1207">
        <v>1205</v>
      </c>
      <c r="C1207">
        <v>116</v>
      </c>
      <c r="D1207">
        <v>5</v>
      </c>
      <c r="E1207">
        <v>0</v>
      </c>
      <c r="F1207">
        <v>0</v>
      </c>
      <c r="G1207" t="s">
        <v>917</v>
      </c>
      <c r="H1207" t="s">
        <v>918</v>
      </c>
      <c r="I1207" t="s">
        <v>934</v>
      </c>
      <c r="J1207" t="s">
        <v>54</v>
      </c>
      <c r="K1207" t="s">
        <v>934</v>
      </c>
      <c r="M1207" t="s">
        <v>6</v>
      </c>
    </row>
    <row r="1208" spans="2:13" hidden="1">
      <c r="B1208">
        <v>1206</v>
      </c>
      <c r="C1208">
        <v>116</v>
      </c>
      <c r="D1208">
        <v>5</v>
      </c>
      <c r="E1208">
        <v>1</v>
      </c>
      <c r="F1208">
        <v>0</v>
      </c>
      <c r="G1208" t="s">
        <v>917</v>
      </c>
      <c r="H1208" t="s">
        <v>918</v>
      </c>
      <c r="I1208" t="s">
        <v>934</v>
      </c>
      <c r="J1208" t="s">
        <v>55</v>
      </c>
      <c r="K1208" t="s">
        <v>935</v>
      </c>
      <c r="M1208" t="s">
        <v>6</v>
      </c>
    </row>
    <row r="1209" spans="2:13" hidden="1">
      <c r="B1209">
        <v>1207</v>
      </c>
      <c r="C1209">
        <v>116</v>
      </c>
      <c r="D1209">
        <v>5</v>
      </c>
      <c r="E1209">
        <v>2</v>
      </c>
      <c r="F1209">
        <v>0</v>
      </c>
      <c r="G1209" t="s">
        <v>917</v>
      </c>
      <c r="H1209" t="s">
        <v>918</v>
      </c>
      <c r="I1209" t="s">
        <v>934</v>
      </c>
      <c r="J1209" t="s">
        <v>214</v>
      </c>
      <c r="K1209" t="s">
        <v>936</v>
      </c>
      <c r="M1209" t="s">
        <v>6</v>
      </c>
    </row>
    <row r="1210" spans="2:13" hidden="1">
      <c r="B1210">
        <v>1208</v>
      </c>
      <c r="C1210">
        <v>116</v>
      </c>
      <c r="D1210">
        <v>5</v>
      </c>
      <c r="E1210">
        <v>3</v>
      </c>
      <c r="F1210">
        <v>0</v>
      </c>
      <c r="G1210" t="s">
        <v>917</v>
      </c>
      <c r="H1210" t="s">
        <v>918</v>
      </c>
      <c r="I1210" t="s">
        <v>934</v>
      </c>
      <c r="J1210" t="s">
        <v>214</v>
      </c>
      <c r="K1210" t="s">
        <v>937</v>
      </c>
      <c r="M1210" t="s">
        <v>6</v>
      </c>
    </row>
    <row r="1211" spans="2:13" hidden="1">
      <c r="B1211">
        <v>1209</v>
      </c>
      <c r="C1211">
        <v>116</v>
      </c>
      <c r="D1211">
        <v>5</v>
      </c>
      <c r="E1211">
        <v>4</v>
      </c>
      <c r="F1211">
        <v>0</v>
      </c>
      <c r="G1211" t="s">
        <v>917</v>
      </c>
      <c r="H1211" t="s">
        <v>918</v>
      </c>
      <c r="I1211" t="s">
        <v>934</v>
      </c>
      <c r="J1211" t="s">
        <v>214</v>
      </c>
      <c r="K1211" t="s">
        <v>938</v>
      </c>
      <c r="M1211" t="s">
        <v>6</v>
      </c>
    </row>
    <row r="1212" spans="2:13" hidden="1">
      <c r="B1212">
        <v>1210</v>
      </c>
      <c r="C1212">
        <v>116</v>
      </c>
      <c r="D1212">
        <v>5</v>
      </c>
      <c r="E1212">
        <v>5</v>
      </c>
      <c r="F1212">
        <v>0</v>
      </c>
      <c r="G1212" t="s">
        <v>917</v>
      </c>
      <c r="H1212" t="s">
        <v>918</v>
      </c>
      <c r="I1212" t="s">
        <v>934</v>
      </c>
      <c r="J1212" t="s">
        <v>64</v>
      </c>
      <c r="K1212" t="s">
        <v>939</v>
      </c>
      <c r="M1212" t="s">
        <v>6</v>
      </c>
    </row>
    <row r="1213" spans="2:13" hidden="1">
      <c r="B1213">
        <v>1211</v>
      </c>
      <c r="C1213">
        <v>117</v>
      </c>
      <c r="D1213">
        <v>16</v>
      </c>
      <c r="E1213">
        <v>0</v>
      </c>
      <c r="F1213">
        <v>0</v>
      </c>
      <c r="G1213" t="s">
        <v>917</v>
      </c>
      <c r="H1213" t="s">
        <v>918</v>
      </c>
      <c r="I1213" t="s">
        <v>940</v>
      </c>
      <c r="J1213" t="s">
        <v>478</v>
      </c>
      <c r="K1213" t="s">
        <v>940</v>
      </c>
      <c r="M1213" t="s">
        <v>6</v>
      </c>
    </row>
    <row r="1214" spans="2:13" hidden="1">
      <c r="B1214">
        <v>1212</v>
      </c>
      <c r="C1214">
        <v>117</v>
      </c>
      <c r="D1214">
        <v>16</v>
      </c>
      <c r="E1214">
        <v>1</v>
      </c>
      <c r="F1214">
        <v>0</v>
      </c>
      <c r="G1214" t="s">
        <v>917</v>
      </c>
      <c r="H1214" t="s">
        <v>918</v>
      </c>
      <c r="I1214" t="s">
        <v>940</v>
      </c>
      <c r="J1214" t="s">
        <v>479</v>
      </c>
      <c r="K1214" t="s">
        <v>941</v>
      </c>
      <c r="M1214" t="s">
        <v>6</v>
      </c>
    </row>
    <row r="1215" spans="2:13" hidden="1">
      <c r="B1215">
        <v>1213</v>
      </c>
      <c r="C1215">
        <v>117</v>
      </c>
      <c r="D1215">
        <v>16</v>
      </c>
      <c r="E1215">
        <v>2</v>
      </c>
      <c r="F1215">
        <v>0</v>
      </c>
      <c r="G1215" t="s">
        <v>917</v>
      </c>
      <c r="H1215" t="s">
        <v>918</v>
      </c>
      <c r="I1215" t="s">
        <v>940</v>
      </c>
      <c r="J1215" t="s">
        <v>55</v>
      </c>
      <c r="K1215" t="s">
        <v>942</v>
      </c>
      <c r="M1215" t="s">
        <v>6</v>
      </c>
    </row>
    <row r="1216" spans="2:13" hidden="1">
      <c r="B1216">
        <v>1214</v>
      </c>
      <c r="C1216">
        <v>117</v>
      </c>
      <c r="D1216">
        <v>16</v>
      </c>
      <c r="E1216">
        <v>3</v>
      </c>
      <c r="F1216">
        <v>0</v>
      </c>
      <c r="G1216" t="s">
        <v>917</v>
      </c>
      <c r="H1216" t="s">
        <v>918</v>
      </c>
      <c r="I1216" t="s">
        <v>940</v>
      </c>
      <c r="J1216" t="s">
        <v>214</v>
      </c>
      <c r="K1216" t="s">
        <v>922</v>
      </c>
      <c r="M1216" t="s">
        <v>6</v>
      </c>
    </row>
    <row r="1217" spans="2:13" hidden="1">
      <c r="B1217">
        <v>1215</v>
      </c>
      <c r="C1217">
        <v>117</v>
      </c>
      <c r="D1217">
        <v>16</v>
      </c>
      <c r="E1217">
        <v>4</v>
      </c>
      <c r="F1217">
        <v>0</v>
      </c>
      <c r="G1217" t="s">
        <v>917</v>
      </c>
      <c r="H1217" t="s">
        <v>918</v>
      </c>
      <c r="I1217" t="s">
        <v>940</v>
      </c>
      <c r="J1217" t="s">
        <v>214</v>
      </c>
      <c r="K1217" t="s">
        <v>923</v>
      </c>
      <c r="M1217" t="s">
        <v>6</v>
      </c>
    </row>
    <row r="1218" spans="2:13" hidden="1">
      <c r="B1218">
        <v>1216</v>
      </c>
      <c r="C1218">
        <v>117</v>
      </c>
      <c r="D1218">
        <v>16</v>
      </c>
      <c r="E1218">
        <v>5</v>
      </c>
      <c r="F1218">
        <v>0</v>
      </c>
      <c r="G1218" t="s">
        <v>917</v>
      </c>
      <c r="H1218" t="s">
        <v>918</v>
      </c>
      <c r="I1218" t="s">
        <v>940</v>
      </c>
      <c r="J1218" t="s">
        <v>214</v>
      </c>
      <c r="K1218" t="s">
        <v>924</v>
      </c>
      <c r="M1218" t="s">
        <v>6</v>
      </c>
    </row>
    <row r="1219" spans="2:13" hidden="1">
      <c r="B1219">
        <v>1217</v>
      </c>
      <c r="C1219">
        <v>117</v>
      </c>
      <c r="D1219">
        <v>16</v>
      </c>
      <c r="E1219">
        <v>6</v>
      </c>
      <c r="F1219">
        <v>0</v>
      </c>
      <c r="G1219" t="s">
        <v>917</v>
      </c>
      <c r="H1219" t="s">
        <v>918</v>
      </c>
      <c r="I1219" t="s">
        <v>940</v>
      </c>
      <c r="J1219" t="s">
        <v>214</v>
      </c>
      <c r="K1219" t="s">
        <v>925</v>
      </c>
      <c r="M1219" t="s">
        <v>6</v>
      </c>
    </row>
    <row r="1220" spans="2:13" hidden="1">
      <c r="B1220">
        <v>1218</v>
      </c>
      <c r="C1220">
        <v>117</v>
      </c>
      <c r="D1220">
        <v>16</v>
      </c>
      <c r="E1220">
        <v>7</v>
      </c>
      <c r="F1220">
        <v>0</v>
      </c>
      <c r="G1220" t="s">
        <v>917</v>
      </c>
      <c r="H1220" t="s">
        <v>918</v>
      </c>
      <c r="I1220" t="s">
        <v>940</v>
      </c>
      <c r="J1220" t="s">
        <v>214</v>
      </c>
      <c r="K1220" t="s">
        <v>943</v>
      </c>
      <c r="M1220" t="s">
        <v>6</v>
      </c>
    </row>
    <row r="1221" spans="2:13" hidden="1">
      <c r="B1221">
        <v>1219</v>
      </c>
      <c r="C1221">
        <v>117</v>
      </c>
      <c r="D1221">
        <v>16</v>
      </c>
      <c r="E1221">
        <v>8</v>
      </c>
      <c r="F1221">
        <v>0</v>
      </c>
      <c r="G1221" t="s">
        <v>917</v>
      </c>
      <c r="H1221" t="s">
        <v>918</v>
      </c>
      <c r="I1221" t="s">
        <v>940</v>
      </c>
      <c r="J1221" t="s">
        <v>214</v>
      </c>
      <c r="K1221" t="s">
        <v>927</v>
      </c>
      <c r="M1221" t="s">
        <v>6</v>
      </c>
    </row>
    <row r="1222" spans="2:13" hidden="1">
      <c r="B1222">
        <v>1220</v>
      </c>
      <c r="C1222">
        <v>117</v>
      </c>
      <c r="D1222">
        <v>16</v>
      </c>
      <c r="E1222">
        <v>9</v>
      </c>
      <c r="F1222">
        <v>0</v>
      </c>
      <c r="G1222" t="s">
        <v>917</v>
      </c>
      <c r="H1222" t="s">
        <v>918</v>
      </c>
      <c r="I1222" t="s">
        <v>940</v>
      </c>
      <c r="J1222" t="s">
        <v>437</v>
      </c>
      <c r="K1222" t="s">
        <v>571</v>
      </c>
      <c r="L1222" t="s">
        <v>944</v>
      </c>
      <c r="M1222" t="s">
        <v>6</v>
      </c>
    </row>
    <row r="1223" spans="2:13" hidden="1">
      <c r="B1223">
        <v>1221</v>
      </c>
      <c r="C1223">
        <v>117</v>
      </c>
      <c r="D1223">
        <v>16</v>
      </c>
      <c r="E1223">
        <v>10</v>
      </c>
      <c r="F1223">
        <v>0</v>
      </c>
      <c r="G1223" t="s">
        <v>917</v>
      </c>
      <c r="H1223" t="s">
        <v>918</v>
      </c>
      <c r="I1223" t="s">
        <v>940</v>
      </c>
      <c r="J1223" t="s">
        <v>55</v>
      </c>
      <c r="K1223" t="s">
        <v>945</v>
      </c>
      <c r="M1223" t="s">
        <v>6</v>
      </c>
    </row>
    <row r="1224" spans="2:13" hidden="1">
      <c r="B1224">
        <v>1222</v>
      </c>
      <c r="C1224">
        <v>117</v>
      </c>
      <c r="D1224">
        <v>16</v>
      </c>
      <c r="E1224">
        <v>11</v>
      </c>
      <c r="F1224">
        <v>0</v>
      </c>
      <c r="G1224" t="s">
        <v>917</v>
      </c>
      <c r="H1224" t="s">
        <v>918</v>
      </c>
      <c r="I1224" t="s">
        <v>940</v>
      </c>
      <c r="J1224" t="s">
        <v>55</v>
      </c>
      <c r="K1224" t="s">
        <v>946</v>
      </c>
      <c r="M1224" t="s">
        <v>6</v>
      </c>
    </row>
    <row r="1225" spans="2:13" hidden="1">
      <c r="B1225">
        <v>1223</v>
      </c>
      <c r="C1225">
        <v>117</v>
      </c>
      <c r="D1225">
        <v>16</v>
      </c>
      <c r="E1225">
        <v>12</v>
      </c>
      <c r="F1225">
        <v>0</v>
      </c>
      <c r="G1225" t="s">
        <v>917</v>
      </c>
      <c r="H1225" t="s">
        <v>918</v>
      </c>
      <c r="I1225" t="s">
        <v>940</v>
      </c>
      <c r="J1225" t="s">
        <v>420</v>
      </c>
      <c r="K1225" t="s">
        <v>947</v>
      </c>
      <c r="M1225" t="s">
        <v>6</v>
      </c>
    </row>
    <row r="1226" spans="2:13" hidden="1">
      <c r="B1226">
        <v>1224</v>
      </c>
      <c r="C1226">
        <v>117</v>
      </c>
      <c r="D1226">
        <v>16</v>
      </c>
      <c r="E1226">
        <v>13</v>
      </c>
      <c r="F1226">
        <v>0</v>
      </c>
      <c r="G1226" t="s">
        <v>917</v>
      </c>
      <c r="H1226" t="s">
        <v>918</v>
      </c>
      <c r="I1226" t="s">
        <v>940</v>
      </c>
      <c r="J1226" t="s">
        <v>420</v>
      </c>
      <c r="K1226" t="s">
        <v>948</v>
      </c>
      <c r="M1226" t="s">
        <v>6</v>
      </c>
    </row>
    <row r="1227" spans="2:13" hidden="1">
      <c r="B1227">
        <v>1225</v>
      </c>
      <c r="C1227">
        <v>117</v>
      </c>
      <c r="D1227">
        <v>16</v>
      </c>
      <c r="E1227">
        <v>14</v>
      </c>
      <c r="F1227">
        <v>0</v>
      </c>
      <c r="G1227" t="s">
        <v>917</v>
      </c>
      <c r="H1227" t="s">
        <v>918</v>
      </c>
      <c r="I1227" t="s">
        <v>940</v>
      </c>
      <c r="J1227" t="s">
        <v>479</v>
      </c>
      <c r="K1227" t="s">
        <v>931</v>
      </c>
      <c r="M1227" t="s">
        <v>6</v>
      </c>
    </row>
    <row r="1228" spans="2:13" hidden="1">
      <c r="B1228">
        <v>1226</v>
      </c>
      <c r="C1228">
        <v>117</v>
      </c>
      <c r="D1228">
        <v>16</v>
      </c>
      <c r="E1228">
        <v>15</v>
      </c>
      <c r="F1228">
        <v>0</v>
      </c>
      <c r="G1228" t="s">
        <v>917</v>
      </c>
      <c r="H1228" t="s">
        <v>918</v>
      </c>
      <c r="I1228" t="s">
        <v>940</v>
      </c>
      <c r="J1228" t="s">
        <v>55</v>
      </c>
      <c r="K1228" t="s">
        <v>932</v>
      </c>
      <c r="M1228" t="s">
        <v>6</v>
      </c>
    </row>
    <row r="1229" spans="2:13" hidden="1">
      <c r="B1229">
        <v>1227</v>
      </c>
      <c r="C1229">
        <v>117</v>
      </c>
      <c r="D1229">
        <v>16</v>
      </c>
      <c r="E1229">
        <v>16</v>
      </c>
      <c r="F1229">
        <v>0</v>
      </c>
      <c r="G1229" t="s">
        <v>917</v>
      </c>
      <c r="H1229" t="s">
        <v>918</v>
      </c>
      <c r="I1229" t="s">
        <v>940</v>
      </c>
      <c r="J1229" t="s">
        <v>64</v>
      </c>
      <c r="K1229" t="s">
        <v>933</v>
      </c>
      <c r="M1229" t="s">
        <v>6</v>
      </c>
    </row>
    <row r="1230" spans="2:13" hidden="1">
      <c r="B1230">
        <v>1228</v>
      </c>
      <c r="C1230">
        <v>118</v>
      </c>
      <c r="D1230">
        <v>6</v>
      </c>
      <c r="E1230">
        <v>0</v>
      </c>
      <c r="F1230">
        <v>0</v>
      </c>
      <c r="G1230" t="s">
        <v>917</v>
      </c>
      <c r="H1230" t="s">
        <v>918</v>
      </c>
      <c r="I1230" t="s">
        <v>949</v>
      </c>
      <c r="J1230" t="s">
        <v>54</v>
      </c>
      <c r="K1230" t="s">
        <v>949</v>
      </c>
      <c r="M1230" t="s">
        <v>6</v>
      </c>
    </row>
    <row r="1231" spans="2:13" hidden="1">
      <c r="B1231">
        <v>1229</v>
      </c>
      <c r="C1231">
        <v>118</v>
      </c>
      <c r="D1231">
        <v>6</v>
      </c>
      <c r="E1231">
        <v>1</v>
      </c>
      <c r="F1231">
        <v>0</v>
      </c>
      <c r="G1231" t="s">
        <v>917</v>
      </c>
      <c r="H1231" t="s">
        <v>918</v>
      </c>
      <c r="I1231" t="s">
        <v>949</v>
      </c>
      <c r="J1231" t="s">
        <v>55</v>
      </c>
      <c r="K1231" t="s">
        <v>950</v>
      </c>
      <c r="M1231" t="s">
        <v>6</v>
      </c>
    </row>
    <row r="1232" spans="2:13" hidden="1">
      <c r="B1232">
        <v>1230</v>
      </c>
      <c r="C1232">
        <v>118</v>
      </c>
      <c r="D1232">
        <v>6</v>
      </c>
      <c r="E1232">
        <v>2</v>
      </c>
      <c r="F1232">
        <v>0</v>
      </c>
      <c r="G1232" t="s">
        <v>917</v>
      </c>
      <c r="H1232" t="s">
        <v>918</v>
      </c>
      <c r="I1232" t="s">
        <v>949</v>
      </c>
      <c r="J1232" t="s">
        <v>951</v>
      </c>
      <c r="K1232" t="s">
        <v>952</v>
      </c>
      <c r="M1232" t="s">
        <v>6</v>
      </c>
    </row>
    <row r="1233" spans="2:13" hidden="1">
      <c r="B1233">
        <v>1231</v>
      </c>
      <c r="C1233">
        <v>118</v>
      </c>
      <c r="D1233">
        <v>6</v>
      </c>
      <c r="E1233">
        <v>3</v>
      </c>
      <c r="F1233">
        <v>0</v>
      </c>
      <c r="G1233" t="s">
        <v>917</v>
      </c>
      <c r="H1233" t="s">
        <v>918</v>
      </c>
      <c r="I1233" t="s">
        <v>949</v>
      </c>
      <c r="J1233" t="s">
        <v>951</v>
      </c>
      <c r="K1233" t="s">
        <v>953</v>
      </c>
      <c r="M1233" t="s">
        <v>6</v>
      </c>
    </row>
    <row r="1234" spans="2:13" hidden="1">
      <c r="B1234">
        <v>1232</v>
      </c>
      <c r="C1234">
        <v>118</v>
      </c>
      <c r="D1234">
        <v>6</v>
      </c>
      <c r="E1234">
        <v>4</v>
      </c>
      <c r="F1234">
        <v>0</v>
      </c>
      <c r="G1234" t="s">
        <v>917</v>
      </c>
      <c r="H1234" t="s">
        <v>918</v>
      </c>
      <c r="I1234" t="s">
        <v>949</v>
      </c>
      <c r="J1234" t="s">
        <v>951</v>
      </c>
      <c r="K1234" t="s">
        <v>954</v>
      </c>
      <c r="M1234" t="s">
        <v>6</v>
      </c>
    </row>
    <row r="1235" spans="2:13" hidden="1">
      <c r="B1235">
        <v>1233</v>
      </c>
      <c r="C1235">
        <v>118</v>
      </c>
      <c r="D1235">
        <v>6</v>
      </c>
      <c r="E1235">
        <v>5</v>
      </c>
      <c r="F1235">
        <v>0</v>
      </c>
      <c r="G1235" t="s">
        <v>917</v>
      </c>
      <c r="H1235" t="s">
        <v>918</v>
      </c>
      <c r="I1235" t="s">
        <v>949</v>
      </c>
      <c r="J1235" t="s">
        <v>951</v>
      </c>
      <c r="K1235" t="s">
        <v>955</v>
      </c>
      <c r="M1235" t="s">
        <v>6</v>
      </c>
    </row>
    <row r="1236" spans="2:13" hidden="1">
      <c r="B1236">
        <v>1234</v>
      </c>
      <c r="C1236">
        <v>118</v>
      </c>
      <c r="D1236">
        <v>6</v>
      </c>
      <c r="E1236">
        <v>6</v>
      </c>
      <c r="F1236">
        <v>0</v>
      </c>
      <c r="G1236" t="s">
        <v>917</v>
      </c>
      <c r="H1236" t="s">
        <v>918</v>
      </c>
      <c r="I1236" t="s">
        <v>949</v>
      </c>
      <c r="J1236" t="s">
        <v>55</v>
      </c>
      <c r="K1236" t="s">
        <v>956</v>
      </c>
      <c r="M1236" t="s">
        <v>6</v>
      </c>
    </row>
    <row r="1237" spans="2:13" hidden="1">
      <c r="B1237">
        <v>1235</v>
      </c>
      <c r="C1237">
        <v>119</v>
      </c>
      <c r="D1237">
        <v>17</v>
      </c>
      <c r="E1237">
        <v>0</v>
      </c>
      <c r="F1237">
        <v>0</v>
      </c>
      <c r="G1237" t="s">
        <v>917</v>
      </c>
      <c r="H1237" t="s">
        <v>918</v>
      </c>
      <c r="I1237" t="s">
        <v>957</v>
      </c>
      <c r="J1237" t="s">
        <v>478</v>
      </c>
      <c r="K1237" t="s">
        <v>957</v>
      </c>
      <c r="M1237" t="s">
        <v>6</v>
      </c>
    </row>
    <row r="1238" spans="2:13" hidden="1">
      <c r="B1238">
        <v>1236</v>
      </c>
      <c r="C1238">
        <v>119</v>
      </c>
      <c r="D1238">
        <v>17</v>
      </c>
      <c r="E1238">
        <v>1</v>
      </c>
      <c r="F1238">
        <v>0</v>
      </c>
      <c r="G1238" t="s">
        <v>917</v>
      </c>
      <c r="H1238" t="s">
        <v>918</v>
      </c>
      <c r="I1238" t="s">
        <v>957</v>
      </c>
      <c r="J1238" t="s">
        <v>479</v>
      </c>
      <c r="K1238" t="s">
        <v>958</v>
      </c>
      <c r="M1238" t="s">
        <v>6</v>
      </c>
    </row>
    <row r="1239" spans="2:13" hidden="1">
      <c r="B1239">
        <v>1237</v>
      </c>
      <c r="C1239">
        <v>119</v>
      </c>
      <c r="D1239">
        <v>17</v>
      </c>
      <c r="E1239">
        <v>2</v>
      </c>
      <c r="F1239">
        <v>0</v>
      </c>
      <c r="G1239" t="s">
        <v>917</v>
      </c>
      <c r="H1239" t="s">
        <v>918</v>
      </c>
      <c r="I1239" t="s">
        <v>957</v>
      </c>
      <c r="J1239" t="s">
        <v>55</v>
      </c>
      <c r="K1239" t="s">
        <v>959</v>
      </c>
      <c r="M1239" t="s">
        <v>6</v>
      </c>
    </row>
    <row r="1240" spans="2:13" hidden="1">
      <c r="B1240">
        <v>1238</v>
      </c>
      <c r="C1240">
        <v>119</v>
      </c>
      <c r="D1240">
        <v>17</v>
      </c>
      <c r="E1240">
        <v>3</v>
      </c>
      <c r="F1240">
        <v>0</v>
      </c>
      <c r="G1240" t="s">
        <v>917</v>
      </c>
      <c r="H1240" t="s">
        <v>918</v>
      </c>
      <c r="I1240" t="s">
        <v>957</v>
      </c>
      <c r="J1240" t="s">
        <v>214</v>
      </c>
      <c r="K1240" t="s">
        <v>960</v>
      </c>
      <c r="M1240" t="s">
        <v>6</v>
      </c>
    </row>
    <row r="1241" spans="2:13" hidden="1">
      <c r="B1241">
        <v>1239</v>
      </c>
      <c r="C1241">
        <v>119</v>
      </c>
      <c r="D1241">
        <v>17</v>
      </c>
      <c r="E1241">
        <v>4</v>
      </c>
      <c r="F1241">
        <v>0</v>
      </c>
      <c r="G1241" t="s">
        <v>917</v>
      </c>
      <c r="H1241" t="s">
        <v>918</v>
      </c>
      <c r="I1241" t="s">
        <v>957</v>
      </c>
      <c r="J1241" t="s">
        <v>214</v>
      </c>
      <c r="K1241" t="s">
        <v>961</v>
      </c>
      <c r="M1241" t="s">
        <v>6</v>
      </c>
    </row>
    <row r="1242" spans="2:13" hidden="1">
      <c r="B1242">
        <v>1240</v>
      </c>
      <c r="C1242">
        <v>119</v>
      </c>
      <c r="D1242">
        <v>17</v>
      </c>
      <c r="E1242">
        <v>5</v>
      </c>
      <c r="F1242">
        <v>0</v>
      </c>
      <c r="G1242" t="s">
        <v>917</v>
      </c>
      <c r="H1242" t="s">
        <v>918</v>
      </c>
      <c r="I1242" t="s">
        <v>957</v>
      </c>
      <c r="J1242" t="s">
        <v>214</v>
      </c>
      <c r="K1242" t="s">
        <v>962</v>
      </c>
      <c r="M1242" t="s">
        <v>6</v>
      </c>
    </row>
    <row r="1243" spans="2:13" hidden="1">
      <c r="B1243">
        <v>1241</v>
      </c>
      <c r="C1243">
        <v>119</v>
      </c>
      <c r="D1243">
        <v>17</v>
      </c>
      <c r="E1243">
        <v>6</v>
      </c>
      <c r="F1243">
        <v>0</v>
      </c>
      <c r="G1243" t="s">
        <v>917</v>
      </c>
      <c r="H1243" t="s">
        <v>918</v>
      </c>
      <c r="I1243" t="s">
        <v>957</v>
      </c>
      <c r="J1243" t="s">
        <v>214</v>
      </c>
      <c r="K1243" t="s">
        <v>963</v>
      </c>
      <c r="M1243" t="s">
        <v>6</v>
      </c>
    </row>
    <row r="1244" spans="2:13" hidden="1">
      <c r="B1244">
        <v>1242</v>
      </c>
      <c r="C1244">
        <v>119</v>
      </c>
      <c r="D1244">
        <v>17</v>
      </c>
      <c r="E1244">
        <v>7</v>
      </c>
      <c r="F1244">
        <v>0</v>
      </c>
      <c r="G1244" t="s">
        <v>917</v>
      </c>
      <c r="H1244" t="s">
        <v>918</v>
      </c>
      <c r="I1244" t="s">
        <v>957</v>
      </c>
      <c r="J1244" t="s">
        <v>214</v>
      </c>
      <c r="K1244" t="s">
        <v>964</v>
      </c>
      <c r="M1244" t="s">
        <v>6</v>
      </c>
    </row>
    <row r="1245" spans="2:13" hidden="1">
      <c r="B1245">
        <v>1243</v>
      </c>
      <c r="C1245">
        <v>119</v>
      </c>
      <c r="D1245">
        <v>17</v>
      </c>
      <c r="E1245">
        <v>8</v>
      </c>
      <c r="F1245">
        <v>0</v>
      </c>
      <c r="G1245" t="s">
        <v>917</v>
      </c>
      <c r="H1245" t="s">
        <v>918</v>
      </c>
      <c r="I1245" t="s">
        <v>957</v>
      </c>
      <c r="J1245" t="s">
        <v>437</v>
      </c>
      <c r="K1245" t="s">
        <v>965</v>
      </c>
      <c r="L1245" t="s">
        <v>510</v>
      </c>
      <c r="M1245" t="s">
        <v>6</v>
      </c>
    </row>
    <row r="1246" spans="2:13" hidden="1">
      <c r="B1246">
        <v>1244</v>
      </c>
      <c r="C1246">
        <v>119</v>
      </c>
      <c r="D1246">
        <v>17</v>
      </c>
      <c r="E1246">
        <v>9</v>
      </c>
      <c r="F1246">
        <v>0</v>
      </c>
      <c r="G1246" t="s">
        <v>917</v>
      </c>
      <c r="H1246" t="s">
        <v>918</v>
      </c>
      <c r="I1246" t="s">
        <v>957</v>
      </c>
      <c r="J1246" t="s">
        <v>420</v>
      </c>
      <c r="K1246" t="s">
        <v>966</v>
      </c>
      <c r="M1246" t="s">
        <v>6</v>
      </c>
    </row>
    <row r="1247" spans="2:13" hidden="1">
      <c r="B1247">
        <v>1245</v>
      </c>
      <c r="C1247">
        <v>119</v>
      </c>
      <c r="D1247">
        <v>17</v>
      </c>
      <c r="E1247">
        <v>10</v>
      </c>
      <c r="F1247">
        <v>0</v>
      </c>
      <c r="G1247" t="s">
        <v>917</v>
      </c>
      <c r="H1247" t="s">
        <v>918</v>
      </c>
      <c r="I1247" t="s">
        <v>957</v>
      </c>
      <c r="J1247" t="s">
        <v>420</v>
      </c>
      <c r="K1247" t="s">
        <v>967</v>
      </c>
      <c r="M1247" t="s">
        <v>6</v>
      </c>
    </row>
    <row r="1248" spans="2:13" hidden="1">
      <c r="B1248">
        <v>1246</v>
      </c>
      <c r="C1248">
        <v>119</v>
      </c>
      <c r="D1248">
        <v>17</v>
      </c>
      <c r="E1248">
        <v>11</v>
      </c>
      <c r="F1248">
        <v>0</v>
      </c>
      <c r="G1248" t="s">
        <v>917</v>
      </c>
      <c r="H1248" t="s">
        <v>918</v>
      </c>
      <c r="I1248" t="s">
        <v>957</v>
      </c>
      <c r="J1248" t="s">
        <v>479</v>
      </c>
      <c r="K1248" t="s">
        <v>968</v>
      </c>
      <c r="M1248" t="s">
        <v>6</v>
      </c>
    </row>
    <row r="1249" spans="2:13" hidden="1">
      <c r="B1249">
        <v>1247</v>
      </c>
      <c r="C1249">
        <v>119</v>
      </c>
      <c r="D1249">
        <v>17</v>
      </c>
      <c r="E1249">
        <v>12</v>
      </c>
      <c r="F1249">
        <v>0</v>
      </c>
      <c r="G1249" t="s">
        <v>917</v>
      </c>
      <c r="H1249" t="s">
        <v>918</v>
      </c>
      <c r="I1249" t="s">
        <v>957</v>
      </c>
      <c r="J1249" t="s">
        <v>55</v>
      </c>
      <c r="K1249" t="s">
        <v>969</v>
      </c>
      <c r="M1249" t="s">
        <v>6</v>
      </c>
    </row>
    <row r="1250" spans="2:13" hidden="1">
      <c r="B1250">
        <v>1248</v>
      </c>
      <c r="C1250">
        <v>119</v>
      </c>
      <c r="D1250">
        <v>17</v>
      </c>
      <c r="E1250">
        <v>13</v>
      </c>
      <c r="F1250">
        <v>0</v>
      </c>
      <c r="G1250" t="s">
        <v>917</v>
      </c>
      <c r="H1250" t="s">
        <v>918</v>
      </c>
      <c r="I1250" t="s">
        <v>957</v>
      </c>
      <c r="J1250" t="s">
        <v>55</v>
      </c>
      <c r="K1250" t="s">
        <v>930</v>
      </c>
      <c r="M1250" t="s">
        <v>6</v>
      </c>
    </row>
    <row r="1251" spans="2:13" hidden="1">
      <c r="B1251">
        <v>1249</v>
      </c>
      <c r="C1251">
        <v>119</v>
      </c>
      <c r="D1251">
        <v>17</v>
      </c>
      <c r="E1251">
        <v>14</v>
      </c>
      <c r="F1251">
        <v>0</v>
      </c>
      <c r="G1251" t="s">
        <v>917</v>
      </c>
      <c r="H1251" t="s">
        <v>918</v>
      </c>
      <c r="I1251" t="s">
        <v>957</v>
      </c>
      <c r="J1251" t="s">
        <v>479</v>
      </c>
      <c r="K1251" t="s">
        <v>970</v>
      </c>
      <c r="M1251" t="s">
        <v>6</v>
      </c>
    </row>
    <row r="1252" spans="2:13" hidden="1">
      <c r="B1252">
        <v>1250</v>
      </c>
      <c r="C1252">
        <v>119</v>
      </c>
      <c r="D1252">
        <v>17</v>
      </c>
      <c r="E1252">
        <v>15</v>
      </c>
      <c r="F1252">
        <v>0</v>
      </c>
      <c r="G1252" t="s">
        <v>917</v>
      </c>
      <c r="H1252" t="s">
        <v>918</v>
      </c>
      <c r="I1252" t="s">
        <v>957</v>
      </c>
      <c r="J1252" t="s">
        <v>55</v>
      </c>
      <c r="K1252" t="s">
        <v>971</v>
      </c>
      <c r="M1252" t="s">
        <v>6</v>
      </c>
    </row>
    <row r="1253" spans="2:13" hidden="1">
      <c r="B1253">
        <v>1251</v>
      </c>
      <c r="C1253">
        <v>119</v>
      </c>
      <c r="D1253">
        <v>17</v>
      </c>
      <c r="E1253">
        <v>16</v>
      </c>
      <c r="F1253">
        <v>0</v>
      </c>
      <c r="G1253" t="s">
        <v>917</v>
      </c>
      <c r="H1253" t="s">
        <v>918</v>
      </c>
      <c r="I1253" t="s">
        <v>957</v>
      </c>
      <c r="J1253" t="s">
        <v>64</v>
      </c>
      <c r="K1253" t="s">
        <v>972</v>
      </c>
      <c r="M1253" t="s">
        <v>6</v>
      </c>
    </row>
    <row r="1254" spans="2:13" hidden="1">
      <c r="B1254">
        <v>1252</v>
      </c>
      <c r="C1254">
        <v>119</v>
      </c>
      <c r="D1254">
        <v>17</v>
      </c>
      <c r="E1254">
        <v>17</v>
      </c>
      <c r="F1254">
        <v>0</v>
      </c>
      <c r="G1254" t="s">
        <v>917</v>
      </c>
      <c r="H1254" t="s">
        <v>918</v>
      </c>
      <c r="I1254" t="s">
        <v>957</v>
      </c>
      <c r="J1254" t="s">
        <v>214</v>
      </c>
      <c r="K1254" t="s">
        <v>931</v>
      </c>
      <c r="M1254" t="s">
        <v>6</v>
      </c>
    </row>
    <row r="1255" spans="2:13" hidden="1">
      <c r="B1255">
        <v>1253</v>
      </c>
      <c r="C1255">
        <v>120</v>
      </c>
      <c r="D1255">
        <v>5</v>
      </c>
      <c r="E1255">
        <v>0</v>
      </c>
      <c r="F1255">
        <v>0</v>
      </c>
      <c r="G1255" t="s">
        <v>917</v>
      </c>
      <c r="H1255" t="s">
        <v>918</v>
      </c>
      <c r="I1255" t="s">
        <v>973</v>
      </c>
      <c r="J1255" t="s">
        <v>54</v>
      </c>
      <c r="K1255" t="s">
        <v>973</v>
      </c>
      <c r="M1255" t="s">
        <v>6</v>
      </c>
    </row>
    <row r="1256" spans="2:13" hidden="1">
      <c r="B1256">
        <v>1254</v>
      </c>
      <c r="C1256">
        <v>120</v>
      </c>
      <c r="D1256">
        <v>5</v>
      </c>
      <c r="E1256">
        <v>1</v>
      </c>
      <c r="F1256">
        <v>0</v>
      </c>
      <c r="G1256" t="s">
        <v>917</v>
      </c>
      <c r="H1256" t="s">
        <v>918</v>
      </c>
      <c r="I1256" t="s">
        <v>973</v>
      </c>
      <c r="J1256" t="s">
        <v>55</v>
      </c>
      <c r="K1256" t="s">
        <v>974</v>
      </c>
      <c r="M1256" t="s">
        <v>6</v>
      </c>
    </row>
    <row r="1257" spans="2:13" hidden="1">
      <c r="B1257">
        <v>1255</v>
      </c>
      <c r="C1257">
        <v>120</v>
      </c>
      <c r="D1257">
        <v>5</v>
      </c>
      <c r="E1257">
        <v>2</v>
      </c>
      <c r="F1257">
        <v>0</v>
      </c>
      <c r="G1257" t="s">
        <v>917</v>
      </c>
      <c r="H1257" t="s">
        <v>918</v>
      </c>
      <c r="I1257" t="s">
        <v>973</v>
      </c>
      <c r="J1257" t="s">
        <v>214</v>
      </c>
      <c r="K1257" t="s">
        <v>936</v>
      </c>
      <c r="M1257" t="s">
        <v>6</v>
      </c>
    </row>
    <row r="1258" spans="2:13" hidden="1">
      <c r="B1258">
        <v>1256</v>
      </c>
      <c r="C1258">
        <v>120</v>
      </c>
      <c r="D1258">
        <v>5</v>
      </c>
      <c r="E1258">
        <v>3</v>
      </c>
      <c r="F1258">
        <v>0</v>
      </c>
      <c r="G1258" t="s">
        <v>917</v>
      </c>
      <c r="H1258" t="s">
        <v>918</v>
      </c>
      <c r="I1258" t="s">
        <v>973</v>
      </c>
      <c r="J1258" t="s">
        <v>214</v>
      </c>
      <c r="K1258" t="s">
        <v>975</v>
      </c>
      <c r="M1258" t="s">
        <v>6</v>
      </c>
    </row>
    <row r="1259" spans="2:13" hidden="1">
      <c r="B1259">
        <v>1257</v>
      </c>
      <c r="C1259">
        <v>120</v>
      </c>
      <c r="D1259">
        <v>5</v>
      </c>
      <c r="E1259">
        <v>4</v>
      </c>
      <c r="F1259">
        <v>0</v>
      </c>
      <c r="G1259" t="s">
        <v>917</v>
      </c>
      <c r="H1259" t="s">
        <v>918</v>
      </c>
      <c r="I1259" t="s">
        <v>973</v>
      </c>
      <c r="J1259" t="s">
        <v>214</v>
      </c>
      <c r="K1259" t="s">
        <v>938</v>
      </c>
      <c r="M1259" t="s">
        <v>6</v>
      </c>
    </row>
    <row r="1260" spans="2:13" hidden="1">
      <c r="B1260">
        <v>1258</v>
      </c>
      <c r="C1260">
        <v>120</v>
      </c>
      <c r="D1260">
        <v>5</v>
      </c>
      <c r="E1260">
        <v>5</v>
      </c>
      <c r="F1260">
        <v>0</v>
      </c>
      <c r="G1260" t="s">
        <v>917</v>
      </c>
      <c r="H1260" t="s">
        <v>918</v>
      </c>
      <c r="I1260" t="s">
        <v>973</v>
      </c>
      <c r="J1260" t="s">
        <v>64</v>
      </c>
      <c r="K1260" t="s">
        <v>976</v>
      </c>
      <c r="M1260" t="s">
        <v>6</v>
      </c>
    </row>
    <row r="1261" spans="2:13" hidden="1">
      <c r="B1261">
        <v>1259</v>
      </c>
      <c r="C1261">
        <v>121</v>
      </c>
      <c r="D1261">
        <v>19</v>
      </c>
      <c r="E1261">
        <v>0</v>
      </c>
      <c r="F1261">
        <v>0</v>
      </c>
      <c r="G1261" t="s">
        <v>917</v>
      </c>
      <c r="H1261" t="s">
        <v>918</v>
      </c>
      <c r="I1261" t="s">
        <v>977</v>
      </c>
      <c r="J1261" t="s">
        <v>478</v>
      </c>
      <c r="K1261" t="s">
        <v>977</v>
      </c>
      <c r="M1261" t="s">
        <v>6</v>
      </c>
    </row>
    <row r="1262" spans="2:13" hidden="1">
      <c r="B1262">
        <v>1260</v>
      </c>
      <c r="C1262">
        <v>121</v>
      </c>
      <c r="D1262">
        <v>19</v>
      </c>
      <c r="E1262">
        <v>1</v>
      </c>
      <c r="F1262">
        <v>0</v>
      </c>
      <c r="G1262" t="s">
        <v>917</v>
      </c>
      <c r="H1262" t="s">
        <v>918</v>
      </c>
      <c r="I1262" t="s">
        <v>977</v>
      </c>
      <c r="J1262" t="s">
        <v>479</v>
      </c>
      <c r="K1262" t="s">
        <v>920</v>
      </c>
      <c r="M1262" t="s">
        <v>6</v>
      </c>
    </row>
    <row r="1263" spans="2:13" hidden="1">
      <c r="B1263">
        <v>1261</v>
      </c>
      <c r="C1263">
        <v>121</v>
      </c>
      <c r="D1263">
        <v>19</v>
      </c>
      <c r="E1263">
        <v>2</v>
      </c>
      <c r="F1263">
        <v>0</v>
      </c>
      <c r="G1263" t="s">
        <v>917</v>
      </c>
      <c r="H1263" t="s">
        <v>918</v>
      </c>
      <c r="I1263" t="s">
        <v>977</v>
      </c>
      <c r="J1263" t="s">
        <v>722</v>
      </c>
      <c r="K1263" t="s">
        <v>978</v>
      </c>
      <c r="M1263" t="s">
        <v>6</v>
      </c>
    </row>
    <row r="1264" spans="2:13" hidden="1">
      <c r="B1264">
        <v>1262</v>
      </c>
      <c r="C1264">
        <v>121</v>
      </c>
      <c r="D1264">
        <v>19</v>
      </c>
      <c r="E1264">
        <v>3</v>
      </c>
      <c r="F1264">
        <v>0</v>
      </c>
      <c r="G1264" t="s">
        <v>917</v>
      </c>
      <c r="H1264" t="s">
        <v>918</v>
      </c>
      <c r="I1264" t="s">
        <v>977</v>
      </c>
      <c r="J1264" t="s">
        <v>214</v>
      </c>
      <c r="K1264" t="s">
        <v>979</v>
      </c>
      <c r="M1264" t="s">
        <v>6</v>
      </c>
    </row>
    <row r="1265" spans="2:13" hidden="1">
      <c r="B1265">
        <v>1263</v>
      </c>
      <c r="C1265">
        <v>121</v>
      </c>
      <c r="D1265">
        <v>19</v>
      </c>
      <c r="E1265">
        <v>4</v>
      </c>
      <c r="F1265">
        <v>0</v>
      </c>
      <c r="G1265" t="s">
        <v>917</v>
      </c>
      <c r="H1265" t="s">
        <v>918</v>
      </c>
      <c r="I1265" t="s">
        <v>977</v>
      </c>
      <c r="J1265" t="s">
        <v>214</v>
      </c>
      <c r="K1265" t="s">
        <v>980</v>
      </c>
      <c r="M1265" t="s">
        <v>6</v>
      </c>
    </row>
    <row r="1266" spans="2:13" hidden="1">
      <c r="B1266">
        <v>1264</v>
      </c>
      <c r="C1266">
        <v>121</v>
      </c>
      <c r="D1266">
        <v>19</v>
      </c>
      <c r="E1266">
        <v>5</v>
      </c>
      <c r="F1266">
        <v>0</v>
      </c>
      <c r="G1266" t="s">
        <v>917</v>
      </c>
      <c r="H1266" t="s">
        <v>918</v>
      </c>
      <c r="I1266" t="s">
        <v>977</v>
      </c>
      <c r="J1266" t="s">
        <v>214</v>
      </c>
      <c r="K1266" t="s">
        <v>981</v>
      </c>
      <c r="M1266" t="s">
        <v>6</v>
      </c>
    </row>
    <row r="1267" spans="2:13" hidden="1">
      <c r="B1267">
        <v>1265</v>
      </c>
      <c r="C1267">
        <v>121</v>
      </c>
      <c r="D1267">
        <v>19</v>
      </c>
      <c r="E1267">
        <v>6</v>
      </c>
      <c r="F1267">
        <v>0</v>
      </c>
      <c r="G1267" t="s">
        <v>917</v>
      </c>
      <c r="H1267" t="s">
        <v>918</v>
      </c>
      <c r="I1267" t="s">
        <v>977</v>
      </c>
      <c r="J1267" t="s">
        <v>214</v>
      </c>
      <c r="K1267" t="s">
        <v>982</v>
      </c>
      <c r="M1267" t="s">
        <v>6</v>
      </c>
    </row>
    <row r="1268" spans="2:13" hidden="1">
      <c r="B1268">
        <v>1266</v>
      </c>
      <c r="C1268">
        <v>121</v>
      </c>
      <c r="D1268">
        <v>19</v>
      </c>
      <c r="E1268">
        <v>7</v>
      </c>
      <c r="F1268">
        <v>0</v>
      </c>
      <c r="G1268" t="s">
        <v>917</v>
      </c>
      <c r="H1268" t="s">
        <v>918</v>
      </c>
      <c r="I1268" t="s">
        <v>977</v>
      </c>
      <c r="J1268" t="s">
        <v>214</v>
      </c>
      <c r="K1268" t="s">
        <v>983</v>
      </c>
      <c r="M1268" t="s">
        <v>6</v>
      </c>
    </row>
    <row r="1269" spans="2:13" hidden="1">
      <c r="B1269">
        <v>1267</v>
      </c>
      <c r="C1269">
        <v>121</v>
      </c>
      <c r="D1269">
        <v>19</v>
      </c>
      <c r="E1269">
        <v>8</v>
      </c>
      <c r="F1269">
        <v>0</v>
      </c>
      <c r="G1269" t="s">
        <v>917</v>
      </c>
      <c r="H1269" t="s">
        <v>918</v>
      </c>
      <c r="I1269" t="s">
        <v>977</v>
      </c>
      <c r="J1269" t="s">
        <v>214</v>
      </c>
      <c r="K1269" t="s">
        <v>984</v>
      </c>
      <c r="M1269" t="s">
        <v>6</v>
      </c>
    </row>
    <row r="1270" spans="2:13" hidden="1">
      <c r="B1270">
        <v>1268</v>
      </c>
      <c r="C1270">
        <v>121</v>
      </c>
      <c r="D1270">
        <v>19</v>
      </c>
      <c r="E1270">
        <v>9</v>
      </c>
      <c r="F1270">
        <v>0</v>
      </c>
      <c r="G1270" t="s">
        <v>917</v>
      </c>
      <c r="H1270" t="s">
        <v>918</v>
      </c>
      <c r="I1270" t="s">
        <v>977</v>
      </c>
      <c r="J1270" t="s">
        <v>214</v>
      </c>
      <c r="K1270" t="s">
        <v>985</v>
      </c>
      <c r="M1270" t="s">
        <v>6</v>
      </c>
    </row>
    <row r="1271" spans="2:13" hidden="1">
      <c r="B1271">
        <v>1269</v>
      </c>
      <c r="C1271">
        <v>121</v>
      </c>
      <c r="D1271">
        <v>19</v>
      </c>
      <c r="E1271">
        <v>10</v>
      </c>
      <c r="F1271">
        <v>0</v>
      </c>
      <c r="G1271" t="s">
        <v>917</v>
      </c>
      <c r="H1271" t="s">
        <v>918</v>
      </c>
      <c r="I1271" t="s">
        <v>977</v>
      </c>
      <c r="J1271" t="s">
        <v>55</v>
      </c>
      <c r="K1271" t="s">
        <v>969</v>
      </c>
      <c r="M1271" t="s">
        <v>6</v>
      </c>
    </row>
    <row r="1272" spans="2:13" hidden="1">
      <c r="B1272">
        <v>1270</v>
      </c>
      <c r="C1272">
        <v>121</v>
      </c>
      <c r="D1272">
        <v>19</v>
      </c>
      <c r="E1272">
        <v>11</v>
      </c>
      <c r="F1272">
        <v>0</v>
      </c>
      <c r="G1272" t="s">
        <v>917</v>
      </c>
      <c r="H1272" t="s">
        <v>918</v>
      </c>
      <c r="I1272" t="s">
        <v>977</v>
      </c>
      <c r="J1272" t="s">
        <v>214</v>
      </c>
      <c r="K1272" t="s">
        <v>986</v>
      </c>
      <c r="M1272" t="s">
        <v>6</v>
      </c>
    </row>
    <row r="1273" spans="2:13" hidden="1">
      <c r="B1273">
        <v>1271</v>
      </c>
      <c r="C1273">
        <v>121</v>
      </c>
      <c r="D1273">
        <v>19</v>
      </c>
      <c r="E1273">
        <v>12</v>
      </c>
      <c r="F1273">
        <v>0</v>
      </c>
      <c r="G1273" t="s">
        <v>917</v>
      </c>
      <c r="H1273" t="s">
        <v>918</v>
      </c>
      <c r="I1273" t="s">
        <v>977</v>
      </c>
      <c r="J1273" t="s">
        <v>214</v>
      </c>
      <c r="K1273" t="s">
        <v>987</v>
      </c>
      <c r="M1273" t="s">
        <v>6</v>
      </c>
    </row>
    <row r="1274" spans="2:13" hidden="1">
      <c r="B1274">
        <v>1272</v>
      </c>
      <c r="C1274">
        <v>121</v>
      </c>
      <c r="D1274">
        <v>19</v>
      </c>
      <c r="E1274">
        <v>13</v>
      </c>
      <c r="F1274">
        <v>0</v>
      </c>
      <c r="G1274" t="s">
        <v>917</v>
      </c>
      <c r="H1274" t="s">
        <v>918</v>
      </c>
      <c r="I1274" t="s">
        <v>977</v>
      </c>
      <c r="J1274" t="s">
        <v>55</v>
      </c>
      <c r="K1274" t="s">
        <v>988</v>
      </c>
      <c r="M1274" t="s">
        <v>6</v>
      </c>
    </row>
    <row r="1275" spans="2:13" hidden="1">
      <c r="B1275">
        <v>1273</v>
      </c>
      <c r="C1275">
        <v>121</v>
      </c>
      <c r="D1275">
        <v>19</v>
      </c>
      <c r="E1275">
        <v>14</v>
      </c>
      <c r="F1275">
        <v>0</v>
      </c>
      <c r="G1275" t="s">
        <v>917</v>
      </c>
      <c r="H1275" t="s">
        <v>918</v>
      </c>
      <c r="I1275" t="s">
        <v>977</v>
      </c>
      <c r="J1275" t="s">
        <v>479</v>
      </c>
      <c r="K1275" t="s">
        <v>970</v>
      </c>
      <c r="M1275" t="s">
        <v>6</v>
      </c>
    </row>
    <row r="1276" spans="2:13" hidden="1">
      <c r="B1276">
        <v>1274</v>
      </c>
      <c r="C1276">
        <v>121</v>
      </c>
      <c r="D1276">
        <v>19</v>
      </c>
      <c r="E1276">
        <v>15</v>
      </c>
      <c r="F1276">
        <v>0</v>
      </c>
      <c r="G1276" t="s">
        <v>917</v>
      </c>
      <c r="H1276" t="s">
        <v>918</v>
      </c>
      <c r="I1276" t="s">
        <v>977</v>
      </c>
      <c r="J1276" t="s">
        <v>55</v>
      </c>
      <c r="K1276" t="s">
        <v>989</v>
      </c>
      <c r="M1276" t="s">
        <v>6</v>
      </c>
    </row>
    <row r="1277" spans="2:13" hidden="1">
      <c r="B1277">
        <v>1275</v>
      </c>
      <c r="C1277">
        <v>121</v>
      </c>
      <c r="D1277">
        <v>19</v>
      </c>
      <c r="E1277">
        <v>16</v>
      </c>
      <c r="F1277">
        <v>0</v>
      </c>
      <c r="G1277" t="s">
        <v>917</v>
      </c>
      <c r="H1277" t="s">
        <v>918</v>
      </c>
      <c r="I1277" t="s">
        <v>977</v>
      </c>
      <c r="J1277" t="s">
        <v>990</v>
      </c>
      <c r="K1277" t="s">
        <v>991</v>
      </c>
      <c r="M1277" t="s">
        <v>6</v>
      </c>
    </row>
    <row r="1278" spans="2:13" hidden="1">
      <c r="B1278">
        <v>1276</v>
      </c>
      <c r="C1278">
        <v>121</v>
      </c>
      <c r="D1278">
        <v>19</v>
      </c>
      <c r="E1278">
        <v>17</v>
      </c>
      <c r="F1278">
        <v>0</v>
      </c>
      <c r="G1278" t="s">
        <v>917</v>
      </c>
      <c r="H1278" t="s">
        <v>918</v>
      </c>
      <c r="I1278" t="s">
        <v>977</v>
      </c>
      <c r="J1278" t="s">
        <v>951</v>
      </c>
      <c r="K1278" t="s">
        <v>992</v>
      </c>
      <c r="M1278" t="s">
        <v>6</v>
      </c>
    </row>
    <row r="1279" spans="2:13" hidden="1">
      <c r="B1279">
        <v>1277</v>
      </c>
      <c r="C1279">
        <v>121</v>
      </c>
      <c r="D1279">
        <v>19</v>
      </c>
      <c r="E1279">
        <v>18</v>
      </c>
      <c r="F1279">
        <v>0</v>
      </c>
      <c r="G1279" t="s">
        <v>917</v>
      </c>
      <c r="H1279" t="s">
        <v>918</v>
      </c>
      <c r="I1279" t="s">
        <v>977</v>
      </c>
      <c r="J1279" t="s">
        <v>214</v>
      </c>
      <c r="K1279" t="s">
        <v>993</v>
      </c>
      <c r="M1279" t="s">
        <v>6</v>
      </c>
    </row>
    <row r="1280" spans="2:13" hidden="1">
      <c r="B1280">
        <v>1278</v>
      </c>
      <c r="C1280">
        <v>121</v>
      </c>
      <c r="D1280">
        <v>19</v>
      </c>
      <c r="E1280">
        <v>19</v>
      </c>
      <c r="F1280">
        <v>0</v>
      </c>
      <c r="G1280" t="s">
        <v>917</v>
      </c>
      <c r="H1280" t="s">
        <v>918</v>
      </c>
      <c r="I1280" t="s">
        <v>977</v>
      </c>
      <c r="J1280" t="s">
        <v>994</v>
      </c>
      <c r="K1280" t="s">
        <v>422</v>
      </c>
      <c r="M1280" t="s">
        <v>6</v>
      </c>
    </row>
    <row r="1281" spans="2:13" hidden="1">
      <c r="B1281">
        <v>1279</v>
      </c>
      <c r="C1281">
        <v>122</v>
      </c>
      <c r="D1281">
        <v>32</v>
      </c>
      <c r="E1281">
        <v>0</v>
      </c>
      <c r="F1281">
        <v>0</v>
      </c>
      <c r="G1281" t="s">
        <v>917</v>
      </c>
      <c r="H1281" t="s">
        <v>918</v>
      </c>
      <c r="I1281" t="s">
        <v>995</v>
      </c>
      <c r="J1281" t="s">
        <v>478</v>
      </c>
      <c r="K1281" t="s">
        <v>995</v>
      </c>
      <c r="M1281" t="s">
        <v>6</v>
      </c>
    </row>
    <row r="1282" spans="2:13" hidden="1">
      <c r="B1282">
        <v>1280</v>
      </c>
      <c r="C1282">
        <v>122</v>
      </c>
      <c r="D1282">
        <v>32</v>
      </c>
      <c r="E1282">
        <v>1</v>
      </c>
      <c r="F1282">
        <v>0</v>
      </c>
      <c r="G1282" t="s">
        <v>917</v>
      </c>
      <c r="H1282" t="s">
        <v>918</v>
      </c>
      <c r="I1282" t="s">
        <v>995</v>
      </c>
      <c r="J1282" t="s">
        <v>479</v>
      </c>
      <c r="K1282" t="s">
        <v>920</v>
      </c>
      <c r="M1282" t="s">
        <v>6</v>
      </c>
    </row>
    <row r="1283" spans="2:13" hidden="1">
      <c r="B1283">
        <v>1281</v>
      </c>
      <c r="C1283">
        <v>122</v>
      </c>
      <c r="D1283">
        <v>32</v>
      </c>
      <c r="E1283">
        <v>2</v>
      </c>
      <c r="F1283">
        <v>0</v>
      </c>
      <c r="G1283" t="s">
        <v>917</v>
      </c>
      <c r="H1283" t="s">
        <v>918</v>
      </c>
      <c r="I1283" t="s">
        <v>995</v>
      </c>
      <c r="J1283" t="s">
        <v>55</v>
      </c>
      <c r="K1283" t="s">
        <v>996</v>
      </c>
      <c r="M1283" t="s">
        <v>6</v>
      </c>
    </row>
    <row r="1284" spans="2:13" hidden="1">
      <c r="B1284">
        <v>1282</v>
      </c>
      <c r="C1284">
        <v>122</v>
      </c>
      <c r="D1284">
        <v>32</v>
      </c>
      <c r="E1284">
        <v>3</v>
      </c>
      <c r="F1284">
        <v>0</v>
      </c>
      <c r="G1284" t="s">
        <v>917</v>
      </c>
      <c r="H1284" t="s">
        <v>918</v>
      </c>
      <c r="I1284" t="s">
        <v>995</v>
      </c>
      <c r="J1284" t="s">
        <v>214</v>
      </c>
      <c r="K1284" t="s">
        <v>997</v>
      </c>
      <c r="M1284" t="s">
        <v>6</v>
      </c>
    </row>
    <row r="1285" spans="2:13" hidden="1">
      <c r="B1285">
        <v>1283</v>
      </c>
      <c r="C1285">
        <v>122</v>
      </c>
      <c r="D1285">
        <v>32</v>
      </c>
      <c r="E1285">
        <v>4</v>
      </c>
      <c r="F1285">
        <v>0</v>
      </c>
      <c r="G1285" t="s">
        <v>917</v>
      </c>
      <c r="H1285" t="s">
        <v>918</v>
      </c>
      <c r="I1285" t="s">
        <v>995</v>
      </c>
      <c r="J1285" t="s">
        <v>214</v>
      </c>
      <c r="K1285" t="s">
        <v>998</v>
      </c>
      <c r="M1285" t="s">
        <v>6</v>
      </c>
    </row>
    <row r="1286" spans="2:13" hidden="1">
      <c r="B1286">
        <v>1284</v>
      </c>
      <c r="C1286">
        <v>122</v>
      </c>
      <c r="D1286">
        <v>32</v>
      </c>
      <c r="E1286">
        <v>5</v>
      </c>
      <c r="F1286">
        <v>0</v>
      </c>
      <c r="G1286" t="s">
        <v>917</v>
      </c>
      <c r="H1286" t="s">
        <v>918</v>
      </c>
      <c r="I1286" t="s">
        <v>995</v>
      </c>
      <c r="J1286" t="s">
        <v>214</v>
      </c>
      <c r="K1286" t="s">
        <v>571</v>
      </c>
      <c r="M1286" t="s">
        <v>6</v>
      </c>
    </row>
    <row r="1287" spans="2:13" hidden="1">
      <c r="B1287">
        <v>1285</v>
      </c>
      <c r="C1287">
        <v>122</v>
      </c>
      <c r="D1287">
        <v>32</v>
      </c>
      <c r="E1287">
        <v>6</v>
      </c>
      <c r="F1287">
        <v>0</v>
      </c>
      <c r="G1287" t="s">
        <v>917</v>
      </c>
      <c r="H1287" t="s">
        <v>918</v>
      </c>
      <c r="I1287" t="s">
        <v>995</v>
      </c>
      <c r="J1287" t="s">
        <v>214</v>
      </c>
      <c r="K1287" t="s">
        <v>999</v>
      </c>
      <c r="M1287" t="s">
        <v>6</v>
      </c>
    </row>
    <row r="1288" spans="2:13" hidden="1">
      <c r="B1288">
        <v>1286</v>
      </c>
      <c r="C1288">
        <v>122</v>
      </c>
      <c r="D1288">
        <v>32</v>
      </c>
      <c r="E1288">
        <v>7</v>
      </c>
      <c r="F1288">
        <v>0</v>
      </c>
      <c r="G1288" t="s">
        <v>917</v>
      </c>
      <c r="H1288" t="s">
        <v>918</v>
      </c>
      <c r="I1288" t="s">
        <v>995</v>
      </c>
      <c r="J1288" t="s">
        <v>214</v>
      </c>
      <c r="K1288" t="s">
        <v>1000</v>
      </c>
      <c r="M1288" t="s">
        <v>6</v>
      </c>
    </row>
    <row r="1289" spans="2:13" hidden="1">
      <c r="B1289">
        <v>1287</v>
      </c>
      <c r="C1289">
        <v>122</v>
      </c>
      <c r="D1289">
        <v>32</v>
      </c>
      <c r="E1289">
        <v>8</v>
      </c>
      <c r="F1289">
        <v>0</v>
      </c>
      <c r="G1289" t="s">
        <v>917</v>
      </c>
      <c r="H1289" t="s">
        <v>918</v>
      </c>
      <c r="I1289" t="s">
        <v>995</v>
      </c>
      <c r="J1289" t="s">
        <v>214</v>
      </c>
      <c r="K1289" t="s">
        <v>1001</v>
      </c>
      <c r="M1289" t="s">
        <v>6</v>
      </c>
    </row>
    <row r="1290" spans="2:13" hidden="1">
      <c r="B1290">
        <v>1288</v>
      </c>
      <c r="C1290">
        <v>122</v>
      </c>
      <c r="D1290">
        <v>32</v>
      </c>
      <c r="E1290">
        <v>9</v>
      </c>
      <c r="F1290">
        <v>0</v>
      </c>
      <c r="G1290" t="s">
        <v>917</v>
      </c>
      <c r="H1290" t="s">
        <v>918</v>
      </c>
      <c r="I1290" t="s">
        <v>995</v>
      </c>
      <c r="J1290" t="s">
        <v>214</v>
      </c>
      <c r="K1290" t="s">
        <v>1002</v>
      </c>
      <c r="M1290" t="s">
        <v>6</v>
      </c>
    </row>
    <row r="1291" spans="2:13" hidden="1">
      <c r="B1291">
        <v>1289</v>
      </c>
      <c r="C1291">
        <v>122</v>
      </c>
      <c r="D1291">
        <v>32</v>
      </c>
      <c r="E1291">
        <v>10</v>
      </c>
      <c r="F1291">
        <v>0</v>
      </c>
      <c r="G1291" t="s">
        <v>917</v>
      </c>
      <c r="H1291" t="s">
        <v>918</v>
      </c>
      <c r="I1291" t="s">
        <v>995</v>
      </c>
      <c r="J1291" t="s">
        <v>214</v>
      </c>
      <c r="K1291" t="s">
        <v>1003</v>
      </c>
      <c r="M1291" t="s">
        <v>6</v>
      </c>
    </row>
    <row r="1292" spans="2:13" hidden="1">
      <c r="B1292">
        <v>1290</v>
      </c>
      <c r="C1292">
        <v>122</v>
      </c>
      <c r="D1292">
        <v>32</v>
      </c>
      <c r="E1292">
        <v>11</v>
      </c>
      <c r="F1292">
        <v>0</v>
      </c>
      <c r="G1292" t="s">
        <v>917</v>
      </c>
      <c r="H1292" t="s">
        <v>918</v>
      </c>
      <c r="I1292" t="s">
        <v>995</v>
      </c>
      <c r="J1292" t="s">
        <v>55</v>
      </c>
      <c r="K1292" t="s">
        <v>1004</v>
      </c>
      <c r="M1292" t="s">
        <v>6</v>
      </c>
    </row>
    <row r="1293" spans="2:13" hidden="1">
      <c r="B1293">
        <v>1291</v>
      </c>
      <c r="C1293">
        <v>122</v>
      </c>
      <c r="D1293">
        <v>32</v>
      </c>
      <c r="E1293">
        <v>12</v>
      </c>
      <c r="F1293">
        <v>0</v>
      </c>
      <c r="G1293" t="s">
        <v>917</v>
      </c>
      <c r="H1293" t="s">
        <v>918</v>
      </c>
      <c r="I1293" t="s">
        <v>995</v>
      </c>
      <c r="J1293" t="s">
        <v>479</v>
      </c>
      <c r="K1293" t="s">
        <v>1005</v>
      </c>
      <c r="M1293" t="s">
        <v>6</v>
      </c>
    </row>
    <row r="1294" spans="2:13" hidden="1">
      <c r="B1294">
        <v>1292</v>
      </c>
      <c r="C1294">
        <v>122</v>
      </c>
      <c r="D1294">
        <v>32</v>
      </c>
      <c r="E1294">
        <v>13</v>
      </c>
      <c r="F1294">
        <v>0</v>
      </c>
      <c r="G1294" t="s">
        <v>917</v>
      </c>
      <c r="H1294" t="s">
        <v>918</v>
      </c>
      <c r="I1294" t="s">
        <v>995</v>
      </c>
      <c r="J1294" t="s">
        <v>55</v>
      </c>
      <c r="K1294" t="s">
        <v>1006</v>
      </c>
      <c r="M1294" t="s">
        <v>6</v>
      </c>
    </row>
    <row r="1295" spans="2:13" hidden="1">
      <c r="B1295">
        <v>1293</v>
      </c>
      <c r="C1295">
        <v>122</v>
      </c>
      <c r="D1295">
        <v>32</v>
      </c>
      <c r="E1295">
        <v>14</v>
      </c>
      <c r="F1295">
        <v>0</v>
      </c>
      <c r="G1295" t="s">
        <v>917</v>
      </c>
      <c r="H1295" t="s">
        <v>918</v>
      </c>
      <c r="I1295" t="s">
        <v>995</v>
      </c>
      <c r="J1295" t="s">
        <v>951</v>
      </c>
      <c r="K1295" t="s">
        <v>1007</v>
      </c>
      <c r="M1295" t="s">
        <v>6</v>
      </c>
    </row>
    <row r="1296" spans="2:13" hidden="1">
      <c r="B1296">
        <v>1294</v>
      </c>
      <c r="C1296">
        <v>122</v>
      </c>
      <c r="D1296">
        <v>32</v>
      </c>
      <c r="E1296">
        <v>15</v>
      </c>
      <c r="F1296">
        <v>0</v>
      </c>
      <c r="G1296" t="s">
        <v>917</v>
      </c>
      <c r="H1296" t="s">
        <v>918</v>
      </c>
      <c r="I1296" t="s">
        <v>995</v>
      </c>
      <c r="J1296" t="s">
        <v>951</v>
      </c>
      <c r="K1296" t="s">
        <v>1008</v>
      </c>
      <c r="M1296" t="s">
        <v>6</v>
      </c>
    </row>
    <row r="1297" spans="2:13" hidden="1">
      <c r="B1297">
        <v>1295</v>
      </c>
      <c r="C1297">
        <v>122</v>
      </c>
      <c r="D1297">
        <v>32</v>
      </c>
      <c r="E1297">
        <v>16</v>
      </c>
      <c r="F1297">
        <v>0</v>
      </c>
      <c r="G1297" t="s">
        <v>917</v>
      </c>
      <c r="H1297" t="s">
        <v>918</v>
      </c>
      <c r="I1297" t="s">
        <v>995</v>
      </c>
      <c r="J1297" t="s">
        <v>951</v>
      </c>
      <c r="K1297" t="s">
        <v>1009</v>
      </c>
      <c r="M1297" t="s">
        <v>6</v>
      </c>
    </row>
    <row r="1298" spans="2:13" hidden="1">
      <c r="B1298">
        <v>1296</v>
      </c>
      <c r="C1298">
        <v>122</v>
      </c>
      <c r="D1298">
        <v>32</v>
      </c>
      <c r="E1298">
        <v>17</v>
      </c>
      <c r="F1298">
        <v>0</v>
      </c>
      <c r="G1298" t="s">
        <v>917</v>
      </c>
      <c r="H1298" t="s">
        <v>918</v>
      </c>
      <c r="I1298" t="s">
        <v>995</v>
      </c>
      <c r="J1298" t="s">
        <v>214</v>
      </c>
      <c r="K1298" t="s">
        <v>1010</v>
      </c>
      <c r="M1298" t="s">
        <v>6</v>
      </c>
    </row>
    <row r="1299" spans="2:13" hidden="1">
      <c r="B1299">
        <v>1297</v>
      </c>
      <c r="C1299">
        <v>122</v>
      </c>
      <c r="D1299">
        <v>32</v>
      </c>
      <c r="E1299">
        <v>18</v>
      </c>
      <c r="F1299">
        <v>0</v>
      </c>
      <c r="G1299" t="s">
        <v>917</v>
      </c>
      <c r="H1299" t="s">
        <v>918</v>
      </c>
      <c r="I1299" t="s">
        <v>995</v>
      </c>
      <c r="J1299" t="s">
        <v>214</v>
      </c>
      <c r="K1299" t="s">
        <v>1011</v>
      </c>
      <c r="M1299" t="s">
        <v>6</v>
      </c>
    </row>
    <row r="1300" spans="2:13" hidden="1">
      <c r="B1300">
        <v>1298</v>
      </c>
      <c r="C1300">
        <v>122</v>
      </c>
      <c r="D1300">
        <v>32</v>
      </c>
      <c r="E1300">
        <v>19</v>
      </c>
      <c r="F1300">
        <v>0</v>
      </c>
      <c r="G1300" t="s">
        <v>917</v>
      </c>
      <c r="H1300" t="s">
        <v>918</v>
      </c>
      <c r="I1300" t="s">
        <v>995</v>
      </c>
      <c r="J1300" t="s">
        <v>214</v>
      </c>
      <c r="K1300" t="s">
        <v>1012</v>
      </c>
      <c r="M1300" t="s">
        <v>6</v>
      </c>
    </row>
    <row r="1301" spans="2:13" hidden="1">
      <c r="B1301">
        <v>1299</v>
      </c>
      <c r="C1301">
        <v>122</v>
      </c>
      <c r="D1301">
        <v>32</v>
      </c>
      <c r="E1301">
        <v>20</v>
      </c>
      <c r="F1301">
        <v>0</v>
      </c>
      <c r="G1301" t="s">
        <v>917</v>
      </c>
      <c r="H1301" t="s">
        <v>918</v>
      </c>
      <c r="I1301" t="s">
        <v>995</v>
      </c>
      <c r="J1301" t="s">
        <v>479</v>
      </c>
      <c r="K1301" t="s">
        <v>1013</v>
      </c>
      <c r="M1301" t="s">
        <v>6</v>
      </c>
    </row>
    <row r="1302" spans="2:13" hidden="1">
      <c r="B1302">
        <v>1300</v>
      </c>
      <c r="C1302">
        <v>122</v>
      </c>
      <c r="D1302">
        <v>32</v>
      </c>
      <c r="E1302">
        <v>21</v>
      </c>
      <c r="F1302">
        <v>0</v>
      </c>
      <c r="G1302" t="s">
        <v>917</v>
      </c>
      <c r="H1302" t="s">
        <v>918</v>
      </c>
      <c r="I1302" t="s">
        <v>995</v>
      </c>
      <c r="J1302" t="s">
        <v>55</v>
      </c>
      <c r="K1302" t="s">
        <v>921</v>
      </c>
      <c r="M1302" t="s">
        <v>6</v>
      </c>
    </row>
    <row r="1303" spans="2:13" hidden="1">
      <c r="B1303">
        <v>1301</v>
      </c>
      <c r="C1303">
        <v>122</v>
      </c>
      <c r="D1303">
        <v>32</v>
      </c>
      <c r="E1303">
        <v>22</v>
      </c>
      <c r="F1303">
        <v>0</v>
      </c>
      <c r="G1303" t="s">
        <v>917</v>
      </c>
      <c r="H1303" t="s">
        <v>918</v>
      </c>
      <c r="I1303" t="s">
        <v>995</v>
      </c>
      <c r="J1303" t="s">
        <v>214</v>
      </c>
      <c r="K1303" t="s">
        <v>1014</v>
      </c>
      <c r="M1303" t="s">
        <v>6</v>
      </c>
    </row>
    <row r="1304" spans="2:13" hidden="1">
      <c r="B1304">
        <v>1302</v>
      </c>
      <c r="C1304">
        <v>122</v>
      </c>
      <c r="D1304">
        <v>32</v>
      </c>
      <c r="E1304">
        <v>23</v>
      </c>
      <c r="F1304">
        <v>0</v>
      </c>
      <c r="G1304" t="s">
        <v>917</v>
      </c>
      <c r="H1304" t="s">
        <v>918</v>
      </c>
      <c r="I1304" t="s">
        <v>995</v>
      </c>
      <c r="J1304" t="s">
        <v>437</v>
      </c>
      <c r="K1304" t="s">
        <v>1015</v>
      </c>
      <c r="L1304" t="s">
        <v>1016</v>
      </c>
      <c r="M1304" t="s">
        <v>6</v>
      </c>
    </row>
    <row r="1305" spans="2:13" hidden="1">
      <c r="B1305">
        <v>1303</v>
      </c>
      <c r="C1305">
        <v>122</v>
      </c>
      <c r="D1305">
        <v>32</v>
      </c>
      <c r="E1305">
        <v>24</v>
      </c>
      <c r="F1305">
        <v>0</v>
      </c>
      <c r="G1305" t="s">
        <v>917</v>
      </c>
      <c r="H1305" t="s">
        <v>918</v>
      </c>
      <c r="I1305" t="s">
        <v>995</v>
      </c>
      <c r="J1305" t="s">
        <v>214</v>
      </c>
      <c r="K1305" t="s">
        <v>1017</v>
      </c>
      <c r="M1305" t="s">
        <v>6</v>
      </c>
    </row>
    <row r="1306" spans="2:13" hidden="1">
      <c r="B1306">
        <v>1304</v>
      </c>
      <c r="C1306">
        <v>122</v>
      </c>
      <c r="D1306">
        <v>32</v>
      </c>
      <c r="E1306">
        <v>25</v>
      </c>
      <c r="F1306">
        <v>0</v>
      </c>
      <c r="G1306" t="s">
        <v>917</v>
      </c>
      <c r="H1306" t="s">
        <v>918</v>
      </c>
      <c r="I1306" t="s">
        <v>995</v>
      </c>
      <c r="J1306" t="s">
        <v>214</v>
      </c>
      <c r="K1306" t="s">
        <v>1018</v>
      </c>
      <c r="M1306" t="s">
        <v>6</v>
      </c>
    </row>
    <row r="1307" spans="2:13" hidden="1">
      <c r="B1307">
        <v>1305</v>
      </c>
      <c r="C1307">
        <v>122</v>
      </c>
      <c r="D1307">
        <v>32</v>
      </c>
      <c r="E1307">
        <v>26</v>
      </c>
      <c r="F1307">
        <v>0</v>
      </c>
      <c r="G1307" t="s">
        <v>917</v>
      </c>
      <c r="H1307" t="s">
        <v>918</v>
      </c>
      <c r="I1307" t="s">
        <v>995</v>
      </c>
      <c r="J1307" t="s">
        <v>55</v>
      </c>
      <c r="K1307" t="s">
        <v>1019</v>
      </c>
      <c r="M1307" t="s">
        <v>6</v>
      </c>
    </row>
    <row r="1308" spans="2:13" hidden="1">
      <c r="B1308">
        <v>1306</v>
      </c>
      <c r="C1308">
        <v>122</v>
      </c>
      <c r="D1308">
        <v>32</v>
      </c>
      <c r="E1308">
        <v>27</v>
      </c>
      <c r="F1308">
        <v>0</v>
      </c>
      <c r="G1308" t="s">
        <v>917</v>
      </c>
      <c r="H1308" t="s">
        <v>918</v>
      </c>
      <c r="I1308" t="s">
        <v>995</v>
      </c>
      <c r="J1308" t="s">
        <v>55</v>
      </c>
      <c r="K1308" t="s">
        <v>1020</v>
      </c>
      <c r="M1308" t="s">
        <v>6</v>
      </c>
    </row>
    <row r="1309" spans="2:13" hidden="1">
      <c r="B1309">
        <v>1307</v>
      </c>
      <c r="C1309">
        <v>122</v>
      </c>
      <c r="D1309">
        <v>32</v>
      </c>
      <c r="E1309">
        <v>28</v>
      </c>
      <c r="F1309">
        <v>0</v>
      </c>
      <c r="G1309" t="s">
        <v>917</v>
      </c>
      <c r="H1309" t="s">
        <v>918</v>
      </c>
      <c r="I1309" t="s">
        <v>995</v>
      </c>
      <c r="J1309" t="s">
        <v>420</v>
      </c>
      <c r="K1309" t="s">
        <v>1021</v>
      </c>
      <c r="M1309" t="s">
        <v>6</v>
      </c>
    </row>
    <row r="1310" spans="2:13" hidden="1">
      <c r="B1310">
        <v>1308</v>
      </c>
      <c r="C1310">
        <v>122</v>
      </c>
      <c r="D1310">
        <v>32</v>
      </c>
      <c r="E1310">
        <v>29</v>
      </c>
      <c r="F1310">
        <v>0</v>
      </c>
      <c r="G1310" t="s">
        <v>917</v>
      </c>
      <c r="H1310" t="s">
        <v>918</v>
      </c>
      <c r="I1310" t="s">
        <v>995</v>
      </c>
      <c r="J1310" t="s">
        <v>420</v>
      </c>
      <c r="K1310" t="s">
        <v>1022</v>
      </c>
      <c r="M1310" t="s">
        <v>6</v>
      </c>
    </row>
    <row r="1311" spans="2:13" hidden="1">
      <c r="B1311">
        <v>1309</v>
      </c>
      <c r="C1311">
        <v>122</v>
      </c>
      <c r="D1311">
        <v>32</v>
      </c>
      <c r="E1311">
        <v>30</v>
      </c>
      <c r="F1311">
        <v>0</v>
      </c>
      <c r="G1311" t="s">
        <v>917</v>
      </c>
      <c r="H1311" t="s">
        <v>918</v>
      </c>
      <c r="I1311" t="s">
        <v>995</v>
      </c>
      <c r="J1311" t="s">
        <v>214</v>
      </c>
      <c r="K1311" t="s">
        <v>1023</v>
      </c>
      <c r="M1311" t="s">
        <v>6</v>
      </c>
    </row>
    <row r="1312" spans="2:13" hidden="1">
      <c r="B1312">
        <v>1310</v>
      </c>
      <c r="C1312">
        <v>122</v>
      </c>
      <c r="D1312">
        <v>32</v>
      </c>
      <c r="E1312">
        <v>31</v>
      </c>
      <c r="F1312">
        <v>0</v>
      </c>
      <c r="G1312" t="s">
        <v>917</v>
      </c>
      <c r="H1312" t="s">
        <v>918</v>
      </c>
      <c r="I1312" t="s">
        <v>995</v>
      </c>
      <c r="J1312" t="s">
        <v>214</v>
      </c>
      <c r="K1312" t="s">
        <v>1024</v>
      </c>
      <c r="M1312" t="s">
        <v>6</v>
      </c>
    </row>
    <row r="1313" spans="2:13" hidden="1">
      <c r="B1313">
        <v>1311</v>
      </c>
      <c r="C1313">
        <v>122</v>
      </c>
      <c r="D1313">
        <v>32</v>
      </c>
      <c r="E1313">
        <v>32</v>
      </c>
      <c r="F1313">
        <v>0</v>
      </c>
      <c r="G1313" t="s">
        <v>917</v>
      </c>
      <c r="H1313" t="s">
        <v>918</v>
      </c>
      <c r="I1313" t="s">
        <v>995</v>
      </c>
      <c r="J1313" t="s">
        <v>64</v>
      </c>
      <c r="K1313" t="s">
        <v>972</v>
      </c>
      <c r="M1313" t="s">
        <v>6</v>
      </c>
    </row>
    <row r="1314" spans="2:13" hidden="1">
      <c r="B1314">
        <v>1312</v>
      </c>
      <c r="C1314">
        <v>123</v>
      </c>
      <c r="D1314">
        <v>5</v>
      </c>
      <c r="E1314">
        <v>0</v>
      </c>
      <c r="F1314">
        <v>0</v>
      </c>
      <c r="G1314" t="s">
        <v>917</v>
      </c>
      <c r="H1314" t="s">
        <v>918</v>
      </c>
      <c r="I1314" t="s">
        <v>1025</v>
      </c>
      <c r="J1314" t="s">
        <v>54</v>
      </c>
      <c r="K1314" t="s">
        <v>1025</v>
      </c>
      <c r="M1314" t="s">
        <v>6</v>
      </c>
    </row>
    <row r="1315" spans="2:13" hidden="1">
      <c r="B1315">
        <v>1313</v>
      </c>
      <c r="C1315">
        <v>123</v>
      </c>
      <c r="D1315">
        <v>5</v>
      </c>
      <c r="E1315">
        <v>1</v>
      </c>
      <c r="F1315">
        <v>0</v>
      </c>
      <c r="G1315" t="s">
        <v>917</v>
      </c>
      <c r="H1315" t="s">
        <v>918</v>
      </c>
      <c r="I1315" t="s">
        <v>1025</v>
      </c>
      <c r="J1315" t="s">
        <v>55</v>
      </c>
      <c r="K1315" t="s">
        <v>1026</v>
      </c>
      <c r="M1315" t="s">
        <v>6</v>
      </c>
    </row>
    <row r="1316" spans="2:13" hidden="1">
      <c r="B1316">
        <v>1314</v>
      </c>
      <c r="C1316">
        <v>123</v>
      </c>
      <c r="D1316">
        <v>5</v>
      </c>
      <c r="E1316">
        <v>2</v>
      </c>
      <c r="F1316">
        <v>0</v>
      </c>
      <c r="G1316" t="s">
        <v>917</v>
      </c>
      <c r="H1316" t="s">
        <v>918</v>
      </c>
      <c r="I1316" t="s">
        <v>1025</v>
      </c>
      <c r="J1316" t="s">
        <v>214</v>
      </c>
      <c r="K1316" t="s">
        <v>936</v>
      </c>
      <c r="M1316" t="s">
        <v>6</v>
      </c>
    </row>
    <row r="1317" spans="2:13" hidden="1">
      <c r="B1317">
        <v>1315</v>
      </c>
      <c r="C1317">
        <v>123</v>
      </c>
      <c r="D1317">
        <v>5</v>
      </c>
      <c r="E1317">
        <v>3</v>
      </c>
      <c r="F1317">
        <v>0</v>
      </c>
      <c r="G1317" t="s">
        <v>917</v>
      </c>
      <c r="H1317" t="s">
        <v>918</v>
      </c>
      <c r="I1317" t="s">
        <v>1025</v>
      </c>
      <c r="J1317" t="s">
        <v>214</v>
      </c>
      <c r="K1317" t="s">
        <v>975</v>
      </c>
      <c r="M1317" t="s">
        <v>6</v>
      </c>
    </row>
    <row r="1318" spans="2:13" hidden="1">
      <c r="B1318">
        <v>1316</v>
      </c>
      <c r="C1318">
        <v>123</v>
      </c>
      <c r="D1318">
        <v>5</v>
      </c>
      <c r="E1318">
        <v>4</v>
      </c>
      <c r="F1318">
        <v>0</v>
      </c>
      <c r="G1318" t="s">
        <v>917</v>
      </c>
      <c r="H1318" t="s">
        <v>918</v>
      </c>
      <c r="I1318" t="s">
        <v>1025</v>
      </c>
      <c r="J1318" t="s">
        <v>214</v>
      </c>
      <c r="K1318" t="s">
        <v>938</v>
      </c>
      <c r="M1318" t="s">
        <v>6</v>
      </c>
    </row>
    <row r="1319" spans="2:13" hidden="1">
      <c r="B1319">
        <v>1317</v>
      </c>
      <c r="C1319">
        <v>123</v>
      </c>
      <c r="D1319">
        <v>5</v>
      </c>
      <c r="E1319">
        <v>5</v>
      </c>
      <c r="F1319">
        <v>0</v>
      </c>
      <c r="G1319" t="s">
        <v>917</v>
      </c>
      <c r="H1319" t="s">
        <v>918</v>
      </c>
      <c r="I1319" t="s">
        <v>1025</v>
      </c>
      <c r="J1319" t="s">
        <v>64</v>
      </c>
      <c r="K1319" t="s">
        <v>1027</v>
      </c>
      <c r="M1319" t="s">
        <v>6</v>
      </c>
    </row>
    <row r="1320" spans="2:13" hidden="1">
      <c r="B1320">
        <v>1318</v>
      </c>
      <c r="C1320">
        <v>124</v>
      </c>
      <c r="D1320">
        <v>1</v>
      </c>
      <c r="E1320">
        <v>0</v>
      </c>
      <c r="F1320">
        <v>0</v>
      </c>
      <c r="G1320" t="s">
        <v>917</v>
      </c>
      <c r="H1320" t="s">
        <v>918</v>
      </c>
      <c r="I1320" t="s">
        <v>1028</v>
      </c>
      <c r="J1320" t="s">
        <v>54</v>
      </c>
      <c r="K1320" t="s">
        <v>1028</v>
      </c>
      <c r="M1320" t="s">
        <v>6</v>
      </c>
    </row>
    <row r="1321" spans="2:13" hidden="1">
      <c r="B1321">
        <v>1319</v>
      </c>
      <c r="C1321">
        <v>124</v>
      </c>
      <c r="D1321">
        <v>1</v>
      </c>
      <c r="E1321">
        <v>1</v>
      </c>
      <c r="F1321">
        <v>0</v>
      </c>
      <c r="G1321" t="s">
        <v>917</v>
      </c>
      <c r="H1321" t="s">
        <v>918</v>
      </c>
      <c r="I1321" t="s">
        <v>1028</v>
      </c>
      <c r="J1321" t="s">
        <v>55</v>
      </c>
      <c r="K1321" t="s">
        <v>1029</v>
      </c>
      <c r="M1321" t="s">
        <v>6</v>
      </c>
    </row>
    <row r="1322" spans="2:13" hidden="1">
      <c r="B1322">
        <v>1320</v>
      </c>
      <c r="C1322">
        <v>125</v>
      </c>
      <c r="D1322">
        <v>5</v>
      </c>
      <c r="E1322">
        <v>0</v>
      </c>
      <c r="F1322">
        <v>0</v>
      </c>
      <c r="G1322" t="s">
        <v>917</v>
      </c>
      <c r="H1322" t="s">
        <v>918</v>
      </c>
      <c r="I1322" t="s">
        <v>1030</v>
      </c>
      <c r="J1322" t="s">
        <v>54</v>
      </c>
      <c r="K1322" t="s">
        <v>1030</v>
      </c>
      <c r="M1322" t="s">
        <v>6</v>
      </c>
    </row>
    <row r="1323" spans="2:13" hidden="1">
      <c r="B1323">
        <v>1321</v>
      </c>
      <c r="C1323">
        <v>125</v>
      </c>
      <c r="D1323">
        <v>5</v>
      </c>
      <c r="E1323">
        <v>1</v>
      </c>
      <c r="F1323">
        <v>0</v>
      </c>
      <c r="G1323" t="s">
        <v>917</v>
      </c>
      <c r="H1323" t="s">
        <v>918</v>
      </c>
      <c r="I1323" t="s">
        <v>1030</v>
      </c>
      <c r="J1323" t="s">
        <v>55</v>
      </c>
      <c r="K1323" t="s">
        <v>1031</v>
      </c>
      <c r="M1323" t="s">
        <v>6</v>
      </c>
    </row>
    <row r="1324" spans="2:13" hidden="1">
      <c r="B1324">
        <v>1322</v>
      </c>
      <c r="C1324">
        <v>125</v>
      </c>
      <c r="D1324">
        <v>5</v>
      </c>
      <c r="E1324">
        <v>2</v>
      </c>
      <c r="F1324">
        <v>0</v>
      </c>
      <c r="G1324" t="s">
        <v>917</v>
      </c>
      <c r="H1324" t="s">
        <v>918</v>
      </c>
      <c r="I1324" t="s">
        <v>1030</v>
      </c>
      <c r="J1324" t="s">
        <v>214</v>
      </c>
      <c r="K1324" t="s">
        <v>936</v>
      </c>
      <c r="M1324" t="s">
        <v>6</v>
      </c>
    </row>
    <row r="1325" spans="2:13" hidden="1">
      <c r="B1325">
        <v>1323</v>
      </c>
      <c r="C1325">
        <v>125</v>
      </c>
      <c r="D1325">
        <v>5</v>
      </c>
      <c r="E1325">
        <v>3</v>
      </c>
      <c r="F1325">
        <v>0</v>
      </c>
      <c r="G1325" t="s">
        <v>917</v>
      </c>
      <c r="H1325" t="s">
        <v>918</v>
      </c>
      <c r="I1325" t="s">
        <v>1030</v>
      </c>
      <c r="J1325" t="s">
        <v>214</v>
      </c>
      <c r="K1325" t="s">
        <v>975</v>
      </c>
      <c r="M1325" t="s">
        <v>6</v>
      </c>
    </row>
    <row r="1326" spans="2:13" hidden="1">
      <c r="B1326">
        <v>1324</v>
      </c>
      <c r="C1326">
        <v>125</v>
      </c>
      <c r="D1326">
        <v>5</v>
      </c>
      <c r="E1326">
        <v>4</v>
      </c>
      <c r="F1326">
        <v>0</v>
      </c>
      <c r="G1326" t="s">
        <v>917</v>
      </c>
      <c r="H1326" t="s">
        <v>918</v>
      </c>
      <c r="I1326" t="s">
        <v>1030</v>
      </c>
      <c r="J1326" t="s">
        <v>214</v>
      </c>
      <c r="K1326" t="s">
        <v>938</v>
      </c>
      <c r="M1326" t="s">
        <v>6</v>
      </c>
    </row>
    <row r="1327" spans="2:13" hidden="1">
      <c r="B1327">
        <v>1325</v>
      </c>
      <c r="C1327">
        <v>125</v>
      </c>
      <c r="D1327">
        <v>5</v>
      </c>
      <c r="E1327">
        <v>5</v>
      </c>
      <c r="F1327">
        <v>0</v>
      </c>
      <c r="G1327" t="s">
        <v>917</v>
      </c>
      <c r="H1327" t="s">
        <v>918</v>
      </c>
      <c r="I1327" t="s">
        <v>1030</v>
      </c>
      <c r="J1327" t="s">
        <v>64</v>
      </c>
      <c r="K1327" t="s">
        <v>1032</v>
      </c>
      <c r="M1327" t="s">
        <v>6</v>
      </c>
    </row>
    <row r="1328" spans="2:13" hidden="1">
      <c r="B1328">
        <v>1326</v>
      </c>
      <c r="C1328">
        <v>126</v>
      </c>
      <c r="D1328">
        <v>24</v>
      </c>
      <c r="E1328">
        <v>0</v>
      </c>
      <c r="F1328">
        <v>0</v>
      </c>
      <c r="G1328" t="s">
        <v>917</v>
      </c>
      <c r="H1328" t="s">
        <v>918</v>
      </c>
      <c r="I1328" t="s">
        <v>1033</v>
      </c>
      <c r="J1328" t="s">
        <v>478</v>
      </c>
      <c r="K1328" t="s">
        <v>1033</v>
      </c>
      <c r="M1328" t="s">
        <v>6</v>
      </c>
    </row>
    <row r="1329" spans="2:13" hidden="1">
      <c r="B1329">
        <v>1327</v>
      </c>
      <c r="C1329">
        <v>126</v>
      </c>
      <c r="D1329">
        <v>24</v>
      </c>
      <c r="E1329">
        <v>1</v>
      </c>
      <c r="F1329">
        <v>0</v>
      </c>
      <c r="G1329" t="s">
        <v>917</v>
      </c>
      <c r="H1329" t="s">
        <v>918</v>
      </c>
      <c r="I1329" t="s">
        <v>1033</v>
      </c>
      <c r="J1329" t="s">
        <v>479</v>
      </c>
      <c r="K1329" t="s">
        <v>1034</v>
      </c>
      <c r="M1329" t="s">
        <v>6</v>
      </c>
    </row>
    <row r="1330" spans="2:13" hidden="1">
      <c r="B1330">
        <v>1328</v>
      </c>
      <c r="C1330">
        <v>126</v>
      </c>
      <c r="D1330">
        <v>24</v>
      </c>
      <c r="E1330">
        <v>2</v>
      </c>
      <c r="F1330">
        <v>0</v>
      </c>
      <c r="G1330" t="s">
        <v>917</v>
      </c>
      <c r="H1330" t="s">
        <v>918</v>
      </c>
      <c r="I1330" t="s">
        <v>1033</v>
      </c>
      <c r="J1330" t="s">
        <v>55</v>
      </c>
      <c r="K1330" t="s">
        <v>959</v>
      </c>
      <c r="M1330" t="s">
        <v>6</v>
      </c>
    </row>
    <row r="1331" spans="2:13" hidden="1">
      <c r="B1331">
        <v>1329</v>
      </c>
      <c r="C1331">
        <v>126</v>
      </c>
      <c r="D1331">
        <v>24</v>
      </c>
      <c r="E1331">
        <v>3</v>
      </c>
      <c r="F1331">
        <v>0</v>
      </c>
      <c r="G1331" t="s">
        <v>917</v>
      </c>
      <c r="H1331" t="s">
        <v>918</v>
      </c>
      <c r="I1331" t="s">
        <v>1033</v>
      </c>
      <c r="J1331" t="s">
        <v>214</v>
      </c>
      <c r="K1331" t="s">
        <v>1035</v>
      </c>
      <c r="M1331" t="s">
        <v>6</v>
      </c>
    </row>
    <row r="1332" spans="2:13" hidden="1">
      <c r="B1332">
        <v>1330</v>
      </c>
      <c r="C1332">
        <v>126</v>
      </c>
      <c r="D1332">
        <v>24</v>
      </c>
      <c r="E1332">
        <v>4</v>
      </c>
      <c r="F1332">
        <v>0</v>
      </c>
      <c r="G1332" t="s">
        <v>917</v>
      </c>
      <c r="H1332" t="s">
        <v>918</v>
      </c>
      <c r="I1332" t="s">
        <v>1033</v>
      </c>
      <c r="J1332" t="s">
        <v>214</v>
      </c>
      <c r="K1332" t="s">
        <v>1036</v>
      </c>
      <c r="M1332" t="s">
        <v>6</v>
      </c>
    </row>
    <row r="1333" spans="2:13" hidden="1">
      <c r="B1333">
        <v>1331</v>
      </c>
      <c r="C1333">
        <v>126</v>
      </c>
      <c r="D1333">
        <v>24</v>
      </c>
      <c r="E1333">
        <v>5</v>
      </c>
      <c r="F1333">
        <v>0</v>
      </c>
      <c r="G1333" t="s">
        <v>917</v>
      </c>
      <c r="H1333" t="s">
        <v>918</v>
      </c>
      <c r="I1333" t="s">
        <v>1033</v>
      </c>
      <c r="J1333" t="s">
        <v>214</v>
      </c>
      <c r="K1333" t="s">
        <v>1037</v>
      </c>
      <c r="M1333" t="s">
        <v>6</v>
      </c>
    </row>
    <row r="1334" spans="2:13" hidden="1">
      <c r="B1334">
        <v>1332</v>
      </c>
      <c r="C1334">
        <v>126</v>
      </c>
      <c r="D1334">
        <v>24</v>
      </c>
      <c r="E1334">
        <v>6</v>
      </c>
      <c r="F1334">
        <v>0</v>
      </c>
      <c r="G1334" t="s">
        <v>917</v>
      </c>
      <c r="H1334" t="s">
        <v>918</v>
      </c>
      <c r="I1334" t="s">
        <v>1033</v>
      </c>
      <c r="J1334" t="s">
        <v>214</v>
      </c>
      <c r="K1334" t="s">
        <v>961</v>
      </c>
      <c r="M1334" t="s">
        <v>6</v>
      </c>
    </row>
    <row r="1335" spans="2:13" hidden="1">
      <c r="B1335">
        <v>1333</v>
      </c>
      <c r="C1335">
        <v>126</v>
      </c>
      <c r="D1335">
        <v>24</v>
      </c>
      <c r="E1335">
        <v>7</v>
      </c>
      <c r="F1335">
        <v>0</v>
      </c>
      <c r="G1335" t="s">
        <v>917</v>
      </c>
      <c r="H1335" t="s">
        <v>918</v>
      </c>
      <c r="I1335" t="s">
        <v>1033</v>
      </c>
      <c r="J1335" t="s">
        <v>214</v>
      </c>
      <c r="K1335" t="s">
        <v>1038</v>
      </c>
      <c r="M1335" t="s">
        <v>6</v>
      </c>
    </row>
    <row r="1336" spans="2:13" hidden="1">
      <c r="B1336">
        <v>1334</v>
      </c>
      <c r="C1336">
        <v>126</v>
      </c>
      <c r="D1336">
        <v>24</v>
      </c>
      <c r="E1336">
        <v>8</v>
      </c>
      <c r="F1336">
        <v>0</v>
      </c>
      <c r="G1336" t="s">
        <v>917</v>
      </c>
      <c r="H1336" t="s">
        <v>918</v>
      </c>
      <c r="I1336" t="s">
        <v>1033</v>
      </c>
      <c r="J1336" t="s">
        <v>214</v>
      </c>
      <c r="K1336" t="s">
        <v>1039</v>
      </c>
      <c r="M1336" t="s">
        <v>6</v>
      </c>
    </row>
    <row r="1337" spans="2:13" hidden="1">
      <c r="B1337">
        <v>1335</v>
      </c>
      <c r="C1337">
        <v>126</v>
      </c>
      <c r="D1337">
        <v>24</v>
      </c>
      <c r="E1337">
        <v>9</v>
      </c>
      <c r="F1337">
        <v>0</v>
      </c>
      <c r="G1337" t="s">
        <v>917</v>
      </c>
      <c r="H1337" t="s">
        <v>918</v>
      </c>
      <c r="I1337" t="s">
        <v>1033</v>
      </c>
      <c r="J1337" t="s">
        <v>214</v>
      </c>
      <c r="K1337" t="s">
        <v>963</v>
      </c>
      <c r="M1337" t="s">
        <v>6</v>
      </c>
    </row>
    <row r="1338" spans="2:13" hidden="1">
      <c r="B1338">
        <v>1336</v>
      </c>
      <c r="C1338">
        <v>126</v>
      </c>
      <c r="D1338">
        <v>24</v>
      </c>
      <c r="E1338">
        <v>10</v>
      </c>
      <c r="F1338">
        <v>0</v>
      </c>
      <c r="G1338" t="s">
        <v>917</v>
      </c>
      <c r="H1338" t="s">
        <v>918</v>
      </c>
      <c r="I1338" t="s">
        <v>1033</v>
      </c>
      <c r="J1338" t="s">
        <v>214</v>
      </c>
      <c r="K1338" t="s">
        <v>964</v>
      </c>
      <c r="M1338" t="s">
        <v>6</v>
      </c>
    </row>
    <row r="1339" spans="2:13" hidden="1">
      <c r="B1339">
        <v>1337</v>
      </c>
      <c r="C1339">
        <v>126</v>
      </c>
      <c r="D1339">
        <v>24</v>
      </c>
      <c r="E1339">
        <v>11</v>
      </c>
      <c r="F1339">
        <v>0</v>
      </c>
      <c r="G1339" t="s">
        <v>917</v>
      </c>
      <c r="H1339" t="s">
        <v>918</v>
      </c>
      <c r="I1339" t="s">
        <v>1033</v>
      </c>
      <c r="J1339" t="s">
        <v>55</v>
      </c>
      <c r="K1339" t="s">
        <v>1040</v>
      </c>
      <c r="M1339" t="s">
        <v>6</v>
      </c>
    </row>
    <row r="1340" spans="2:13" hidden="1">
      <c r="B1340">
        <v>1338</v>
      </c>
      <c r="C1340">
        <v>126</v>
      </c>
      <c r="D1340">
        <v>24</v>
      </c>
      <c r="E1340">
        <v>12</v>
      </c>
      <c r="F1340">
        <v>0</v>
      </c>
      <c r="G1340" t="s">
        <v>917</v>
      </c>
      <c r="H1340" t="s">
        <v>918</v>
      </c>
      <c r="I1340" t="s">
        <v>1033</v>
      </c>
      <c r="J1340" t="s">
        <v>55</v>
      </c>
      <c r="K1340" t="s">
        <v>1041</v>
      </c>
      <c r="M1340" t="s">
        <v>6</v>
      </c>
    </row>
    <row r="1341" spans="2:13" hidden="1">
      <c r="B1341">
        <v>1339</v>
      </c>
      <c r="C1341">
        <v>126</v>
      </c>
      <c r="D1341">
        <v>24</v>
      </c>
      <c r="E1341">
        <v>13</v>
      </c>
      <c r="F1341">
        <v>0</v>
      </c>
      <c r="G1341" t="s">
        <v>917</v>
      </c>
      <c r="H1341" t="s">
        <v>918</v>
      </c>
      <c r="I1341" t="s">
        <v>1033</v>
      </c>
      <c r="J1341" t="s">
        <v>55</v>
      </c>
      <c r="K1341" t="s">
        <v>969</v>
      </c>
      <c r="M1341" t="s">
        <v>6</v>
      </c>
    </row>
    <row r="1342" spans="2:13" hidden="1">
      <c r="B1342">
        <v>1340</v>
      </c>
      <c r="C1342">
        <v>126</v>
      </c>
      <c r="D1342">
        <v>24</v>
      </c>
      <c r="E1342">
        <v>14</v>
      </c>
      <c r="F1342">
        <v>0</v>
      </c>
      <c r="G1342" t="s">
        <v>917</v>
      </c>
      <c r="H1342" t="s">
        <v>918</v>
      </c>
      <c r="I1342" t="s">
        <v>1033</v>
      </c>
      <c r="J1342" t="s">
        <v>214</v>
      </c>
      <c r="K1342" t="s">
        <v>1042</v>
      </c>
      <c r="M1342" t="s">
        <v>6</v>
      </c>
    </row>
    <row r="1343" spans="2:13" hidden="1">
      <c r="B1343">
        <v>1341</v>
      </c>
      <c r="C1343">
        <v>126</v>
      </c>
      <c r="D1343">
        <v>24</v>
      </c>
      <c r="E1343">
        <v>15</v>
      </c>
      <c r="F1343">
        <v>0</v>
      </c>
      <c r="G1343" t="s">
        <v>917</v>
      </c>
      <c r="H1343" t="s">
        <v>918</v>
      </c>
      <c r="I1343" t="s">
        <v>1033</v>
      </c>
      <c r="J1343" t="s">
        <v>55</v>
      </c>
      <c r="K1343" t="s">
        <v>930</v>
      </c>
      <c r="M1343" t="s">
        <v>6</v>
      </c>
    </row>
    <row r="1344" spans="2:13" hidden="1">
      <c r="B1344">
        <v>1342</v>
      </c>
      <c r="C1344">
        <v>126</v>
      </c>
      <c r="D1344">
        <v>24</v>
      </c>
      <c r="E1344">
        <v>16</v>
      </c>
      <c r="F1344">
        <v>0</v>
      </c>
      <c r="G1344" t="s">
        <v>917</v>
      </c>
      <c r="H1344" t="s">
        <v>918</v>
      </c>
      <c r="I1344" t="s">
        <v>1033</v>
      </c>
      <c r="J1344" t="s">
        <v>420</v>
      </c>
      <c r="K1344" t="s">
        <v>1043</v>
      </c>
      <c r="M1344" t="s">
        <v>6</v>
      </c>
    </row>
    <row r="1345" spans="2:13" hidden="1">
      <c r="B1345">
        <v>1343</v>
      </c>
      <c r="C1345">
        <v>126</v>
      </c>
      <c r="D1345">
        <v>24</v>
      </c>
      <c r="E1345">
        <v>17</v>
      </c>
      <c r="F1345">
        <v>0</v>
      </c>
      <c r="G1345" t="s">
        <v>917</v>
      </c>
      <c r="H1345" t="s">
        <v>918</v>
      </c>
      <c r="I1345" t="s">
        <v>1033</v>
      </c>
      <c r="J1345" t="s">
        <v>437</v>
      </c>
      <c r="K1345" t="s">
        <v>965</v>
      </c>
      <c r="L1345" t="s">
        <v>510</v>
      </c>
      <c r="M1345" t="s">
        <v>6</v>
      </c>
    </row>
    <row r="1346" spans="2:13" hidden="1">
      <c r="B1346">
        <v>1344</v>
      </c>
      <c r="C1346">
        <v>126</v>
      </c>
      <c r="D1346">
        <v>24</v>
      </c>
      <c r="E1346">
        <v>18</v>
      </c>
      <c r="F1346">
        <v>0</v>
      </c>
      <c r="G1346" t="s">
        <v>917</v>
      </c>
      <c r="H1346" t="s">
        <v>918</v>
      </c>
      <c r="I1346" t="s">
        <v>1033</v>
      </c>
      <c r="J1346" t="s">
        <v>420</v>
      </c>
      <c r="K1346" t="s">
        <v>966</v>
      </c>
      <c r="M1346" t="s">
        <v>6</v>
      </c>
    </row>
    <row r="1347" spans="2:13" hidden="1">
      <c r="B1347">
        <v>1345</v>
      </c>
      <c r="C1347">
        <v>126</v>
      </c>
      <c r="D1347">
        <v>24</v>
      </c>
      <c r="E1347">
        <v>19</v>
      </c>
      <c r="F1347">
        <v>0</v>
      </c>
      <c r="G1347" t="s">
        <v>917</v>
      </c>
      <c r="H1347" t="s">
        <v>918</v>
      </c>
      <c r="I1347" t="s">
        <v>1033</v>
      </c>
      <c r="J1347" t="s">
        <v>420</v>
      </c>
      <c r="K1347" t="s">
        <v>967</v>
      </c>
      <c r="M1347" t="s">
        <v>6</v>
      </c>
    </row>
    <row r="1348" spans="2:13" hidden="1">
      <c r="B1348">
        <v>1346</v>
      </c>
      <c r="C1348">
        <v>126</v>
      </c>
      <c r="D1348">
        <v>24</v>
      </c>
      <c r="E1348">
        <v>20</v>
      </c>
      <c r="F1348">
        <v>0</v>
      </c>
      <c r="G1348" t="s">
        <v>917</v>
      </c>
      <c r="H1348" t="s">
        <v>918</v>
      </c>
      <c r="I1348" t="s">
        <v>1033</v>
      </c>
      <c r="J1348" t="s">
        <v>55</v>
      </c>
      <c r="K1348" t="s">
        <v>1044</v>
      </c>
      <c r="M1348" t="s">
        <v>6</v>
      </c>
    </row>
    <row r="1349" spans="2:13" hidden="1">
      <c r="B1349">
        <v>1347</v>
      </c>
      <c r="C1349">
        <v>126</v>
      </c>
      <c r="D1349">
        <v>24</v>
      </c>
      <c r="E1349">
        <v>21</v>
      </c>
      <c r="F1349">
        <v>0</v>
      </c>
      <c r="G1349" t="s">
        <v>917</v>
      </c>
      <c r="H1349" t="s">
        <v>918</v>
      </c>
      <c r="I1349" t="s">
        <v>1033</v>
      </c>
      <c r="J1349" t="s">
        <v>218</v>
      </c>
      <c r="K1349" t="s">
        <v>1045</v>
      </c>
      <c r="L1349" t="s">
        <v>1046</v>
      </c>
      <c r="M1349" t="s">
        <v>6</v>
      </c>
    </row>
    <row r="1350" spans="2:13" hidden="1">
      <c r="B1350">
        <v>1348</v>
      </c>
      <c r="C1350">
        <v>126</v>
      </c>
      <c r="D1350">
        <v>24</v>
      </c>
      <c r="E1350">
        <v>22</v>
      </c>
      <c r="F1350">
        <v>0</v>
      </c>
      <c r="G1350" t="s">
        <v>917</v>
      </c>
      <c r="H1350" t="s">
        <v>918</v>
      </c>
      <c r="I1350" t="s">
        <v>1033</v>
      </c>
      <c r="J1350" t="s">
        <v>1047</v>
      </c>
      <c r="K1350" t="s">
        <v>1022</v>
      </c>
      <c r="M1350" t="s">
        <v>6</v>
      </c>
    </row>
    <row r="1351" spans="2:13" hidden="1">
      <c r="B1351">
        <v>1349</v>
      </c>
      <c r="C1351">
        <v>126</v>
      </c>
      <c r="D1351">
        <v>24</v>
      </c>
      <c r="E1351">
        <v>23</v>
      </c>
      <c r="F1351">
        <v>0</v>
      </c>
      <c r="G1351" t="s">
        <v>917</v>
      </c>
      <c r="H1351" t="s">
        <v>918</v>
      </c>
      <c r="I1351" t="s">
        <v>1033</v>
      </c>
      <c r="J1351" t="s">
        <v>55</v>
      </c>
      <c r="K1351" t="s">
        <v>1048</v>
      </c>
      <c r="M1351" t="s">
        <v>6</v>
      </c>
    </row>
    <row r="1352" spans="2:13" hidden="1">
      <c r="B1352">
        <v>1350</v>
      </c>
      <c r="C1352">
        <v>126</v>
      </c>
      <c r="D1352">
        <v>24</v>
      </c>
      <c r="E1352">
        <v>24</v>
      </c>
      <c r="F1352">
        <v>0</v>
      </c>
      <c r="G1352" t="s">
        <v>917</v>
      </c>
      <c r="H1352" t="s">
        <v>918</v>
      </c>
      <c r="I1352" t="s">
        <v>1033</v>
      </c>
      <c r="J1352" t="s">
        <v>64</v>
      </c>
      <c r="K1352" t="s">
        <v>933</v>
      </c>
      <c r="M1352" t="s">
        <v>6</v>
      </c>
    </row>
    <row r="1353" spans="2:13" hidden="1">
      <c r="B1353">
        <v>1351</v>
      </c>
      <c r="C1353">
        <v>127</v>
      </c>
      <c r="D1353">
        <v>18</v>
      </c>
      <c r="E1353">
        <v>0</v>
      </c>
      <c r="F1353">
        <v>0</v>
      </c>
      <c r="G1353" t="s">
        <v>917</v>
      </c>
      <c r="H1353" t="s">
        <v>918</v>
      </c>
      <c r="I1353" t="s">
        <v>1049</v>
      </c>
      <c r="J1353" t="s">
        <v>54</v>
      </c>
      <c r="K1353" t="s">
        <v>1049</v>
      </c>
      <c r="M1353" t="s">
        <v>6</v>
      </c>
    </row>
    <row r="1354" spans="2:13" hidden="1">
      <c r="B1354">
        <v>1352</v>
      </c>
      <c r="C1354">
        <v>127</v>
      </c>
      <c r="D1354">
        <v>18</v>
      </c>
      <c r="E1354">
        <v>1</v>
      </c>
      <c r="F1354">
        <v>0</v>
      </c>
      <c r="G1354" t="s">
        <v>917</v>
      </c>
      <c r="H1354" t="s">
        <v>918</v>
      </c>
      <c r="I1354" t="s">
        <v>1049</v>
      </c>
      <c r="J1354" t="s">
        <v>55</v>
      </c>
      <c r="K1354" t="s">
        <v>959</v>
      </c>
      <c r="M1354" t="s">
        <v>6</v>
      </c>
    </row>
    <row r="1355" spans="2:13" hidden="1">
      <c r="B1355">
        <v>1353</v>
      </c>
      <c r="C1355">
        <v>127</v>
      </c>
      <c r="D1355">
        <v>18</v>
      </c>
      <c r="E1355">
        <v>2</v>
      </c>
      <c r="F1355">
        <v>0</v>
      </c>
      <c r="G1355" t="s">
        <v>917</v>
      </c>
      <c r="H1355" t="s">
        <v>918</v>
      </c>
      <c r="I1355" t="s">
        <v>1049</v>
      </c>
      <c r="J1355" t="s">
        <v>214</v>
      </c>
      <c r="K1355" t="s">
        <v>1050</v>
      </c>
      <c r="M1355" t="s">
        <v>6</v>
      </c>
    </row>
    <row r="1356" spans="2:13" hidden="1">
      <c r="B1356">
        <v>1354</v>
      </c>
      <c r="C1356">
        <v>127</v>
      </c>
      <c r="D1356">
        <v>18</v>
      </c>
      <c r="E1356">
        <v>3</v>
      </c>
      <c r="F1356">
        <v>0</v>
      </c>
      <c r="G1356" t="s">
        <v>917</v>
      </c>
      <c r="H1356" t="s">
        <v>918</v>
      </c>
      <c r="I1356" t="s">
        <v>1049</v>
      </c>
      <c r="J1356" t="s">
        <v>214</v>
      </c>
      <c r="K1356" t="s">
        <v>1051</v>
      </c>
      <c r="M1356" t="s">
        <v>6</v>
      </c>
    </row>
    <row r="1357" spans="2:13" hidden="1">
      <c r="B1357">
        <v>1355</v>
      </c>
      <c r="C1357">
        <v>127</v>
      </c>
      <c r="D1357">
        <v>18</v>
      </c>
      <c r="E1357">
        <v>4</v>
      </c>
      <c r="F1357">
        <v>0</v>
      </c>
      <c r="G1357" t="s">
        <v>917</v>
      </c>
      <c r="H1357" t="s">
        <v>918</v>
      </c>
      <c r="I1357" t="s">
        <v>1049</v>
      </c>
      <c r="J1357" t="s">
        <v>214</v>
      </c>
      <c r="K1357" t="s">
        <v>1052</v>
      </c>
      <c r="M1357" t="s">
        <v>6</v>
      </c>
    </row>
    <row r="1358" spans="2:13" hidden="1">
      <c r="B1358">
        <v>1356</v>
      </c>
      <c r="C1358">
        <v>127</v>
      </c>
      <c r="D1358">
        <v>18</v>
      </c>
      <c r="E1358">
        <v>5</v>
      </c>
      <c r="F1358">
        <v>0</v>
      </c>
      <c r="G1358" t="s">
        <v>917</v>
      </c>
      <c r="H1358" t="s">
        <v>918</v>
      </c>
      <c r="I1358" t="s">
        <v>1049</v>
      </c>
      <c r="J1358" t="s">
        <v>55</v>
      </c>
      <c r="K1358" t="s">
        <v>1053</v>
      </c>
      <c r="M1358" t="s">
        <v>6</v>
      </c>
    </row>
    <row r="1359" spans="2:13" hidden="1">
      <c r="B1359">
        <v>1357</v>
      </c>
      <c r="C1359">
        <v>127</v>
      </c>
      <c r="D1359">
        <v>18</v>
      </c>
      <c r="E1359">
        <v>6</v>
      </c>
      <c r="F1359">
        <v>0</v>
      </c>
      <c r="G1359" t="s">
        <v>917</v>
      </c>
      <c r="H1359" t="s">
        <v>918</v>
      </c>
      <c r="I1359" t="s">
        <v>1049</v>
      </c>
      <c r="J1359" t="s">
        <v>951</v>
      </c>
      <c r="K1359" t="s">
        <v>1054</v>
      </c>
      <c r="M1359" t="s">
        <v>6</v>
      </c>
    </row>
    <row r="1360" spans="2:13" hidden="1">
      <c r="B1360">
        <v>1358</v>
      </c>
      <c r="C1360">
        <v>127</v>
      </c>
      <c r="D1360">
        <v>18</v>
      </c>
      <c r="E1360">
        <v>7</v>
      </c>
      <c r="F1360">
        <v>0</v>
      </c>
      <c r="G1360" t="s">
        <v>917</v>
      </c>
      <c r="H1360" t="s">
        <v>918</v>
      </c>
      <c r="I1360" t="s">
        <v>1049</v>
      </c>
      <c r="J1360" t="s">
        <v>951</v>
      </c>
      <c r="K1360" t="s">
        <v>1055</v>
      </c>
      <c r="M1360" t="s">
        <v>6</v>
      </c>
    </row>
    <row r="1361" spans="2:13" hidden="1">
      <c r="B1361">
        <v>1359</v>
      </c>
      <c r="C1361">
        <v>127</v>
      </c>
      <c r="D1361">
        <v>18</v>
      </c>
      <c r="E1361">
        <v>8</v>
      </c>
      <c r="F1361">
        <v>0</v>
      </c>
      <c r="G1361" t="s">
        <v>917</v>
      </c>
      <c r="H1361" t="s">
        <v>918</v>
      </c>
      <c r="I1361" t="s">
        <v>1049</v>
      </c>
      <c r="J1361" t="s">
        <v>951</v>
      </c>
      <c r="K1361" t="s">
        <v>1056</v>
      </c>
      <c r="M1361" t="s">
        <v>6</v>
      </c>
    </row>
    <row r="1362" spans="2:13" hidden="1">
      <c r="B1362">
        <v>1360</v>
      </c>
      <c r="C1362">
        <v>127</v>
      </c>
      <c r="D1362">
        <v>18</v>
      </c>
      <c r="E1362">
        <v>9</v>
      </c>
      <c r="F1362">
        <v>0</v>
      </c>
      <c r="G1362" t="s">
        <v>917</v>
      </c>
      <c r="H1362" t="s">
        <v>918</v>
      </c>
      <c r="I1362" t="s">
        <v>1049</v>
      </c>
      <c r="J1362" t="s">
        <v>951</v>
      </c>
      <c r="K1362" t="s">
        <v>1057</v>
      </c>
      <c r="M1362" t="s">
        <v>6</v>
      </c>
    </row>
    <row r="1363" spans="2:13" hidden="1">
      <c r="B1363">
        <v>1361</v>
      </c>
      <c r="C1363">
        <v>127</v>
      </c>
      <c r="D1363">
        <v>18</v>
      </c>
      <c r="E1363">
        <v>10</v>
      </c>
      <c r="F1363">
        <v>0</v>
      </c>
      <c r="G1363" t="s">
        <v>917</v>
      </c>
      <c r="H1363" t="s">
        <v>918</v>
      </c>
      <c r="I1363" t="s">
        <v>1049</v>
      </c>
      <c r="J1363" t="s">
        <v>55</v>
      </c>
      <c r="K1363" t="s">
        <v>1058</v>
      </c>
      <c r="M1363" t="s">
        <v>6</v>
      </c>
    </row>
    <row r="1364" spans="2:13" hidden="1">
      <c r="B1364">
        <v>1362</v>
      </c>
      <c r="C1364">
        <v>127</v>
      </c>
      <c r="D1364">
        <v>18</v>
      </c>
      <c r="E1364">
        <v>11</v>
      </c>
      <c r="F1364">
        <v>0</v>
      </c>
      <c r="G1364" t="s">
        <v>917</v>
      </c>
      <c r="H1364" t="s">
        <v>918</v>
      </c>
      <c r="I1364" t="s">
        <v>1049</v>
      </c>
      <c r="J1364" t="s">
        <v>951</v>
      </c>
      <c r="K1364" t="s">
        <v>1059</v>
      </c>
      <c r="M1364" t="s">
        <v>6</v>
      </c>
    </row>
    <row r="1365" spans="2:13" hidden="1">
      <c r="B1365">
        <v>1363</v>
      </c>
      <c r="C1365">
        <v>127</v>
      </c>
      <c r="D1365">
        <v>18</v>
      </c>
      <c r="E1365">
        <v>12</v>
      </c>
      <c r="F1365">
        <v>0</v>
      </c>
      <c r="G1365" t="s">
        <v>917</v>
      </c>
      <c r="H1365" t="s">
        <v>918</v>
      </c>
      <c r="I1365" t="s">
        <v>1049</v>
      </c>
      <c r="J1365" t="s">
        <v>55</v>
      </c>
      <c r="K1365" t="s">
        <v>1060</v>
      </c>
      <c r="M1365" t="s">
        <v>6</v>
      </c>
    </row>
    <row r="1366" spans="2:13" hidden="1">
      <c r="B1366">
        <v>1364</v>
      </c>
      <c r="C1366">
        <v>127</v>
      </c>
      <c r="D1366">
        <v>18</v>
      </c>
      <c r="E1366">
        <v>13</v>
      </c>
      <c r="F1366">
        <v>0</v>
      </c>
      <c r="G1366" t="s">
        <v>917</v>
      </c>
      <c r="H1366" t="s">
        <v>918</v>
      </c>
      <c r="I1366" t="s">
        <v>1049</v>
      </c>
      <c r="J1366" t="s">
        <v>951</v>
      </c>
      <c r="K1366" t="s">
        <v>1061</v>
      </c>
      <c r="M1366" t="s">
        <v>6</v>
      </c>
    </row>
    <row r="1367" spans="2:13" hidden="1">
      <c r="B1367">
        <v>1365</v>
      </c>
      <c r="C1367">
        <v>127</v>
      </c>
      <c r="D1367">
        <v>18</v>
      </c>
      <c r="E1367">
        <v>14</v>
      </c>
      <c r="F1367">
        <v>0</v>
      </c>
      <c r="G1367" t="s">
        <v>917</v>
      </c>
      <c r="H1367" t="s">
        <v>918</v>
      </c>
      <c r="I1367" t="s">
        <v>1049</v>
      </c>
      <c r="J1367" t="s">
        <v>951</v>
      </c>
      <c r="K1367" t="s">
        <v>1062</v>
      </c>
      <c r="M1367" t="s">
        <v>6</v>
      </c>
    </row>
    <row r="1368" spans="2:13" hidden="1">
      <c r="B1368">
        <v>1366</v>
      </c>
      <c r="C1368">
        <v>127</v>
      </c>
      <c r="D1368">
        <v>18</v>
      </c>
      <c r="E1368">
        <v>15</v>
      </c>
      <c r="F1368">
        <v>0</v>
      </c>
      <c r="G1368" t="s">
        <v>917</v>
      </c>
      <c r="H1368" t="s">
        <v>918</v>
      </c>
      <c r="I1368" t="s">
        <v>1049</v>
      </c>
      <c r="J1368" t="s">
        <v>951</v>
      </c>
      <c r="K1368" t="s">
        <v>1063</v>
      </c>
      <c r="M1368" t="s">
        <v>6</v>
      </c>
    </row>
    <row r="1369" spans="2:13" hidden="1">
      <c r="B1369">
        <v>1367</v>
      </c>
      <c r="C1369">
        <v>127</v>
      </c>
      <c r="D1369">
        <v>18</v>
      </c>
      <c r="E1369">
        <v>16</v>
      </c>
      <c r="F1369">
        <v>0</v>
      </c>
      <c r="G1369" t="s">
        <v>917</v>
      </c>
      <c r="H1369" t="s">
        <v>918</v>
      </c>
      <c r="I1369" t="s">
        <v>1049</v>
      </c>
      <c r="J1369" t="s">
        <v>951</v>
      </c>
      <c r="K1369" t="s">
        <v>1064</v>
      </c>
      <c r="M1369" t="s">
        <v>6</v>
      </c>
    </row>
    <row r="1370" spans="2:13" hidden="1">
      <c r="B1370">
        <v>1368</v>
      </c>
      <c r="C1370">
        <v>127</v>
      </c>
      <c r="D1370">
        <v>18</v>
      </c>
      <c r="E1370">
        <v>17</v>
      </c>
      <c r="F1370">
        <v>0</v>
      </c>
      <c r="G1370" t="s">
        <v>917</v>
      </c>
      <c r="H1370" t="s">
        <v>918</v>
      </c>
      <c r="I1370" t="s">
        <v>1049</v>
      </c>
      <c r="J1370" t="s">
        <v>951</v>
      </c>
      <c r="K1370" t="s">
        <v>1065</v>
      </c>
      <c r="M1370" t="s">
        <v>6</v>
      </c>
    </row>
    <row r="1371" spans="2:13" hidden="1">
      <c r="B1371">
        <v>1369</v>
      </c>
      <c r="C1371">
        <v>127</v>
      </c>
      <c r="D1371">
        <v>18</v>
      </c>
      <c r="E1371">
        <v>18</v>
      </c>
      <c r="F1371">
        <v>0</v>
      </c>
      <c r="G1371" t="s">
        <v>917</v>
      </c>
      <c r="H1371" t="s">
        <v>918</v>
      </c>
      <c r="I1371" t="s">
        <v>1049</v>
      </c>
      <c r="J1371" t="s">
        <v>55</v>
      </c>
      <c r="K1371" t="s">
        <v>1066</v>
      </c>
      <c r="M1371" t="s">
        <v>6</v>
      </c>
    </row>
    <row r="1372" spans="2:13" hidden="1">
      <c r="B1372">
        <v>1370</v>
      </c>
      <c r="C1372">
        <v>128</v>
      </c>
      <c r="D1372">
        <v>4</v>
      </c>
      <c r="E1372">
        <v>0</v>
      </c>
      <c r="F1372">
        <v>0</v>
      </c>
      <c r="G1372" t="s">
        <v>1067</v>
      </c>
      <c r="H1372" t="s">
        <v>52</v>
      </c>
      <c r="I1372" t="s">
        <v>1068</v>
      </c>
      <c r="J1372" t="s">
        <v>54</v>
      </c>
      <c r="K1372" t="s">
        <v>1068</v>
      </c>
      <c r="M1372" t="s">
        <v>6</v>
      </c>
    </row>
    <row r="1373" spans="2:13" hidden="1">
      <c r="B1373">
        <v>1371</v>
      </c>
      <c r="C1373">
        <v>128</v>
      </c>
      <c r="D1373">
        <v>4</v>
      </c>
      <c r="E1373">
        <v>1</v>
      </c>
      <c r="F1373">
        <v>0</v>
      </c>
      <c r="G1373" t="s">
        <v>1067</v>
      </c>
      <c r="H1373" t="s">
        <v>52</v>
      </c>
      <c r="I1373" t="s">
        <v>1068</v>
      </c>
      <c r="J1373" t="s">
        <v>55</v>
      </c>
      <c r="K1373" t="s">
        <v>62</v>
      </c>
      <c r="M1373" t="s">
        <v>6</v>
      </c>
    </row>
    <row r="1374" spans="2:13" hidden="1">
      <c r="B1374">
        <v>1372</v>
      </c>
      <c r="C1374">
        <v>128</v>
      </c>
      <c r="D1374">
        <v>4</v>
      </c>
      <c r="E1374">
        <v>2</v>
      </c>
      <c r="F1374">
        <v>0</v>
      </c>
      <c r="G1374" t="s">
        <v>1067</v>
      </c>
      <c r="H1374" t="s">
        <v>52</v>
      </c>
      <c r="I1374" t="s">
        <v>1068</v>
      </c>
      <c r="J1374" t="s">
        <v>55</v>
      </c>
      <c r="K1374" t="s">
        <v>63</v>
      </c>
      <c r="M1374" t="s">
        <v>6</v>
      </c>
    </row>
    <row r="1375" spans="2:13" hidden="1">
      <c r="B1375">
        <v>1373</v>
      </c>
      <c r="C1375">
        <v>128</v>
      </c>
      <c r="D1375">
        <v>4</v>
      </c>
      <c r="E1375">
        <v>3</v>
      </c>
      <c r="F1375">
        <v>0</v>
      </c>
      <c r="G1375" t="s">
        <v>1067</v>
      </c>
      <c r="H1375" t="s">
        <v>52</v>
      </c>
      <c r="I1375" t="s">
        <v>1068</v>
      </c>
      <c r="J1375" t="s">
        <v>64</v>
      </c>
      <c r="K1375" t="s">
        <v>65</v>
      </c>
      <c r="M1375" t="s">
        <v>6</v>
      </c>
    </row>
    <row r="1376" spans="2:13" hidden="1">
      <c r="B1376">
        <v>1374</v>
      </c>
      <c r="C1376">
        <v>128</v>
      </c>
      <c r="D1376">
        <v>4</v>
      </c>
      <c r="E1376">
        <v>4</v>
      </c>
      <c r="F1376">
        <v>0</v>
      </c>
      <c r="G1376" t="s">
        <v>1067</v>
      </c>
      <c r="H1376" t="s">
        <v>52</v>
      </c>
      <c r="I1376" t="s">
        <v>1068</v>
      </c>
      <c r="J1376" t="s">
        <v>55</v>
      </c>
      <c r="K1376" t="s">
        <v>660</v>
      </c>
      <c r="M1376" t="s">
        <v>6</v>
      </c>
    </row>
    <row r="1377" spans="2:13" hidden="1">
      <c r="B1377">
        <v>1375</v>
      </c>
      <c r="C1377">
        <v>129</v>
      </c>
      <c r="D1377">
        <v>6</v>
      </c>
      <c r="E1377">
        <v>0</v>
      </c>
      <c r="F1377">
        <v>0</v>
      </c>
      <c r="G1377" t="s">
        <v>1067</v>
      </c>
      <c r="H1377" t="s">
        <v>9</v>
      </c>
      <c r="I1377" t="s">
        <v>1069</v>
      </c>
      <c r="J1377" t="s">
        <v>54</v>
      </c>
      <c r="K1377" t="s">
        <v>1069</v>
      </c>
      <c r="M1377" t="s">
        <v>6</v>
      </c>
    </row>
    <row r="1378" spans="2:13" hidden="1">
      <c r="B1378">
        <v>1376</v>
      </c>
      <c r="C1378">
        <v>129</v>
      </c>
      <c r="D1378">
        <v>6</v>
      </c>
      <c r="E1378">
        <v>1</v>
      </c>
      <c r="F1378">
        <v>0</v>
      </c>
      <c r="G1378" t="s">
        <v>1067</v>
      </c>
      <c r="H1378" t="s">
        <v>9</v>
      </c>
      <c r="I1378" t="s">
        <v>1069</v>
      </c>
      <c r="J1378" t="s">
        <v>55</v>
      </c>
      <c r="K1378" t="s">
        <v>1070</v>
      </c>
      <c r="M1378" t="s">
        <v>6</v>
      </c>
    </row>
    <row r="1379" spans="2:13" hidden="1">
      <c r="B1379">
        <v>1377</v>
      </c>
      <c r="C1379">
        <v>129</v>
      </c>
      <c r="D1379">
        <v>6</v>
      </c>
      <c r="E1379">
        <v>2</v>
      </c>
      <c r="F1379">
        <v>0</v>
      </c>
      <c r="G1379" t="s">
        <v>1067</v>
      </c>
      <c r="H1379" t="s">
        <v>9</v>
      </c>
      <c r="I1379" t="s">
        <v>1069</v>
      </c>
      <c r="J1379" t="s">
        <v>55</v>
      </c>
      <c r="K1379" t="s">
        <v>1071</v>
      </c>
      <c r="M1379" t="s">
        <v>6</v>
      </c>
    </row>
    <row r="1380" spans="2:13" hidden="1">
      <c r="B1380">
        <v>1378</v>
      </c>
      <c r="C1380">
        <v>129</v>
      </c>
      <c r="D1380">
        <v>6</v>
      </c>
      <c r="E1380">
        <v>3</v>
      </c>
      <c r="F1380">
        <v>0</v>
      </c>
      <c r="G1380" t="s">
        <v>1067</v>
      </c>
      <c r="H1380" t="s">
        <v>9</v>
      </c>
      <c r="I1380" t="s">
        <v>1069</v>
      </c>
      <c r="J1380" t="s">
        <v>55</v>
      </c>
      <c r="K1380" t="s">
        <v>1072</v>
      </c>
      <c r="M1380" t="s">
        <v>6</v>
      </c>
    </row>
    <row r="1381" spans="2:13" hidden="1">
      <c r="B1381">
        <v>1379</v>
      </c>
      <c r="C1381">
        <v>129</v>
      </c>
      <c r="D1381">
        <v>6</v>
      </c>
      <c r="E1381">
        <v>4</v>
      </c>
      <c r="F1381">
        <v>0</v>
      </c>
      <c r="G1381" t="s">
        <v>1067</v>
      </c>
      <c r="H1381" t="s">
        <v>9</v>
      </c>
      <c r="I1381" t="s">
        <v>1069</v>
      </c>
      <c r="J1381" t="s">
        <v>55</v>
      </c>
      <c r="K1381" t="s">
        <v>1073</v>
      </c>
      <c r="M1381" t="s">
        <v>6</v>
      </c>
    </row>
    <row r="1382" spans="2:13" hidden="1">
      <c r="B1382">
        <v>1380</v>
      </c>
      <c r="C1382">
        <v>129</v>
      </c>
      <c r="D1382">
        <v>6</v>
      </c>
      <c r="E1382">
        <v>5</v>
      </c>
      <c r="F1382">
        <v>0</v>
      </c>
      <c r="G1382" t="s">
        <v>1067</v>
      </c>
      <c r="H1382" t="s">
        <v>9</v>
      </c>
      <c r="I1382" t="s">
        <v>1069</v>
      </c>
      <c r="J1382" t="s">
        <v>55</v>
      </c>
      <c r="K1382" t="s">
        <v>93</v>
      </c>
      <c r="M1382" t="s">
        <v>6</v>
      </c>
    </row>
    <row r="1383" spans="2:13" hidden="1">
      <c r="B1383">
        <v>1381</v>
      </c>
      <c r="C1383">
        <v>129</v>
      </c>
      <c r="D1383">
        <v>6</v>
      </c>
      <c r="E1383">
        <v>6</v>
      </c>
      <c r="F1383">
        <v>0</v>
      </c>
      <c r="G1383" t="s">
        <v>1067</v>
      </c>
      <c r="H1383" t="s">
        <v>9</v>
      </c>
      <c r="I1383" t="s">
        <v>1069</v>
      </c>
      <c r="J1383" t="s">
        <v>64</v>
      </c>
      <c r="K1383" t="s">
        <v>94</v>
      </c>
      <c r="M1383" t="s">
        <v>6</v>
      </c>
    </row>
    <row r="1384" spans="2:13" hidden="1">
      <c r="B1384">
        <v>1382</v>
      </c>
      <c r="C1384">
        <v>130</v>
      </c>
      <c r="D1384">
        <v>5</v>
      </c>
      <c r="E1384">
        <v>0</v>
      </c>
      <c r="F1384">
        <v>0</v>
      </c>
      <c r="G1384" t="s">
        <v>1067</v>
      </c>
      <c r="H1384" t="s">
        <v>9</v>
      </c>
      <c r="I1384" t="s">
        <v>1074</v>
      </c>
      <c r="J1384" t="s">
        <v>54</v>
      </c>
      <c r="K1384" t="s">
        <v>1074</v>
      </c>
      <c r="M1384" t="s">
        <v>6</v>
      </c>
    </row>
    <row r="1385" spans="2:13" hidden="1">
      <c r="B1385">
        <v>1383</v>
      </c>
      <c r="C1385">
        <v>130</v>
      </c>
      <c r="D1385">
        <v>5</v>
      </c>
      <c r="E1385">
        <v>1</v>
      </c>
      <c r="F1385">
        <v>0</v>
      </c>
      <c r="G1385" t="s">
        <v>1067</v>
      </c>
      <c r="H1385" t="s">
        <v>9</v>
      </c>
      <c r="I1385" t="s">
        <v>1074</v>
      </c>
      <c r="J1385" t="s">
        <v>55</v>
      </c>
      <c r="K1385" t="s">
        <v>1075</v>
      </c>
      <c r="M1385" t="s">
        <v>6</v>
      </c>
    </row>
    <row r="1386" spans="2:13" hidden="1">
      <c r="B1386">
        <v>1384</v>
      </c>
      <c r="C1386">
        <v>130</v>
      </c>
      <c r="D1386">
        <v>5</v>
      </c>
      <c r="E1386">
        <v>2</v>
      </c>
      <c r="F1386">
        <v>0</v>
      </c>
      <c r="G1386" t="s">
        <v>1067</v>
      </c>
      <c r="H1386" t="s">
        <v>9</v>
      </c>
      <c r="I1386" t="s">
        <v>1074</v>
      </c>
      <c r="J1386" t="s">
        <v>55</v>
      </c>
      <c r="K1386" t="s">
        <v>1076</v>
      </c>
      <c r="M1386" t="s">
        <v>6</v>
      </c>
    </row>
    <row r="1387" spans="2:13" hidden="1">
      <c r="B1387">
        <v>1385</v>
      </c>
      <c r="C1387">
        <v>130</v>
      </c>
      <c r="D1387">
        <v>5</v>
      </c>
      <c r="E1387">
        <v>3</v>
      </c>
      <c r="F1387">
        <v>0</v>
      </c>
      <c r="G1387" t="s">
        <v>1067</v>
      </c>
      <c r="H1387" t="s">
        <v>9</v>
      </c>
      <c r="I1387" t="s">
        <v>1074</v>
      </c>
      <c r="J1387" t="s">
        <v>55</v>
      </c>
      <c r="K1387" t="s">
        <v>1077</v>
      </c>
      <c r="M1387" t="s">
        <v>6</v>
      </c>
    </row>
    <row r="1388" spans="2:13" hidden="1">
      <c r="B1388">
        <v>1386</v>
      </c>
      <c r="C1388">
        <v>130</v>
      </c>
      <c r="D1388">
        <v>5</v>
      </c>
      <c r="E1388">
        <v>4</v>
      </c>
      <c r="F1388">
        <v>0</v>
      </c>
      <c r="G1388" t="s">
        <v>1067</v>
      </c>
      <c r="H1388" t="s">
        <v>9</v>
      </c>
      <c r="I1388" t="s">
        <v>1074</v>
      </c>
      <c r="J1388" t="s">
        <v>55</v>
      </c>
      <c r="K1388" t="s">
        <v>93</v>
      </c>
      <c r="M1388" t="s">
        <v>6</v>
      </c>
    </row>
    <row r="1389" spans="2:13" hidden="1">
      <c r="B1389">
        <v>1387</v>
      </c>
      <c r="C1389">
        <v>130</v>
      </c>
      <c r="D1389">
        <v>5</v>
      </c>
      <c r="E1389">
        <v>5</v>
      </c>
      <c r="F1389">
        <v>0</v>
      </c>
      <c r="G1389" t="s">
        <v>1067</v>
      </c>
      <c r="H1389" t="s">
        <v>9</v>
      </c>
      <c r="I1389" t="s">
        <v>1074</v>
      </c>
      <c r="J1389" t="s">
        <v>64</v>
      </c>
      <c r="K1389" t="s">
        <v>94</v>
      </c>
      <c r="M1389" t="s">
        <v>6</v>
      </c>
    </row>
    <row r="1390" spans="2:13" hidden="1">
      <c r="B1390">
        <v>1388</v>
      </c>
      <c r="C1390">
        <v>131</v>
      </c>
      <c r="D1390">
        <v>10</v>
      </c>
      <c r="E1390">
        <v>0</v>
      </c>
      <c r="F1390">
        <v>0</v>
      </c>
      <c r="G1390" t="s">
        <v>1067</v>
      </c>
      <c r="H1390" t="s">
        <v>9</v>
      </c>
      <c r="I1390" t="s">
        <v>1078</v>
      </c>
      <c r="J1390" t="s">
        <v>54</v>
      </c>
      <c r="K1390" t="s">
        <v>1078</v>
      </c>
      <c r="M1390" t="s">
        <v>6</v>
      </c>
    </row>
    <row r="1391" spans="2:13" hidden="1">
      <c r="B1391">
        <v>1389</v>
      </c>
      <c r="C1391">
        <v>131</v>
      </c>
      <c r="D1391">
        <v>10</v>
      </c>
      <c r="E1391">
        <v>1</v>
      </c>
      <c r="F1391">
        <v>0</v>
      </c>
      <c r="G1391" t="s">
        <v>1067</v>
      </c>
      <c r="H1391" t="s">
        <v>9</v>
      </c>
      <c r="I1391" t="s">
        <v>1078</v>
      </c>
      <c r="J1391" t="s">
        <v>55</v>
      </c>
      <c r="K1391" t="s">
        <v>1079</v>
      </c>
      <c r="M1391" t="s">
        <v>6</v>
      </c>
    </row>
    <row r="1392" spans="2:13" hidden="1">
      <c r="B1392">
        <v>1390</v>
      </c>
      <c r="C1392">
        <v>131</v>
      </c>
      <c r="D1392">
        <v>10</v>
      </c>
      <c r="E1392">
        <v>2</v>
      </c>
      <c r="F1392">
        <v>0</v>
      </c>
      <c r="G1392" t="s">
        <v>1067</v>
      </c>
      <c r="H1392" t="s">
        <v>9</v>
      </c>
      <c r="I1392" t="s">
        <v>1078</v>
      </c>
      <c r="J1392" t="s">
        <v>55</v>
      </c>
      <c r="K1392" t="s">
        <v>1080</v>
      </c>
      <c r="M1392" t="s">
        <v>6</v>
      </c>
    </row>
    <row r="1393" spans="2:13" hidden="1">
      <c r="B1393">
        <v>1391</v>
      </c>
      <c r="C1393">
        <v>131</v>
      </c>
      <c r="D1393">
        <v>10</v>
      </c>
      <c r="E1393">
        <v>3</v>
      </c>
      <c r="F1393">
        <v>0</v>
      </c>
      <c r="G1393" t="s">
        <v>1067</v>
      </c>
      <c r="H1393" t="s">
        <v>9</v>
      </c>
      <c r="I1393" t="s">
        <v>1078</v>
      </c>
      <c r="J1393" t="s">
        <v>55</v>
      </c>
      <c r="K1393" t="s">
        <v>1081</v>
      </c>
      <c r="M1393" t="s">
        <v>6</v>
      </c>
    </row>
    <row r="1394" spans="2:13" hidden="1">
      <c r="B1394">
        <v>1392</v>
      </c>
      <c r="C1394">
        <v>131</v>
      </c>
      <c r="D1394">
        <v>10</v>
      </c>
      <c r="E1394">
        <v>4</v>
      </c>
      <c r="F1394">
        <v>0</v>
      </c>
      <c r="G1394" t="s">
        <v>1067</v>
      </c>
      <c r="H1394" t="s">
        <v>9</v>
      </c>
      <c r="I1394" t="s">
        <v>1078</v>
      </c>
      <c r="J1394" t="s">
        <v>55</v>
      </c>
      <c r="K1394" t="s">
        <v>1082</v>
      </c>
      <c r="M1394" t="s">
        <v>6</v>
      </c>
    </row>
    <row r="1395" spans="2:13" hidden="1">
      <c r="B1395">
        <v>1393</v>
      </c>
      <c r="C1395">
        <v>131</v>
      </c>
      <c r="D1395">
        <v>10</v>
      </c>
      <c r="E1395">
        <v>5</v>
      </c>
      <c r="F1395">
        <v>0</v>
      </c>
      <c r="G1395" t="s">
        <v>1067</v>
      </c>
      <c r="H1395" t="s">
        <v>9</v>
      </c>
      <c r="I1395" t="s">
        <v>1078</v>
      </c>
      <c r="J1395" t="s">
        <v>55</v>
      </c>
      <c r="K1395" t="s">
        <v>1083</v>
      </c>
      <c r="M1395" t="s">
        <v>6</v>
      </c>
    </row>
    <row r="1396" spans="2:13" hidden="1">
      <c r="B1396">
        <v>1394</v>
      </c>
      <c r="C1396">
        <v>131</v>
      </c>
      <c r="D1396">
        <v>10</v>
      </c>
      <c r="E1396">
        <v>6</v>
      </c>
      <c r="F1396">
        <v>0</v>
      </c>
      <c r="G1396" t="s">
        <v>1067</v>
      </c>
      <c r="H1396" t="s">
        <v>9</v>
      </c>
      <c r="I1396" t="s">
        <v>1078</v>
      </c>
      <c r="J1396" t="s">
        <v>55</v>
      </c>
      <c r="K1396" t="s">
        <v>1084</v>
      </c>
      <c r="M1396" t="s">
        <v>6</v>
      </c>
    </row>
    <row r="1397" spans="2:13" hidden="1">
      <c r="B1397">
        <v>1395</v>
      </c>
      <c r="C1397">
        <v>131</v>
      </c>
      <c r="D1397">
        <v>10</v>
      </c>
      <c r="E1397">
        <v>7</v>
      </c>
      <c r="F1397">
        <v>0</v>
      </c>
      <c r="G1397" t="s">
        <v>1067</v>
      </c>
      <c r="H1397" t="s">
        <v>9</v>
      </c>
      <c r="I1397" t="s">
        <v>1078</v>
      </c>
      <c r="J1397" t="s">
        <v>55</v>
      </c>
      <c r="K1397" t="s">
        <v>1085</v>
      </c>
      <c r="M1397" t="s">
        <v>6</v>
      </c>
    </row>
    <row r="1398" spans="2:13" hidden="1">
      <c r="B1398">
        <v>1396</v>
      </c>
      <c r="C1398">
        <v>131</v>
      </c>
      <c r="D1398">
        <v>10</v>
      </c>
      <c r="E1398">
        <v>8</v>
      </c>
      <c r="F1398">
        <v>0</v>
      </c>
      <c r="G1398" t="s">
        <v>1067</v>
      </c>
      <c r="H1398" t="s">
        <v>9</v>
      </c>
      <c r="I1398" t="s">
        <v>1078</v>
      </c>
      <c r="J1398" t="s">
        <v>55</v>
      </c>
      <c r="K1398" t="s">
        <v>1086</v>
      </c>
      <c r="M1398" t="s">
        <v>6</v>
      </c>
    </row>
    <row r="1399" spans="2:13" hidden="1">
      <c r="B1399">
        <v>1397</v>
      </c>
      <c r="C1399">
        <v>131</v>
      </c>
      <c r="D1399">
        <v>10</v>
      </c>
      <c r="E1399">
        <v>9</v>
      </c>
      <c r="F1399">
        <v>0</v>
      </c>
      <c r="G1399" t="s">
        <v>1067</v>
      </c>
      <c r="H1399" t="s">
        <v>9</v>
      </c>
      <c r="I1399" t="s">
        <v>1078</v>
      </c>
      <c r="J1399" t="s">
        <v>55</v>
      </c>
      <c r="K1399" t="s">
        <v>93</v>
      </c>
      <c r="M1399" t="s">
        <v>6</v>
      </c>
    </row>
    <row r="1400" spans="2:13" hidden="1">
      <c r="B1400">
        <v>1398</v>
      </c>
      <c r="C1400">
        <v>131</v>
      </c>
      <c r="D1400">
        <v>10</v>
      </c>
      <c r="E1400">
        <v>10</v>
      </c>
      <c r="F1400">
        <v>0</v>
      </c>
      <c r="G1400" t="s">
        <v>1067</v>
      </c>
      <c r="H1400" t="s">
        <v>9</v>
      </c>
      <c r="I1400" t="s">
        <v>1078</v>
      </c>
      <c r="J1400" t="s">
        <v>64</v>
      </c>
      <c r="K1400" t="s">
        <v>94</v>
      </c>
      <c r="M1400" t="s">
        <v>6</v>
      </c>
    </row>
    <row r="1401" spans="2:13" hidden="1">
      <c r="B1401">
        <v>1399</v>
      </c>
      <c r="C1401">
        <v>132</v>
      </c>
      <c r="D1401">
        <v>7</v>
      </c>
      <c r="E1401">
        <v>0</v>
      </c>
      <c r="F1401">
        <v>0</v>
      </c>
      <c r="G1401" t="s">
        <v>1067</v>
      </c>
      <c r="H1401" t="s">
        <v>9</v>
      </c>
      <c r="I1401" t="s">
        <v>1087</v>
      </c>
      <c r="J1401" t="s">
        <v>54</v>
      </c>
      <c r="K1401" t="s">
        <v>1087</v>
      </c>
      <c r="M1401" t="s">
        <v>6</v>
      </c>
    </row>
    <row r="1402" spans="2:13" hidden="1">
      <c r="B1402">
        <v>1400</v>
      </c>
      <c r="C1402">
        <v>132</v>
      </c>
      <c r="D1402">
        <v>7</v>
      </c>
      <c r="E1402">
        <v>1</v>
      </c>
      <c r="F1402">
        <v>0</v>
      </c>
      <c r="G1402" t="s">
        <v>1067</v>
      </c>
      <c r="H1402" t="s">
        <v>9</v>
      </c>
      <c r="I1402" t="s">
        <v>1087</v>
      </c>
      <c r="J1402" t="s">
        <v>55</v>
      </c>
      <c r="K1402" t="s">
        <v>1088</v>
      </c>
      <c r="M1402" t="s">
        <v>6</v>
      </c>
    </row>
    <row r="1403" spans="2:13" hidden="1">
      <c r="B1403">
        <v>1401</v>
      </c>
      <c r="C1403">
        <v>132</v>
      </c>
      <c r="D1403">
        <v>7</v>
      </c>
      <c r="E1403">
        <v>2</v>
      </c>
      <c r="F1403">
        <v>0</v>
      </c>
      <c r="G1403" t="s">
        <v>1067</v>
      </c>
      <c r="H1403" t="s">
        <v>9</v>
      </c>
      <c r="I1403" t="s">
        <v>1087</v>
      </c>
      <c r="J1403" t="s">
        <v>55</v>
      </c>
      <c r="K1403" t="s">
        <v>1089</v>
      </c>
      <c r="M1403" t="s">
        <v>6</v>
      </c>
    </row>
    <row r="1404" spans="2:13" hidden="1">
      <c r="B1404">
        <v>1402</v>
      </c>
      <c r="C1404">
        <v>132</v>
      </c>
      <c r="D1404">
        <v>7</v>
      </c>
      <c r="E1404">
        <v>3</v>
      </c>
      <c r="F1404">
        <v>0</v>
      </c>
      <c r="G1404" t="s">
        <v>1067</v>
      </c>
      <c r="H1404" t="s">
        <v>9</v>
      </c>
      <c r="I1404" t="s">
        <v>1087</v>
      </c>
      <c r="J1404" t="s">
        <v>55</v>
      </c>
      <c r="K1404" t="s">
        <v>1090</v>
      </c>
      <c r="M1404" t="s">
        <v>6</v>
      </c>
    </row>
    <row r="1405" spans="2:13" hidden="1">
      <c r="B1405">
        <v>1403</v>
      </c>
      <c r="C1405">
        <v>132</v>
      </c>
      <c r="D1405">
        <v>7</v>
      </c>
      <c r="E1405">
        <v>4</v>
      </c>
      <c r="F1405">
        <v>0</v>
      </c>
      <c r="G1405" t="s">
        <v>1067</v>
      </c>
      <c r="H1405" t="s">
        <v>9</v>
      </c>
      <c r="I1405" t="s">
        <v>1087</v>
      </c>
      <c r="J1405" t="s">
        <v>55</v>
      </c>
      <c r="K1405" t="s">
        <v>1079</v>
      </c>
      <c r="M1405" t="s">
        <v>6</v>
      </c>
    </row>
    <row r="1406" spans="2:13" hidden="1">
      <c r="B1406">
        <v>1404</v>
      </c>
      <c r="C1406">
        <v>132</v>
      </c>
      <c r="D1406">
        <v>7</v>
      </c>
      <c r="E1406">
        <v>5</v>
      </c>
      <c r="F1406">
        <v>0</v>
      </c>
      <c r="G1406" t="s">
        <v>1067</v>
      </c>
      <c r="H1406" t="s">
        <v>9</v>
      </c>
      <c r="I1406" t="s">
        <v>1087</v>
      </c>
      <c r="J1406" t="s">
        <v>55</v>
      </c>
      <c r="K1406" t="s">
        <v>1091</v>
      </c>
      <c r="M1406" t="s">
        <v>6</v>
      </c>
    </row>
    <row r="1407" spans="2:13" hidden="1">
      <c r="B1407">
        <v>1405</v>
      </c>
      <c r="C1407">
        <v>132</v>
      </c>
      <c r="D1407">
        <v>7</v>
      </c>
      <c r="E1407">
        <v>6</v>
      </c>
      <c r="F1407">
        <v>0</v>
      </c>
      <c r="G1407" t="s">
        <v>1067</v>
      </c>
      <c r="H1407" t="s">
        <v>9</v>
      </c>
      <c r="I1407" t="s">
        <v>1087</v>
      </c>
      <c r="J1407" t="s">
        <v>55</v>
      </c>
      <c r="K1407" t="s">
        <v>93</v>
      </c>
      <c r="M1407" t="s">
        <v>6</v>
      </c>
    </row>
    <row r="1408" spans="2:13" hidden="1">
      <c r="B1408">
        <v>1406</v>
      </c>
      <c r="C1408">
        <v>132</v>
      </c>
      <c r="D1408">
        <v>7</v>
      </c>
      <c r="E1408">
        <v>7</v>
      </c>
      <c r="F1408">
        <v>0</v>
      </c>
      <c r="G1408" t="s">
        <v>1067</v>
      </c>
      <c r="H1408" t="s">
        <v>9</v>
      </c>
      <c r="I1408" t="s">
        <v>1087</v>
      </c>
      <c r="J1408" t="s">
        <v>64</v>
      </c>
      <c r="K1408" t="s">
        <v>94</v>
      </c>
      <c r="M1408" t="s">
        <v>6</v>
      </c>
    </row>
    <row r="1409" spans="2:13" hidden="1">
      <c r="B1409">
        <v>1407</v>
      </c>
      <c r="C1409">
        <v>133</v>
      </c>
      <c r="D1409">
        <v>11</v>
      </c>
      <c r="E1409">
        <v>0</v>
      </c>
      <c r="F1409">
        <v>0</v>
      </c>
      <c r="G1409" t="s">
        <v>1067</v>
      </c>
      <c r="H1409" t="s">
        <v>9</v>
      </c>
      <c r="I1409" t="s">
        <v>1092</v>
      </c>
      <c r="J1409" t="s">
        <v>478</v>
      </c>
      <c r="K1409" t="s">
        <v>1092</v>
      </c>
      <c r="M1409" t="s">
        <v>6</v>
      </c>
    </row>
    <row r="1410" spans="2:13" hidden="1">
      <c r="B1410">
        <v>1408</v>
      </c>
      <c r="C1410">
        <v>133</v>
      </c>
      <c r="D1410">
        <v>11</v>
      </c>
      <c r="E1410">
        <v>1</v>
      </c>
      <c r="F1410">
        <v>0</v>
      </c>
      <c r="G1410" t="s">
        <v>1067</v>
      </c>
      <c r="H1410" t="s">
        <v>9</v>
      </c>
      <c r="I1410" t="s">
        <v>1092</v>
      </c>
      <c r="J1410" t="s">
        <v>55</v>
      </c>
      <c r="K1410" t="s">
        <v>1093</v>
      </c>
      <c r="M1410" t="s">
        <v>6</v>
      </c>
    </row>
    <row r="1411" spans="2:13" hidden="1">
      <c r="B1411">
        <v>1409</v>
      </c>
      <c r="C1411">
        <v>133</v>
      </c>
      <c r="D1411">
        <v>11</v>
      </c>
      <c r="E1411">
        <v>2</v>
      </c>
      <c r="F1411">
        <v>0</v>
      </c>
      <c r="G1411" t="s">
        <v>1067</v>
      </c>
      <c r="H1411" t="s">
        <v>9</v>
      </c>
      <c r="I1411" t="s">
        <v>1092</v>
      </c>
      <c r="J1411" t="s">
        <v>55</v>
      </c>
      <c r="K1411" t="s">
        <v>1094</v>
      </c>
      <c r="M1411" t="s">
        <v>6</v>
      </c>
    </row>
    <row r="1412" spans="2:13" hidden="1">
      <c r="B1412">
        <v>1410</v>
      </c>
      <c r="C1412">
        <v>133</v>
      </c>
      <c r="D1412">
        <v>11</v>
      </c>
      <c r="E1412">
        <v>3</v>
      </c>
      <c r="F1412">
        <v>0</v>
      </c>
      <c r="G1412" t="s">
        <v>1067</v>
      </c>
      <c r="H1412" t="s">
        <v>9</v>
      </c>
      <c r="I1412" t="s">
        <v>1092</v>
      </c>
      <c r="J1412" t="s">
        <v>55</v>
      </c>
      <c r="K1412" t="s">
        <v>1095</v>
      </c>
      <c r="M1412" t="s">
        <v>6</v>
      </c>
    </row>
    <row r="1413" spans="2:13" hidden="1">
      <c r="B1413">
        <v>1411</v>
      </c>
      <c r="C1413">
        <v>133</v>
      </c>
      <c r="D1413">
        <v>11</v>
      </c>
      <c r="E1413">
        <v>4</v>
      </c>
      <c r="F1413">
        <v>0</v>
      </c>
      <c r="G1413" t="s">
        <v>1067</v>
      </c>
      <c r="H1413" t="s">
        <v>9</v>
      </c>
      <c r="I1413" t="s">
        <v>1092</v>
      </c>
      <c r="J1413" t="s">
        <v>55</v>
      </c>
      <c r="K1413" t="s">
        <v>1096</v>
      </c>
      <c r="M1413" t="s">
        <v>6</v>
      </c>
    </row>
    <row r="1414" spans="2:13" hidden="1">
      <c r="B1414">
        <v>1412</v>
      </c>
      <c r="C1414">
        <v>133</v>
      </c>
      <c r="D1414">
        <v>11</v>
      </c>
      <c r="E1414">
        <v>5</v>
      </c>
      <c r="F1414">
        <v>0</v>
      </c>
      <c r="G1414" t="s">
        <v>1067</v>
      </c>
      <c r="H1414" t="s">
        <v>9</v>
      </c>
      <c r="I1414" t="s">
        <v>1092</v>
      </c>
      <c r="J1414" t="s">
        <v>55</v>
      </c>
      <c r="K1414" t="s">
        <v>1097</v>
      </c>
      <c r="M1414" t="s">
        <v>6</v>
      </c>
    </row>
    <row r="1415" spans="2:13" hidden="1">
      <c r="B1415">
        <v>1413</v>
      </c>
      <c r="C1415">
        <v>133</v>
      </c>
      <c r="D1415">
        <v>11</v>
      </c>
      <c r="E1415">
        <v>6</v>
      </c>
      <c r="F1415">
        <v>0</v>
      </c>
      <c r="G1415" t="s">
        <v>1067</v>
      </c>
      <c r="H1415" t="s">
        <v>9</v>
      </c>
      <c r="I1415" t="s">
        <v>1092</v>
      </c>
      <c r="J1415" t="s">
        <v>55</v>
      </c>
      <c r="K1415" t="s">
        <v>1098</v>
      </c>
      <c r="M1415" t="s">
        <v>6</v>
      </c>
    </row>
    <row r="1416" spans="2:13" hidden="1">
      <c r="B1416">
        <v>1414</v>
      </c>
      <c r="C1416">
        <v>133</v>
      </c>
      <c r="D1416">
        <v>11</v>
      </c>
      <c r="E1416">
        <v>7</v>
      </c>
      <c r="F1416">
        <v>0</v>
      </c>
      <c r="G1416" t="s">
        <v>1067</v>
      </c>
      <c r="H1416" t="s">
        <v>9</v>
      </c>
      <c r="I1416" t="s">
        <v>1092</v>
      </c>
      <c r="J1416" t="s">
        <v>55</v>
      </c>
      <c r="K1416" t="s">
        <v>1099</v>
      </c>
      <c r="M1416" t="s">
        <v>6</v>
      </c>
    </row>
    <row r="1417" spans="2:13" hidden="1">
      <c r="B1417">
        <v>1415</v>
      </c>
      <c r="C1417">
        <v>133</v>
      </c>
      <c r="D1417">
        <v>11</v>
      </c>
      <c r="E1417">
        <v>8</v>
      </c>
      <c r="F1417">
        <v>0</v>
      </c>
      <c r="G1417" t="s">
        <v>1067</v>
      </c>
      <c r="H1417" t="s">
        <v>9</v>
      </c>
      <c r="I1417" t="s">
        <v>1092</v>
      </c>
      <c r="J1417" t="s">
        <v>55</v>
      </c>
      <c r="K1417" t="s">
        <v>1100</v>
      </c>
      <c r="M1417" t="s">
        <v>6</v>
      </c>
    </row>
    <row r="1418" spans="2:13" hidden="1">
      <c r="B1418">
        <v>1416</v>
      </c>
      <c r="C1418">
        <v>133</v>
      </c>
      <c r="D1418">
        <v>11</v>
      </c>
      <c r="E1418">
        <v>9</v>
      </c>
      <c r="F1418">
        <v>0</v>
      </c>
      <c r="G1418" t="s">
        <v>1067</v>
      </c>
      <c r="H1418" t="s">
        <v>9</v>
      </c>
      <c r="I1418" t="s">
        <v>1092</v>
      </c>
      <c r="J1418" t="s">
        <v>55</v>
      </c>
      <c r="K1418" t="s">
        <v>1101</v>
      </c>
      <c r="M1418" t="s">
        <v>6</v>
      </c>
    </row>
    <row r="1419" spans="2:13" hidden="1">
      <c r="B1419">
        <v>1417</v>
      </c>
      <c r="C1419">
        <v>133</v>
      </c>
      <c r="D1419">
        <v>11</v>
      </c>
      <c r="E1419">
        <v>10</v>
      </c>
      <c r="F1419">
        <v>0</v>
      </c>
      <c r="G1419" t="s">
        <v>1067</v>
      </c>
      <c r="H1419" t="s">
        <v>9</v>
      </c>
      <c r="I1419" t="s">
        <v>1092</v>
      </c>
      <c r="J1419" t="s">
        <v>55</v>
      </c>
      <c r="K1419" t="s">
        <v>93</v>
      </c>
      <c r="M1419" t="s">
        <v>6</v>
      </c>
    </row>
    <row r="1420" spans="2:13" hidden="1">
      <c r="B1420">
        <v>1418</v>
      </c>
      <c r="C1420">
        <v>133</v>
      </c>
      <c r="D1420">
        <v>11</v>
      </c>
      <c r="E1420">
        <v>11</v>
      </c>
      <c r="F1420">
        <v>0</v>
      </c>
      <c r="G1420" t="s">
        <v>1067</v>
      </c>
      <c r="H1420" t="s">
        <v>9</v>
      </c>
      <c r="I1420" t="s">
        <v>1092</v>
      </c>
      <c r="J1420" t="s">
        <v>64</v>
      </c>
      <c r="K1420" t="s">
        <v>94</v>
      </c>
      <c r="M1420" t="s">
        <v>6</v>
      </c>
    </row>
    <row r="1421" spans="2:13" hidden="1">
      <c r="B1421">
        <v>1419</v>
      </c>
      <c r="C1421">
        <v>134</v>
      </c>
      <c r="D1421">
        <v>5</v>
      </c>
      <c r="E1421">
        <v>0</v>
      </c>
      <c r="F1421">
        <v>0</v>
      </c>
      <c r="G1421" t="s">
        <v>1067</v>
      </c>
      <c r="H1421" t="s">
        <v>9</v>
      </c>
      <c r="I1421" t="s">
        <v>1102</v>
      </c>
      <c r="J1421" t="s">
        <v>54</v>
      </c>
      <c r="K1421" t="s">
        <v>1102</v>
      </c>
      <c r="M1421" t="s">
        <v>6</v>
      </c>
    </row>
    <row r="1422" spans="2:13" hidden="1">
      <c r="B1422">
        <v>1420</v>
      </c>
      <c r="C1422">
        <v>134</v>
      </c>
      <c r="D1422">
        <v>5</v>
      </c>
      <c r="E1422">
        <v>1</v>
      </c>
      <c r="F1422">
        <v>0</v>
      </c>
      <c r="G1422" t="s">
        <v>1067</v>
      </c>
      <c r="H1422" t="s">
        <v>9</v>
      </c>
      <c r="I1422" t="s">
        <v>1102</v>
      </c>
      <c r="J1422" t="s">
        <v>55</v>
      </c>
      <c r="K1422" t="s">
        <v>1103</v>
      </c>
      <c r="M1422" t="s">
        <v>6</v>
      </c>
    </row>
    <row r="1423" spans="2:13" hidden="1">
      <c r="B1423">
        <v>1421</v>
      </c>
      <c r="C1423">
        <v>134</v>
      </c>
      <c r="D1423">
        <v>5</v>
      </c>
      <c r="E1423">
        <v>2</v>
      </c>
      <c r="F1423">
        <v>0</v>
      </c>
      <c r="G1423" t="s">
        <v>1067</v>
      </c>
      <c r="H1423" t="s">
        <v>9</v>
      </c>
      <c r="I1423" t="s">
        <v>1102</v>
      </c>
      <c r="J1423" t="s">
        <v>55</v>
      </c>
      <c r="K1423" t="s">
        <v>1104</v>
      </c>
      <c r="M1423" t="s">
        <v>6</v>
      </c>
    </row>
    <row r="1424" spans="2:13" hidden="1">
      <c r="B1424">
        <v>1422</v>
      </c>
      <c r="C1424">
        <v>134</v>
      </c>
      <c r="D1424">
        <v>5</v>
      </c>
      <c r="E1424">
        <v>3</v>
      </c>
      <c r="F1424">
        <v>0</v>
      </c>
      <c r="G1424" t="s">
        <v>1067</v>
      </c>
      <c r="H1424" t="s">
        <v>9</v>
      </c>
      <c r="I1424" t="s">
        <v>1102</v>
      </c>
      <c r="J1424" t="s">
        <v>64</v>
      </c>
      <c r="K1424" t="s">
        <v>1105</v>
      </c>
      <c r="M1424" t="s">
        <v>6</v>
      </c>
    </row>
    <row r="1425" spans="2:13" hidden="1">
      <c r="B1425">
        <v>1423</v>
      </c>
      <c r="C1425">
        <v>134</v>
      </c>
      <c r="D1425">
        <v>5</v>
      </c>
      <c r="E1425">
        <v>4</v>
      </c>
      <c r="F1425">
        <v>0</v>
      </c>
      <c r="G1425" t="s">
        <v>1067</v>
      </c>
      <c r="H1425" t="s">
        <v>9</v>
      </c>
      <c r="I1425" t="s">
        <v>1102</v>
      </c>
      <c r="J1425" t="s">
        <v>55</v>
      </c>
      <c r="K1425" t="s">
        <v>93</v>
      </c>
      <c r="M1425" t="s">
        <v>6</v>
      </c>
    </row>
    <row r="1426" spans="2:13" hidden="1">
      <c r="B1426">
        <v>1424</v>
      </c>
      <c r="C1426">
        <v>134</v>
      </c>
      <c r="D1426">
        <v>5</v>
      </c>
      <c r="E1426">
        <v>5</v>
      </c>
      <c r="F1426">
        <v>0</v>
      </c>
      <c r="G1426" t="s">
        <v>1067</v>
      </c>
      <c r="H1426" t="s">
        <v>9</v>
      </c>
      <c r="I1426" t="s">
        <v>1102</v>
      </c>
      <c r="J1426" t="s">
        <v>64</v>
      </c>
      <c r="K1426" t="s">
        <v>94</v>
      </c>
      <c r="M1426" t="s">
        <v>6</v>
      </c>
    </row>
    <row r="1427" spans="2:13" hidden="1">
      <c r="B1427">
        <v>1425</v>
      </c>
      <c r="C1427">
        <v>135</v>
      </c>
      <c r="D1427">
        <v>5</v>
      </c>
      <c r="E1427">
        <v>0</v>
      </c>
      <c r="F1427">
        <v>0</v>
      </c>
      <c r="G1427" t="s">
        <v>1067</v>
      </c>
      <c r="H1427" t="s">
        <v>9</v>
      </c>
      <c r="I1427" t="s">
        <v>1106</v>
      </c>
      <c r="J1427" t="s">
        <v>54</v>
      </c>
      <c r="K1427" t="s">
        <v>1106</v>
      </c>
      <c r="M1427" t="s">
        <v>6</v>
      </c>
    </row>
    <row r="1428" spans="2:13" hidden="1">
      <c r="B1428">
        <v>1426</v>
      </c>
      <c r="C1428">
        <v>135</v>
      </c>
      <c r="D1428">
        <v>5</v>
      </c>
      <c r="E1428">
        <v>1</v>
      </c>
      <c r="F1428">
        <v>0</v>
      </c>
      <c r="G1428" t="s">
        <v>1067</v>
      </c>
      <c r="H1428" t="s">
        <v>9</v>
      </c>
      <c r="I1428" t="s">
        <v>1106</v>
      </c>
      <c r="J1428" t="s">
        <v>55</v>
      </c>
      <c r="K1428" t="s">
        <v>1107</v>
      </c>
      <c r="M1428" t="s">
        <v>6</v>
      </c>
    </row>
    <row r="1429" spans="2:13" hidden="1">
      <c r="B1429">
        <v>1427</v>
      </c>
      <c r="C1429">
        <v>135</v>
      </c>
      <c r="D1429">
        <v>5</v>
      </c>
      <c r="E1429">
        <v>2</v>
      </c>
      <c r="F1429">
        <v>0</v>
      </c>
      <c r="G1429" t="s">
        <v>1067</v>
      </c>
      <c r="H1429" t="s">
        <v>9</v>
      </c>
      <c r="I1429" t="s">
        <v>1106</v>
      </c>
      <c r="J1429" t="s">
        <v>55</v>
      </c>
      <c r="K1429" t="s">
        <v>1108</v>
      </c>
      <c r="M1429" t="s">
        <v>6</v>
      </c>
    </row>
    <row r="1430" spans="2:13" hidden="1">
      <c r="B1430">
        <v>1428</v>
      </c>
      <c r="C1430">
        <v>135</v>
      </c>
      <c r="D1430">
        <v>5</v>
      </c>
      <c r="E1430">
        <v>3</v>
      </c>
      <c r="F1430">
        <v>0</v>
      </c>
      <c r="G1430" t="s">
        <v>1067</v>
      </c>
      <c r="H1430" t="s">
        <v>9</v>
      </c>
      <c r="I1430" t="s">
        <v>1106</v>
      </c>
      <c r="J1430" t="s">
        <v>64</v>
      </c>
      <c r="K1430" t="s">
        <v>1105</v>
      </c>
      <c r="M1430" t="s">
        <v>6</v>
      </c>
    </row>
    <row r="1431" spans="2:13" hidden="1">
      <c r="B1431">
        <v>1429</v>
      </c>
      <c r="C1431">
        <v>135</v>
      </c>
      <c r="D1431">
        <v>5</v>
      </c>
      <c r="E1431">
        <v>4</v>
      </c>
      <c r="F1431">
        <v>0</v>
      </c>
      <c r="G1431" t="s">
        <v>1067</v>
      </c>
      <c r="H1431" t="s">
        <v>9</v>
      </c>
      <c r="I1431" t="s">
        <v>1106</v>
      </c>
      <c r="J1431" t="s">
        <v>55</v>
      </c>
      <c r="K1431" t="s">
        <v>93</v>
      </c>
      <c r="M1431" t="s">
        <v>6</v>
      </c>
    </row>
    <row r="1432" spans="2:13" hidden="1">
      <c r="B1432">
        <v>1430</v>
      </c>
      <c r="C1432">
        <v>135</v>
      </c>
      <c r="D1432">
        <v>5</v>
      </c>
      <c r="E1432">
        <v>5</v>
      </c>
      <c r="F1432">
        <v>0</v>
      </c>
      <c r="G1432" t="s">
        <v>1067</v>
      </c>
      <c r="H1432" t="s">
        <v>9</v>
      </c>
      <c r="I1432" t="s">
        <v>1106</v>
      </c>
      <c r="J1432" t="s">
        <v>64</v>
      </c>
      <c r="K1432" t="s">
        <v>94</v>
      </c>
      <c r="M1432" t="s">
        <v>6</v>
      </c>
    </row>
    <row r="1433" spans="2:13" hidden="1">
      <c r="B1433">
        <v>1431</v>
      </c>
      <c r="C1433">
        <v>136</v>
      </c>
      <c r="D1433">
        <v>8</v>
      </c>
      <c r="E1433">
        <v>0</v>
      </c>
      <c r="F1433">
        <v>0</v>
      </c>
      <c r="G1433" t="s">
        <v>1067</v>
      </c>
      <c r="H1433" t="s">
        <v>9</v>
      </c>
      <c r="I1433" t="s">
        <v>1109</v>
      </c>
      <c r="J1433" t="s">
        <v>54</v>
      </c>
      <c r="K1433" t="s">
        <v>1109</v>
      </c>
      <c r="M1433" t="s">
        <v>6</v>
      </c>
    </row>
    <row r="1434" spans="2:13" hidden="1">
      <c r="B1434">
        <v>1432</v>
      </c>
      <c r="C1434">
        <v>136</v>
      </c>
      <c r="D1434">
        <v>8</v>
      </c>
      <c r="E1434">
        <v>1</v>
      </c>
      <c r="F1434">
        <v>0</v>
      </c>
      <c r="G1434" t="s">
        <v>1067</v>
      </c>
      <c r="H1434" t="s">
        <v>9</v>
      </c>
      <c r="I1434" t="s">
        <v>1109</v>
      </c>
      <c r="J1434" t="s">
        <v>55</v>
      </c>
      <c r="K1434" t="s">
        <v>1079</v>
      </c>
      <c r="M1434" t="s">
        <v>6</v>
      </c>
    </row>
    <row r="1435" spans="2:13" hidden="1">
      <c r="B1435">
        <v>1433</v>
      </c>
      <c r="C1435">
        <v>136</v>
      </c>
      <c r="D1435">
        <v>8</v>
      </c>
      <c r="E1435">
        <v>2</v>
      </c>
      <c r="F1435">
        <v>0</v>
      </c>
      <c r="G1435" t="s">
        <v>1067</v>
      </c>
      <c r="H1435" t="s">
        <v>9</v>
      </c>
      <c r="I1435" t="s">
        <v>1109</v>
      </c>
      <c r="J1435" t="s">
        <v>55</v>
      </c>
      <c r="K1435" t="s">
        <v>1080</v>
      </c>
      <c r="M1435" t="s">
        <v>6</v>
      </c>
    </row>
    <row r="1436" spans="2:13" hidden="1">
      <c r="B1436">
        <v>1434</v>
      </c>
      <c r="C1436">
        <v>136</v>
      </c>
      <c r="D1436">
        <v>8</v>
      </c>
      <c r="E1436">
        <v>3</v>
      </c>
      <c r="F1436">
        <v>0</v>
      </c>
      <c r="G1436" t="s">
        <v>1067</v>
      </c>
      <c r="H1436" t="s">
        <v>9</v>
      </c>
      <c r="I1436" t="s">
        <v>1109</v>
      </c>
      <c r="J1436" t="s">
        <v>55</v>
      </c>
      <c r="K1436" t="s">
        <v>1082</v>
      </c>
      <c r="M1436" t="s">
        <v>6</v>
      </c>
    </row>
    <row r="1437" spans="2:13" hidden="1">
      <c r="B1437">
        <v>1435</v>
      </c>
      <c r="C1437">
        <v>136</v>
      </c>
      <c r="D1437">
        <v>8</v>
      </c>
      <c r="E1437">
        <v>4</v>
      </c>
      <c r="F1437">
        <v>0</v>
      </c>
      <c r="G1437" t="s">
        <v>1067</v>
      </c>
      <c r="H1437" t="s">
        <v>9</v>
      </c>
      <c r="I1437" t="s">
        <v>1109</v>
      </c>
      <c r="J1437" t="s">
        <v>55</v>
      </c>
      <c r="K1437" t="s">
        <v>1083</v>
      </c>
      <c r="M1437" t="s">
        <v>6</v>
      </c>
    </row>
    <row r="1438" spans="2:13" hidden="1">
      <c r="B1438">
        <v>1436</v>
      </c>
      <c r="C1438">
        <v>136</v>
      </c>
      <c r="D1438">
        <v>8</v>
      </c>
      <c r="E1438">
        <v>5</v>
      </c>
      <c r="F1438">
        <v>0</v>
      </c>
      <c r="G1438" t="s">
        <v>1067</v>
      </c>
      <c r="H1438" t="s">
        <v>9</v>
      </c>
      <c r="I1438" t="s">
        <v>1109</v>
      </c>
      <c r="J1438" t="s">
        <v>55</v>
      </c>
      <c r="K1438" t="s">
        <v>1084</v>
      </c>
      <c r="M1438" t="s">
        <v>6</v>
      </c>
    </row>
    <row r="1439" spans="2:13" hidden="1">
      <c r="B1439">
        <v>1437</v>
      </c>
      <c r="C1439">
        <v>136</v>
      </c>
      <c r="D1439">
        <v>8</v>
      </c>
      <c r="E1439">
        <v>6</v>
      </c>
      <c r="F1439">
        <v>0</v>
      </c>
      <c r="G1439" t="s">
        <v>1067</v>
      </c>
      <c r="H1439" t="s">
        <v>9</v>
      </c>
      <c r="I1439" t="s">
        <v>1109</v>
      </c>
      <c r="J1439" t="s">
        <v>55</v>
      </c>
      <c r="K1439" t="s">
        <v>1086</v>
      </c>
      <c r="M1439" t="s">
        <v>6</v>
      </c>
    </row>
    <row r="1440" spans="2:13" hidden="1">
      <c r="B1440">
        <v>1438</v>
      </c>
      <c r="C1440">
        <v>136</v>
      </c>
      <c r="D1440">
        <v>8</v>
      </c>
      <c r="E1440">
        <v>7</v>
      </c>
      <c r="F1440">
        <v>0</v>
      </c>
      <c r="G1440" t="s">
        <v>1067</v>
      </c>
      <c r="H1440" t="s">
        <v>9</v>
      </c>
      <c r="I1440" t="s">
        <v>1109</v>
      </c>
      <c r="J1440" t="s">
        <v>55</v>
      </c>
      <c r="K1440" t="s">
        <v>93</v>
      </c>
      <c r="M1440" t="s">
        <v>6</v>
      </c>
    </row>
    <row r="1441" spans="2:13" hidden="1">
      <c r="B1441">
        <v>1439</v>
      </c>
      <c r="C1441">
        <v>136</v>
      </c>
      <c r="D1441">
        <v>8</v>
      </c>
      <c r="E1441">
        <v>8</v>
      </c>
      <c r="F1441">
        <v>0</v>
      </c>
      <c r="G1441" t="s">
        <v>1067</v>
      </c>
      <c r="H1441" t="s">
        <v>9</v>
      </c>
      <c r="I1441" t="s">
        <v>1109</v>
      </c>
      <c r="J1441" t="s">
        <v>64</v>
      </c>
      <c r="K1441" t="s">
        <v>94</v>
      </c>
      <c r="M1441" t="s">
        <v>6</v>
      </c>
    </row>
    <row r="1442" spans="2:13" hidden="1">
      <c r="B1442">
        <v>1440</v>
      </c>
      <c r="C1442">
        <v>137</v>
      </c>
      <c r="D1442">
        <v>8</v>
      </c>
      <c r="E1442">
        <v>0</v>
      </c>
      <c r="F1442">
        <v>0</v>
      </c>
      <c r="G1442" t="s">
        <v>1067</v>
      </c>
      <c r="H1442" t="s">
        <v>9</v>
      </c>
      <c r="I1442" t="s">
        <v>1110</v>
      </c>
      <c r="J1442" t="s">
        <v>54</v>
      </c>
      <c r="K1442" t="s">
        <v>1110</v>
      </c>
      <c r="M1442" t="s">
        <v>6</v>
      </c>
    </row>
    <row r="1443" spans="2:13" hidden="1">
      <c r="B1443">
        <v>1441</v>
      </c>
      <c r="C1443">
        <v>137</v>
      </c>
      <c r="D1443">
        <v>8</v>
      </c>
      <c r="E1443">
        <v>1</v>
      </c>
      <c r="F1443">
        <v>0</v>
      </c>
      <c r="G1443" t="s">
        <v>1067</v>
      </c>
      <c r="H1443" t="s">
        <v>9</v>
      </c>
      <c r="I1443" t="s">
        <v>1110</v>
      </c>
      <c r="J1443" t="s">
        <v>55</v>
      </c>
      <c r="K1443" t="s">
        <v>1111</v>
      </c>
      <c r="M1443" t="s">
        <v>6</v>
      </c>
    </row>
    <row r="1444" spans="2:13" hidden="1">
      <c r="B1444">
        <v>1442</v>
      </c>
      <c r="C1444">
        <v>137</v>
      </c>
      <c r="D1444">
        <v>8</v>
      </c>
      <c r="E1444">
        <v>2</v>
      </c>
      <c r="F1444">
        <v>0</v>
      </c>
      <c r="G1444" t="s">
        <v>1067</v>
      </c>
      <c r="H1444" t="s">
        <v>9</v>
      </c>
      <c r="I1444" t="s">
        <v>1110</v>
      </c>
      <c r="J1444" t="s">
        <v>55</v>
      </c>
      <c r="K1444" t="s">
        <v>1112</v>
      </c>
      <c r="M1444" t="s">
        <v>6</v>
      </c>
    </row>
    <row r="1445" spans="2:13" hidden="1">
      <c r="B1445">
        <v>1443</v>
      </c>
      <c r="C1445">
        <v>137</v>
      </c>
      <c r="D1445">
        <v>8</v>
      </c>
      <c r="E1445">
        <v>3</v>
      </c>
      <c r="F1445">
        <v>0</v>
      </c>
      <c r="G1445" t="s">
        <v>1067</v>
      </c>
      <c r="H1445" t="s">
        <v>9</v>
      </c>
      <c r="I1445" t="s">
        <v>1110</v>
      </c>
      <c r="J1445" t="s">
        <v>55</v>
      </c>
      <c r="K1445" t="s">
        <v>1113</v>
      </c>
      <c r="M1445" t="s">
        <v>6</v>
      </c>
    </row>
    <row r="1446" spans="2:13" hidden="1">
      <c r="B1446">
        <v>1444</v>
      </c>
      <c r="C1446">
        <v>137</v>
      </c>
      <c r="D1446">
        <v>8</v>
      </c>
      <c r="E1446">
        <v>4</v>
      </c>
      <c r="F1446">
        <v>0</v>
      </c>
      <c r="G1446" t="s">
        <v>1067</v>
      </c>
      <c r="H1446" t="s">
        <v>9</v>
      </c>
      <c r="I1446" t="s">
        <v>1110</v>
      </c>
      <c r="J1446" t="s">
        <v>55</v>
      </c>
      <c r="K1446" t="s">
        <v>1114</v>
      </c>
      <c r="M1446" t="s">
        <v>6</v>
      </c>
    </row>
    <row r="1447" spans="2:13" hidden="1">
      <c r="B1447">
        <v>1445</v>
      </c>
      <c r="C1447">
        <v>137</v>
      </c>
      <c r="D1447">
        <v>8</v>
      </c>
      <c r="E1447">
        <v>5</v>
      </c>
      <c r="F1447">
        <v>0</v>
      </c>
      <c r="G1447" t="s">
        <v>1067</v>
      </c>
      <c r="H1447" t="s">
        <v>9</v>
      </c>
      <c r="I1447" t="s">
        <v>1110</v>
      </c>
      <c r="J1447" t="s">
        <v>55</v>
      </c>
      <c r="K1447" t="s">
        <v>1115</v>
      </c>
      <c r="M1447" t="s">
        <v>6</v>
      </c>
    </row>
    <row r="1448" spans="2:13" hidden="1">
      <c r="B1448">
        <v>1446</v>
      </c>
      <c r="C1448">
        <v>137</v>
      </c>
      <c r="D1448">
        <v>8</v>
      </c>
      <c r="E1448">
        <v>6</v>
      </c>
      <c r="F1448">
        <v>0</v>
      </c>
      <c r="G1448" t="s">
        <v>1067</v>
      </c>
      <c r="H1448" t="s">
        <v>9</v>
      </c>
      <c r="I1448" t="s">
        <v>1110</v>
      </c>
      <c r="J1448" t="s">
        <v>55</v>
      </c>
      <c r="K1448" t="s">
        <v>1116</v>
      </c>
      <c r="M1448" t="s">
        <v>6</v>
      </c>
    </row>
    <row r="1449" spans="2:13" hidden="1">
      <c r="B1449">
        <v>1447</v>
      </c>
      <c r="C1449">
        <v>137</v>
      </c>
      <c r="D1449">
        <v>8</v>
      </c>
      <c r="E1449">
        <v>7</v>
      </c>
      <c r="F1449">
        <v>0</v>
      </c>
      <c r="G1449" t="s">
        <v>1067</v>
      </c>
      <c r="H1449" t="s">
        <v>9</v>
      </c>
      <c r="I1449" t="s">
        <v>1110</v>
      </c>
      <c r="J1449" t="s">
        <v>55</v>
      </c>
      <c r="K1449" t="s">
        <v>93</v>
      </c>
      <c r="M1449" t="s">
        <v>6</v>
      </c>
    </row>
    <row r="1450" spans="2:13" hidden="1">
      <c r="B1450">
        <v>1448</v>
      </c>
      <c r="C1450">
        <v>137</v>
      </c>
      <c r="D1450">
        <v>8</v>
      </c>
      <c r="E1450">
        <v>8</v>
      </c>
      <c r="F1450">
        <v>0</v>
      </c>
      <c r="G1450" t="s">
        <v>1067</v>
      </c>
      <c r="H1450" t="s">
        <v>9</v>
      </c>
      <c r="I1450" t="s">
        <v>1110</v>
      </c>
      <c r="J1450" t="s">
        <v>64</v>
      </c>
      <c r="K1450" t="s">
        <v>94</v>
      </c>
      <c r="M1450" t="s">
        <v>6</v>
      </c>
    </row>
    <row r="1451" spans="2:13" hidden="1">
      <c r="B1451">
        <v>1449</v>
      </c>
      <c r="C1451">
        <v>138</v>
      </c>
      <c r="D1451">
        <v>9</v>
      </c>
      <c r="E1451">
        <v>0</v>
      </c>
      <c r="F1451">
        <v>0</v>
      </c>
      <c r="G1451" t="s">
        <v>1067</v>
      </c>
      <c r="H1451" t="s">
        <v>9</v>
      </c>
      <c r="I1451" t="s">
        <v>1117</v>
      </c>
      <c r="J1451" t="s">
        <v>54</v>
      </c>
      <c r="K1451" t="s">
        <v>1117</v>
      </c>
      <c r="M1451" t="s">
        <v>6</v>
      </c>
    </row>
    <row r="1452" spans="2:13" hidden="1">
      <c r="B1452">
        <v>1450</v>
      </c>
      <c r="C1452">
        <v>138</v>
      </c>
      <c r="D1452">
        <v>9</v>
      </c>
      <c r="E1452">
        <v>1</v>
      </c>
      <c r="F1452">
        <v>0</v>
      </c>
      <c r="G1452" t="s">
        <v>1067</v>
      </c>
      <c r="H1452" t="s">
        <v>9</v>
      </c>
      <c r="I1452" t="s">
        <v>1117</v>
      </c>
      <c r="J1452" t="s">
        <v>55</v>
      </c>
      <c r="K1452" t="s">
        <v>1111</v>
      </c>
      <c r="M1452" t="s">
        <v>6</v>
      </c>
    </row>
    <row r="1453" spans="2:13" hidden="1">
      <c r="B1453">
        <v>1451</v>
      </c>
      <c r="C1453">
        <v>138</v>
      </c>
      <c r="D1453">
        <v>9</v>
      </c>
      <c r="E1453">
        <v>2</v>
      </c>
      <c r="F1453">
        <v>0</v>
      </c>
      <c r="G1453" t="s">
        <v>1067</v>
      </c>
      <c r="H1453" t="s">
        <v>9</v>
      </c>
      <c r="I1453" t="s">
        <v>1117</v>
      </c>
      <c r="J1453" t="s">
        <v>55</v>
      </c>
      <c r="K1453" t="s">
        <v>1112</v>
      </c>
      <c r="M1453" t="s">
        <v>6</v>
      </c>
    </row>
    <row r="1454" spans="2:13" hidden="1">
      <c r="B1454">
        <v>1452</v>
      </c>
      <c r="C1454">
        <v>138</v>
      </c>
      <c r="D1454">
        <v>9</v>
      </c>
      <c r="E1454">
        <v>3</v>
      </c>
      <c r="F1454">
        <v>0</v>
      </c>
      <c r="G1454" t="s">
        <v>1067</v>
      </c>
      <c r="H1454" t="s">
        <v>9</v>
      </c>
      <c r="I1454" t="s">
        <v>1117</v>
      </c>
      <c r="J1454" t="s">
        <v>214</v>
      </c>
      <c r="K1454" t="s">
        <v>1118</v>
      </c>
      <c r="M1454" t="s">
        <v>6</v>
      </c>
    </row>
    <row r="1455" spans="2:13" hidden="1">
      <c r="B1455">
        <v>1453</v>
      </c>
      <c r="C1455">
        <v>138</v>
      </c>
      <c r="D1455">
        <v>9</v>
      </c>
      <c r="E1455">
        <v>4</v>
      </c>
      <c r="F1455">
        <v>0</v>
      </c>
      <c r="G1455" t="s">
        <v>1067</v>
      </c>
      <c r="H1455" t="s">
        <v>9</v>
      </c>
      <c r="I1455" t="s">
        <v>1117</v>
      </c>
      <c r="J1455" t="s">
        <v>55</v>
      </c>
      <c r="K1455" t="s">
        <v>1113</v>
      </c>
      <c r="M1455" t="s">
        <v>6</v>
      </c>
    </row>
    <row r="1456" spans="2:13" hidden="1">
      <c r="B1456">
        <v>1454</v>
      </c>
      <c r="C1456">
        <v>138</v>
      </c>
      <c r="D1456">
        <v>9</v>
      </c>
      <c r="E1456">
        <v>5</v>
      </c>
      <c r="F1456">
        <v>0</v>
      </c>
      <c r="G1456" t="s">
        <v>1067</v>
      </c>
      <c r="H1456" t="s">
        <v>9</v>
      </c>
      <c r="I1456" t="s">
        <v>1117</v>
      </c>
      <c r="J1456" t="s">
        <v>55</v>
      </c>
      <c r="K1456" t="s">
        <v>1114</v>
      </c>
      <c r="M1456" t="s">
        <v>6</v>
      </c>
    </row>
    <row r="1457" spans="2:13" hidden="1">
      <c r="B1457">
        <v>1455</v>
      </c>
      <c r="C1457">
        <v>138</v>
      </c>
      <c r="D1457">
        <v>9</v>
      </c>
      <c r="E1457">
        <v>6</v>
      </c>
      <c r="F1457">
        <v>0</v>
      </c>
      <c r="G1457" t="s">
        <v>1067</v>
      </c>
      <c r="H1457" t="s">
        <v>9</v>
      </c>
      <c r="I1457" t="s">
        <v>1117</v>
      </c>
      <c r="J1457" t="s">
        <v>55</v>
      </c>
      <c r="K1457" t="s">
        <v>1115</v>
      </c>
      <c r="M1457" t="s">
        <v>6</v>
      </c>
    </row>
    <row r="1458" spans="2:13" hidden="1">
      <c r="B1458">
        <v>1456</v>
      </c>
      <c r="C1458">
        <v>138</v>
      </c>
      <c r="D1458">
        <v>9</v>
      </c>
      <c r="E1458">
        <v>7</v>
      </c>
      <c r="F1458">
        <v>0</v>
      </c>
      <c r="G1458" t="s">
        <v>1067</v>
      </c>
      <c r="H1458" t="s">
        <v>9</v>
      </c>
      <c r="I1458" t="s">
        <v>1117</v>
      </c>
      <c r="J1458" t="s">
        <v>55</v>
      </c>
      <c r="K1458" t="s">
        <v>1119</v>
      </c>
      <c r="M1458" t="s">
        <v>6</v>
      </c>
    </row>
    <row r="1459" spans="2:13" hidden="1">
      <c r="B1459">
        <v>1457</v>
      </c>
      <c r="C1459">
        <v>138</v>
      </c>
      <c r="D1459">
        <v>9</v>
      </c>
      <c r="E1459">
        <v>8</v>
      </c>
      <c r="F1459">
        <v>0</v>
      </c>
      <c r="G1459" t="s">
        <v>1067</v>
      </c>
      <c r="H1459" t="s">
        <v>9</v>
      </c>
      <c r="I1459" t="s">
        <v>1117</v>
      </c>
      <c r="J1459" t="s">
        <v>55</v>
      </c>
      <c r="K1459" t="s">
        <v>93</v>
      </c>
      <c r="M1459" t="s">
        <v>6</v>
      </c>
    </row>
    <row r="1460" spans="2:13" hidden="1">
      <c r="B1460">
        <v>1458</v>
      </c>
      <c r="C1460">
        <v>138</v>
      </c>
      <c r="D1460">
        <v>9</v>
      </c>
      <c r="E1460">
        <v>9</v>
      </c>
      <c r="F1460">
        <v>0</v>
      </c>
      <c r="G1460" t="s">
        <v>1067</v>
      </c>
      <c r="H1460" t="s">
        <v>9</v>
      </c>
      <c r="I1460" t="s">
        <v>1117</v>
      </c>
      <c r="J1460" t="s">
        <v>64</v>
      </c>
      <c r="K1460" t="s">
        <v>94</v>
      </c>
      <c r="M1460" t="s">
        <v>6</v>
      </c>
    </row>
    <row r="1461" spans="2:13" hidden="1">
      <c r="B1461">
        <v>1459</v>
      </c>
      <c r="C1461">
        <v>139</v>
      </c>
      <c r="D1461">
        <v>10</v>
      </c>
      <c r="E1461">
        <v>0</v>
      </c>
      <c r="F1461">
        <v>0</v>
      </c>
      <c r="G1461" t="s">
        <v>1067</v>
      </c>
      <c r="H1461" t="s">
        <v>9</v>
      </c>
      <c r="I1461" t="s">
        <v>1120</v>
      </c>
      <c r="J1461" t="s">
        <v>54</v>
      </c>
      <c r="K1461" t="s">
        <v>1120</v>
      </c>
      <c r="M1461" t="s">
        <v>6</v>
      </c>
    </row>
    <row r="1462" spans="2:13" hidden="1">
      <c r="B1462">
        <v>1460</v>
      </c>
      <c r="C1462">
        <v>139</v>
      </c>
      <c r="D1462">
        <v>10</v>
      </c>
      <c r="E1462">
        <v>1</v>
      </c>
      <c r="F1462">
        <v>0</v>
      </c>
      <c r="G1462" t="s">
        <v>1067</v>
      </c>
      <c r="H1462" t="s">
        <v>9</v>
      </c>
      <c r="I1462" t="s">
        <v>1120</v>
      </c>
      <c r="J1462" t="s">
        <v>55</v>
      </c>
      <c r="K1462" t="s">
        <v>1121</v>
      </c>
      <c r="M1462" t="s">
        <v>6</v>
      </c>
    </row>
    <row r="1463" spans="2:13" hidden="1">
      <c r="B1463">
        <v>1461</v>
      </c>
      <c r="C1463">
        <v>139</v>
      </c>
      <c r="D1463">
        <v>10</v>
      </c>
      <c r="E1463">
        <v>2</v>
      </c>
      <c r="F1463">
        <v>0</v>
      </c>
      <c r="G1463" t="s">
        <v>1067</v>
      </c>
      <c r="H1463" t="s">
        <v>9</v>
      </c>
      <c r="I1463" t="s">
        <v>1120</v>
      </c>
      <c r="J1463" t="s">
        <v>55</v>
      </c>
      <c r="K1463" t="s">
        <v>1122</v>
      </c>
      <c r="M1463" t="s">
        <v>6</v>
      </c>
    </row>
    <row r="1464" spans="2:13" hidden="1">
      <c r="B1464">
        <v>1462</v>
      </c>
      <c r="C1464">
        <v>139</v>
      </c>
      <c r="D1464">
        <v>10</v>
      </c>
      <c r="E1464">
        <v>3</v>
      </c>
      <c r="F1464">
        <v>0</v>
      </c>
      <c r="G1464" t="s">
        <v>1067</v>
      </c>
      <c r="H1464" t="s">
        <v>9</v>
      </c>
      <c r="I1464" t="s">
        <v>1120</v>
      </c>
      <c r="J1464" t="s">
        <v>55</v>
      </c>
      <c r="K1464" t="s">
        <v>1123</v>
      </c>
      <c r="M1464" t="s">
        <v>6</v>
      </c>
    </row>
    <row r="1465" spans="2:13" hidden="1">
      <c r="B1465">
        <v>1463</v>
      </c>
      <c r="C1465">
        <v>139</v>
      </c>
      <c r="D1465">
        <v>10</v>
      </c>
      <c r="E1465">
        <v>4</v>
      </c>
      <c r="F1465">
        <v>0</v>
      </c>
      <c r="G1465" t="s">
        <v>1067</v>
      </c>
      <c r="H1465" t="s">
        <v>9</v>
      </c>
      <c r="I1465" t="s">
        <v>1120</v>
      </c>
      <c r="J1465" t="s">
        <v>55</v>
      </c>
      <c r="K1465" t="s">
        <v>1124</v>
      </c>
      <c r="M1465" t="s">
        <v>6</v>
      </c>
    </row>
    <row r="1466" spans="2:13" hidden="1">
      <c r="B1466">
        <v>1464</v>
      </c>
      <c r="C1466">
        <v>139</v>
      </c>
      <c r="D1466">
        <v>10</v>
      </c>
      <c r="E1466">
        <v>5</v>
      </c>
      <c r="F1466">
        <v>0</v>
      </c>
      <c r="G1466" t="s">
        <v>1067</v>
      </c>
      <c r="H1466" t="s">
        <v>9</v>
      </c>
      <c r="I1466" t="s">
        <v>1120</v>
      </c>
      <c r="J1466" t="s">
        <v>55</v>
      </c>
      <c r="K1466" t="s">
        <v>1125</v>
      </c>
      <c r="M1466" t="s">
        <v>6</v>
      </c>
    </row>
    <row r="1467" spans="2:13" hidden="1">
      <c r="B1467">
        <v>1465</v>
      </c>
      <c r="C1467">
        <v>139</v>
      </c>
      <c r="D1467">
        <v>10</v>
      </c>
      <c r="E1467">
        <v>6</v>
      </c>
      <c r="F1467">
        <v>0</v>
      </c>
      <c r="G1467" t="s">
        <v>1067</v>
      </c>
      <c r="H1467" t="s">
        <v>9</v>
      </c>
      <c r="I1467" t="s">
        <v>1120</v>
      </c>
      <c r="J1467" t="s">
        <v>55</v>
      </c>
      <c r="K1467" t="s">
        <v>1126</v>
      </c>
      <c r="M1467" t="s">
        <v>6</v>
      </c>
    </row>
    <row r="1468" spans="2:13" hidden="1">
      <c r="B1468">
        <v>1466</v>
      </c>
      <c r="C1468">
        <v>139</v>
      </c>
      <c r="D1468">
        <v>10</v>
      </c>
      <c r="E1468">
        <v>7</v>
      </c>
      <c r="F1468">
        <v>0</v>
      </c>
      <c r="G1468" t="s">
        <v>1067</v>
      </c>
      <c r="H1468" t="s">
        <v>9</v>
      </c>
      <c r="I1468" t="s">
        <v>1120</v>
      </c>
      <c r="J1468" t="s">
        <v>55</v>
      </c>
      <c r="K1468" t="s">
        <v>1127</v>
      </c>
      <c r="M1468" t="s">
        <v>6</v>
      </c>
    </row>
    <row r="1469" spans="2:13" hidden="1">
      <c r="B1469">
        <v>1467</v>
      </c>
      <c r="C1469">
        <v>139</v>
      </c>
      <c r="D1469">
        <v>10</v>
      </c>
      <c r="E1469">
        <v>8</v>
      </c>
      <c r="F1469">
        <v>0</v>
      </c>
      <c r="G1469" t="s">
        <v>1067</v>
      </c>
      <c r="H1469" t="s">
        <v>9</v>
      </c>
      <c r="I1469" t="s">
        <v>1120</v>
      </c>
      <c r="J1469" t="s">
        <v>55</v>
      </c>
      <c r="K1469" t="s">
        <v>1128</v>
      </c>
      <c r="M1469" t="s">
        <v>6</v>
      </c>
    </row>
    <row r="1470" spans="2:13" hidden="1">
      <c r="B1470">
        <v>1468</v>
      </c>
      <c r="C1470">
        <v>139</v>
      </c>
      <c r="D1470">
        <v>10</v>
      </c>
      <c r="E1470">
        <v>9</v>
      </c>
      <c r="F1470">
        <v>0</v>
      </c>
      <c r="G1470" t="s">
        <v>1067</v>
      </c>
      <c r="H1470" t="s">
        <v>9</v>
      </c>
      <c r="I1470" t="s">
        <v>1120</v>
      </c>
      <c r="J1470" t="s">
        <v>55</v>
      </c>
      <c r="K1470" t="s">
        <v>93</v>
      </c>
      <c r="M1470" t="s">
        <v>6</v>
      </c>
    </row>
    <row r="1471" spans="2:13" hidden="1">
      <c r="B1471">
        <v>1469</v>
      </c>
      <c r="C1471">
        <v>139</v>
      </c>
      <c r="D1471">
        <v>10</v>
      </c>
      <c r="E1471">
        <v>10</v>
      </c>
      <c r="F1471">
        <v>0</v>
      </c>
      <c r="G1471" t="s">
        <v>1067</v>
      </c>
      <c r="H1471" t="s">
        <v>9</v>
      </c>
      <c r="I1471" t="s">
        <v>1120</v>
      </c>
      <c r="J1471" t="s">
        <v>64</v>
      </c>
      <c r="K1471" t="s">
        <v>94</v>
      </c>
      <c r="M1471" t="s">
        <v>6</v>
      </c>
    </row>
    <row r="1472" spans="2:13" hidden="1">
      <c r="B1472">
        <v>1470</v>
      </c>
      <c r="C1472">
        <v>140</v>
      </c>
      <c r="D1472">
        <v>7</v>
      </c>
      <c r="E1472">
        <v>0</v>
      </c>
      <c r="F1472">
        <v>0</v>
      </c>
      <c r="G1472" t="s">
        <v>1067</v>
      </c>
      <c r="H1472" t="s">
        <v>9</v>
      </c>
      <c r="I1472" t="s">
        <v>1129</v>
      </c>
      <c r="J1472" t="s">
        <v>54</v>
      </c>
      <c r="K1472" t="s">
        <v>1129</v>
      </c>
      <c r="M1472" t="s">
        <v>6</v>
      </c>
    </row>
    <row r="1473" spans="2:13" hidden="1">
      <c r="B1473">
        <v>1471</v>
      </c>
      <c r="C1473">
        <v>140</v>
      </c>
      <c r="D1473">
        <v>7</v>
      </c>
      <c r="E1473">
        <v>1</v>
      </c>
      <c r="F1473">
        <v>0</v>
      </c>
      <c r="G1473" t="s">
        <v>1067</v>
      </c>
      <c r="H1473" t="s">
        <v>9</v>
      </c>
      <c r="I1473" t="s">
        <v>1129</v>
      </c>
      <c r="J1473" t="s">
        <v>55</v>
      </c>
      <c r="K1473" t="s">
        <v>1130</v>
      </c>
      <c r="M1473" t="s">
        <v>6</v>
      </c>
    </row>
    <row r="1474" spans="2:13" hidden="1">
      <c r="B1474">
        <v>1472</v>
      </c>
      <c r="C1474">
        <v>140</v>
      </c>
      <c r="D1474">
        <v>7</v>
      </c>
      <c r="E1474">
        <v>2</v>
      </c>
      <c r="F1474">
        <v>0</v>
      </c>
      <c r="G1474" t="s">
        <v>1067</v>
      </c>
      <c r="H1474" t="s">
        <v>9</v>
      </c>
      <c r="I1474" t="s">
        <v>1129</v>
      </c>
      <c r="J1474" t="s">
        <v>55</v>
      </c>
      <c r="K1474" t="s">
        <v>1131</v>
      </c>
      <c r="M1474" t="s">
        <v>6</v>
      </c>
    </row>
    <row r="1475" spans="2:13" hidden="1">
      <c r="B1475">
        <v>1473</v>
      </c>
      <c r="C1475">
        <v>140</v>
      </c>
      <c r="D1475">
        <v>7</v>
      </c>
      <c r="E1475">
        <v>3</v>
      </c>
      <c r="F1475">
        <v>0</v>
      </c>
      <c r="G1475" t="s">
        <v>1067</v>
      </c>
      <c r="H1475" t="s">
        <v>9</v>
      </c>
      <c r="I1475" t="s">
        <v>1129</v>
      </c>
      <c r="J1475" t="s">
        <v>55</v>
      </c>
      <c r="K1475" t="s">
        <v>1132</v>
      </c>
      <c r="M1475" t="s">
        <v>6</v>
      </c>
    </row>
    <row r="1476" spans="2:13" hidden="1">
      <c r="B1476">
        <v>1474</v>
      </c>
      <c r="C1476">
        <v>140</v>
      </c>
      <c r="D1476">
        <v>7</v>
      </c>
      <c r="E1476">
        <v>4</v>
      </c>
      <c r="F1476">
        <v>0</v>
      </c>
      <c r="G1476" t="s">
        <v>1067</v>
      </c>
      <c r="H1476" t="s">
        <v>9</v>
      </c>
      <c r="I1476" t="s">
        <v>1129</v>
      </c>
      <c r="J1476" t="s">
        <v>55</v>
      </c>
      <c r="K1476" t="s">
        <v>1133</v>
      </c>
      <c r="M1476" t="s">
        <v>6</v>
      </c>
    </row>
    <row r="1477" spans="2:13" hidden="1">
      <c r="B1477">
        <v>1475</v>
      </c>
      <c r="C1477">
        <v>140</v>
      </c>
      <c r="D1477">
        <v>7</v>
      </c>
      <c r="E1477">
        <v>5</v>
      </c>
      <c r="F1477">
        <v>0</v>
      </c>
      <c r="G1477" t="s">
        <v>1067</v>
      </c>
      <c r="H1477" t="s">
        <v>9</v>
      </c>
      <c r="I1477" t="s">
        <v>1129</v>
      </c>
      <c r="J1477" t="s">
        <v>55</v>
      </c>
      <c r="K1477" t="s">
        <v>1134</v>
      </c>
      <c r="M1477" t="s">
        <v>6</v>
      </c>
    </row>
    <row r="1478" spans="2:13" hidden="1">
      <c r="B1478">
        <v>1476</v>
      </c>
      <c r="C1478">
        <v>140</v>
      </c>
      <c r="D1478">
        <v>7</v>
      </c>
      <c r="E1478">
        <v>6</v>
      </c>
      <c r="F1478">
        <v>0</v>
      </c>
      <c r="G1478" t="s">
        <v>1067</v>
      </c>
      <c r="H1478" t="s">
        <v>9</v>
      </c>
      <c r="I1478" t="s">
        <v>1129</v>
      </c>
      <c r="J1478" t="s">
        <v>55</v>
      </c>
      <c r="K1478" t="s">
        <v>93</v>
      </c>
      <c r="M1478" t="s">
        <v>6</v>
      </c>
    </row>
    <row r="1479" spans="2:13" hidden="1">
      <c r="B1479">
        <v>1477</v>
      </c>
      <c r="C1479">
        <v>140</v>
      </c>
      <c r="D1479">
        <v>7</v>
      </c>
      <c r="E1479">
        <v>7</v>
      </c>
      <c r="F1479">
        <v>0</v>
      </c>
      <c r="G1479" t="s">
        <v>1067</v>
      </c>
      <c r="H1479" t="s">
        <v>9</v>
      </c>
      <c r="I1479" t="s">
        <v>1129</v>
      </c>
      <c r="J1479" t="s">
        <v>64</v>
      </c>
      <c r="K1479" t="s">
        <v>94</v>
      </c>
      <c r="M1479" t="s">
        <v>6</v>
      </c>
    </row>
    <row r="1480" spans="2:13" hidden="1">
      <c r="B1480">
        <v>1478</v>
      </c>
      <c r="C1480">
        <v>141</v>
      </c>
      <c r="D1480">
        <v>5</v>
      </c>
      <c r="E1480">
        <v>0</v>
      </c>
      <c r="F1480">
        <v>0</v>
      </c>
      <c r="G1480" t="s">
        <v>1067</v>
      </c>
      <c r="H1480" t="s">
        <v>9</v>
      </c>
      <c r="I1480" t="s">
        <v>1135</v>
      </c>
      <c r="J1480" t="s">
        <v>54</v>
      </c>
      <c r="K1480" t="s">
        <v>1135</v>
      </c>
      <c r="M1480" t="s">
        <v>6</v>
      </c>
    </row>
    <row r="1481" spans="2:13" hidden="1">
      <c r="B1481">
        <v>1479</v>
      </c>
      <c r="C1481">
        <v>141</v>
      </c>
      <c r="D1481">
        <v>5</v>
      </c>
      <c r="E1481">
        <v>1</v>
      </c>
      <c r="F1481">
        <v>0</v>
      </c>
      <c r="G1481" t="s">
        <v>1067</v>
      </c>
      <c r="H1481" t="s">
        <v>9</v>
      </c>
      <c r="I1481" t="s">
        <v>1135</v>
      </c>
      <c r="J1481" t="s">
        <v>55</v>
      </c>
      <c r="K1481" t="s">
        <v>1136</v>
      </c>
      <c r="M1481" t="s">
        <v>6</v>
      </c>
    </row>
    <row r="1482" spans="2:13" hidden="1">
      <c r="B1482">
        <v>1480</v>
      </c>
      <c r="C1482">
        <v>141</v>
      </c>
      <c r="D1482">
        <v>5</v>
      </c>
      <c r="E1482">
        <v>2</v>
      </c>
      <c r="F1482">
        <v>0</v>
      </c>
      <c r="G1482" t="s">
        <v>1067</v>
      </c>
      <c r="H1482" t="s">
        <v>9</v>
      </c>
      <c r="I1482" t="s">
        <v>1135</v>
      </c>
      <c r="J1482" t="s">
        <v>55</v>
      </c>
      <c r="K1482" t="s">
        <v>1089</v>
      </c>
      <c r="M1482" t="s">
        <v>6</v>
      </c>
    </row>
    <row r="1483" spans="2:13" hidden="1">
      <c r="B1483">
        <v>1481</v>
      </c>
      <c r="C1483">
        <v>141</v>
      </c>
      <c r="D1483">
        <v>5</v>
      </c>
      <c r="E1483">
        <v>3</v>
      </c>
      <c r="F1483">
        <v>0</v>
      </c>
      <c r="G1483" t="s">
        <v>1067</v>
      </c>
      <c r="H1483" t="s">
        <v>9</v>
      </c>
      <c r="I1483" t="s">
        <v>1135</v>
      </c>
      <c r="J1483" t="s">
        <v>55</v>
      </c>
      <c r="K1483" t="s">
        <v>1090</v>
      </c>
      <c r="M1483" t="s">
        <v>6</v>
      </c>
    </row>
    <row r="1484" spans="2:13" hidden="1">
      <c r="B1484">
        <v>1482</v>
      </c>
      <c r="C1484">
        <v>141</v>
      </c>
      <c r="D1484">
        <v>5</v>
      </c>
      <c r="E1484">
        <v>4</v>
      </c>
      <c r="F1484">
        <v>0</v>
      </c>
      <c r="G1484" t="s">
        <v>1067</v>
      </c>
      <c r="H1484" t="s">
        <v>9</v>
      </c>
      <c r="I1484" t="s">
        <v>1135</v>
      </c>
      <c r="J1484" t="s">
        <v>55</v>
      </c>
      <c r="K1484" t="s">
        <v>93</v>
      </c>
      <c r="M1484" t="s">
        <v>6</v>
      </c>
    </row>
    <row r="1485" spans="2:13" hidden="1">
      <c r="B1485">
        <v>1483</v>
      </c>
      <c r="C1485">
        <v>141</v>
      </c>
      <c r="D1485">
        <v>5</v>
      </c>
      <c r="E1485">
        <v>5</v>
      </c>
      <c r="F1485">
        <v>0</v>
      </c>
      <c r="G1485" t="s">
        <v>1067</v>
      </c>
      <c r="H1485" t="s">
        <v>9</v>
      </c>
      <c r="I1485" t="s">
        <v>1135</v>
      </c>
      <c r="J1485" t="s">
        <v>64</v>
      </c>
      <c r="K1485" t="s">
        <v>94</v>
      </c>
      <c r="M1485" t="s">
        <v>6</v>
      </c>
    </row>
    <row r="1486" spans="2:13" hidden="1">
      <c r="B1486">
        <v>1484</v>
      </c>
      <c r="C1486">
        <v>142</v>
      </c>
      <c r="D1486">
        <v>7</v>
      </c>
      <c r="E1486">
        <v>0</v>
      </c>
      <c r="F1486">
        <v>0</v>
      </c>
      <c r="G1486" t="s">
        <v>1067</v>
      </c>
      <c r="H1486" t="s">
        <v>9</v>
      </c>
      <c r="I1486" t="s">
        <v>1137</v>
      </c>
      <c r="J1486" t="s">
        <v>54</v>
      </c>
      <c r="K1486" t="s">
        <v>1137</v>
      </c>
      <c r="M1486" t="s">
        <v>6</v>
      </c>
    </row>
    <row r="1487" spans="2:13" hidden="1">
      <c r="B1487">
        <v>1485</v>
      </c>
      <c r="C1487">
        <v>142</v>
      </c>
      <c r="D1487">
        <v>7</v>
      </c>
      <c r="E1487">
        <v>1</v>
      </c>
      <c r="F1487">
        <v>0</v>
      </c>
      <c r="G1487" t="s">
        <v>1067</v>
      </c>
      <c r="H1487" t="s">
        <v>9</v>
      </c>
      <c r="I1487" t="s">
        <v>1137</v>
      </c>
      <c r="J1487" t="s">
        <v>55</v>
      </c>
      <c r="K1487" t="s">
        <v>1138</v>
      </c>
      <c r="M1487" t="s">
        <v>6</v>
      </c>
    </row>
    <row r="1488" spans="2:13" hidden="1">
      <c r="B1488">
        <v>1486</v>
      </c>
      <c r="C1488">
        <v>142</v>
      </c>
      <c r="D1488">
        <v>7</v>
      </c>
      <c r="E1488">
        <v>2</v>
      </c>
      <c r="F1488">
        <v>0</v>
      </c>
      <c r="G1488" t="s">
        <v>1067</v>
      </c>
      <c r="H1488" t="s">
        <v>9</v>
      </c>
      <c r="I1488" t="s">
        <v>1137</v>
      </c>
      <c r="J1488" t="s">
        <v>55</v>
      </c>
      <c r="K1488" t="s">
        <v>1139</v>
      </c>
      <c r="M1488" t="s">
        <v>6</v>
      </c>
    </row>
    <row r="1489" spans="2:13" hidden="1">
      <c r="B1489">
        <v>1487</v>
      </c>
      <c r="C1489">
        <v>142</v>
      </c>
      <c r="D1489">
        <v>7</v>
      </c>
      <c r="E1489">
        <v>3</v>
      </c>
      <c r="F1489">
        <v>0</v>
      </c>
      <c r="G1489" t="s">
        <v>1067</v>
      </c>
      <c r="H1489" t="s">
        <v>9</v>
      </c>
      <c r="I1489" t="s">
        <v>1137</v>
      </c>
      <c r="J1489" t="s">
        <v>55</v>
      </c>
      <c r="K1489" t="s">
        <v>1140</v>
      </c>
      <c r="M1489" t="s">
        <v>6</v>
      </c>
    </row>
    <row r="1490" spans="2:13" hidden="1">
      <c r="B1490">
        <v>1488</v>
      </c>
      <c r="C1490">
        <v>142</v>
      </c>
      <c r="D1490">
        <v>7</v>
      </c>
      <c r="E1490">
        <v>4</v>
      </c>
      <c r="F1490">
        <v>0</v>
      </c>
      <c r="G1490" t="s">
        <v>1067</v>
      </c>
      <c r="H1490" t="s">
        <v>9</v>
      </c>
      <c r="I1490" t="s">
        <v>1137</v>
      </c>
      <c r="J1490" t="s">
        <v>55</v>
      </c>
      <c r="K1490" t="s">
        <v>1141</v>
      </c>
      <c r="M1490" t="s">
        <v>6</v>
      </c>
    </row>
    <row r="1491" spans="2:13" hidden="1">
      <c r="B1491">
        <v>1489</v>
      </c>
      <c r="C1491">
        <v>142</v>
      </c>
      <c r="D1491">
        <v>7</v>
      </c>
      <c r="E1491">
        <v>5</v>
      </c>
      <c r="F1491">
        <v>0</v>
      </c>
      <c r="G1491" t="s">
        <v>1067</v>
      </c>
      <c r="H1491" t="s">
        <v>9</v>
      </c>
      <c r="I1491" t="s">
        <v>1137</v>
      </c>
      <c r="J1491" t="s">
        <v>64</v>
      </c>
      <c r="K1491" t="s">
        <v>1142</v>
      </c>
      <c r="M1491" t="s">
        <v>6</v>
      </c>
    </row>
    <row r="1492" spans="2:13" hidden="1">
      <c r="B1492">
        <v>1490</v>
      </c>
      <c r="C1492">
        <v>142</v>
      </c>
      <c r="D1492">
        <v>7</v>
      </c>
      <c r="E1492">
        <v>6</v>
      </c>
      <c r="F1492">
        <v>0</v>
      </c>
      <c r="G1492" t="s">
        <v>1067</v>
      </c>
      <c r="H1492" t="s">
        <v>9</v>
      </c>
      <c r="I1492" t="s">
        <v>1137</v>
      </c>
      <c r="J1492" t="s">
        <v>55</v>
      </c>
      <c r="K1492" t="s">
        <v>93</v>
      </c>
      <c r="M1492" t="s">
        <v>6</v>
      </c>
    </row>
    <row r="1493" spans="2:13" hidden="1">
      <c r="B1493">
        <v>1491</v>
      </c>
      <c r="C1493">
        <v>142</v>
      </c>
      <c r="D1493">
        <v>7</v>
      </c>
      <c r="E1493">
        <v>7</v>
      </c>
      <c r="F1493">
        <v>0</v>
      </c>
      <c r="G1493" t="s">
        <v>1067</v>
      </c>
      <c r="H1493" t="s">
        <v>9</v>
      </c>
      <c r="I1493" t="s">
        <v>1137</v>
      </c>
      <c r="J1493" t="s">
        <v>64</v>
      </c>
      <c r="K1493" t="s">
        <v>94</v>
      </c>
      <c r="M1493" t="s">
        <v>6</v>
      </c>
    </row>
    <row r="1494" spans="2:13" hidden="1">
      <c r="B1494">
        <v>1492</v>
      </c>
      <c r="C1494">
        <v>143</v>
      </c>
      <c r="D1494">
        <v>9</v>
      </c>
      <c r="E1494">
        <v>0</v>
      </c>
      <c r="F1494">
        <v>0</v>
      </c>
      <c r="G1494" t="s">
        <v>1067</v>
      </c>
      <c r="H1494" t="s">
        <v>9</v>
      </c>
      <c r="I1494" t="s">
        <v>1143</v>
      </c>
      <c r="J1494" t="s">
        <v>54</v>
      </c>
      <c r="K1494" t="s">
        <v>1143</v>
      </c>
      <c r="M1494" t="s">
        <v>6</v>
      </c>
    </row>
    <row r="1495" spans="2:13" hidden="1">
      <c r="B1495">
        <v>1493</v>
      </c>
      <c r="C1495">
        <v>143</v>
      </c>
      <c r="D1495">
        <v>9</v>
      </c>
      <c r="E1495">
        <v>1</v>
      </c>
      <c r="F1495">
        <v>0</v>
      </c>
      <c r="G1495" t="s">
        <v>1067</v>
      </c>
      <c r="H1495" t="s">
        <v>9</v>
      </c>
      <c r="I1495" t="s">
        <v>1143</v>
      </c>
      <c r="J1495" t="s">
        <v>55</v>
      </c>
      <c r="K1495" t="s">
        <v>1144</v>
      </c>
      <c r="M1495" t="s">
        <v>6</v>
      </c>
    </row>
    <row r="1496" spans="2:13" hidden="1">
      <c r="B1496">
        <v>1494</v>
      </c>
      <c r="C1496">
        <v>143</v>
      </c>
      <c r="D1496">
        <v>9</v>
      </c>
      <c r="E1496">
        <v>2</v>
      </c>
      <c r="F1496">
        <v>0</v>
      </c>
      <c r="G1496" t="s">
        <v>1067</v>
      </c>
      <c r="H1496" t="s">
        <v>9</v>
      </c>
      <c r="I1496" t="s">
        <v>1143</v>
      </c>
      <c r="J1496" t="s">
        <v>55</v>
      </c>
      <c r="K1496" t="s">
        <v>1145</v>
      </c>
      <c r="M1496" t="s">
        <v>6</v>
      </c>
    </row>
    <row r="1497" spans="2:13" hidden="1">
      <c r="B1497">
        <v>1495</v>
      </c>
      <c r="C1497">
        <v>143</v>
      </c>
      <c r="D1497">
        <v>9</v>
      </c>
      <c r="E1497">
        <v>3</v>
      </c>
      <c r="F1497">
        <v>0</v>
      </c>
      <c r="G1497" t="s">
        <v>1067</v>
      </c>
      <c r="H1497" t="s">
        <v>9</v>
      </c>
      <c r="I1497" t="s">
        <v>1143</v>
      </c>
      <c r="J1497" t="s">
        <v>55</v>
      </c>
      <c r="K1497" t="s">
        <v>1146</v>
      </c>
      <c r="M1497" t="s">
        <v>6</v>
      </c>
    </row>
    <row r="1498" spans="2:13" hidden="1">
      <c r="B1498">
        <v>1496</v>
      </c>
      <c r="C1498">
        <v>143</v>
      </c>
      <c r="D1498">
        <v>9</v>
      </c>
      <c r="E1498">
        <v>4</v>
      </c>
      <c r="F1498">
        <v>0</v>
      </c>
      <c r="G1498" t="s">
        <v>1067</v>
      </c>
      <c r="H1498" t="s">
        <v>9</v>
      </c>
      <c r="I1498" t="s">
        <v>1143</v>
      </c>
      <c r="J1498" t="s">
        <v>55</v>
      </c>
      <c r="K1498" t="s">
        <v>1147</v>
      </c>
      <c r="M1498" t="s">
        <v>6</v>
      </c>
    </row>
    <row r="1499" spans="2:13" hidden="1">
      <c r="B1499">
        <v>1497</v>
      </c>
      <c r="C1499">
        <v>143</v>
      </c>
      <c r="D1499">
        <v>9</v>
      </c>
      <c r="E1499">
        <v>5</v>
      </c>
      <c r="F1499">
        <v>0</v>
      </c>
      <c r="G1499" t="s">
        <v>1067</v>
      </c>
      <c r="H1499" t="s">
        <v>9</v>
      </c>
      <c r="I1499" t="s">
        <v>1143</v>
      </c>
      <c r="J1499" t="s">
        <v>55</v>
      </c>
      <c r="K1499" t="s">
        <v>1148</v>
      </c>
      <c r="M1499" t="s">
        <v>6</v>
      </c>
    </row>
    <row r="1500" spans="2:13" hidden="1">
      <c r="B1500">
        <v>1498</v>
      </c>
      <c r="C1500">
        <v>143</v>
      </c>
      <c r="D1500">
        <v>9</v>
      </c>
      <c r="E1500">
        <v>6</v>
      </c>
      <c r="F1500">
        <v>0</v>
      </c>
      <c r="G1500" t="s">
        <v>1067</v>
      </c>
      <c r="H1500" t="s">
        <v>9</v>
      </c>
      <c r="I1500" t="s">
        <v>1143</v>
      </c>
      <c r="J1500" t="s">
        <v>55</v>
      </c>
      <c r="K1500" t="s">
        <v>1149</v>
      </c>
      <c r="M1500" t="s">
        <v>6</v>
      </c>
    </row>
    <row r="1501" spans="2:13" hidden="1">
      <c r="B1501">
        <v>1499</v>
      </c>
      <c r="C1501">
        <v>143</v>
      </c>
      <c r="D1501">
        <v>9</v>
      </c>
      <c r="E1501">
        <v>7</v>
      </c>
      <c r="F1501">
        <v>0</v>
      </c>
      <c r="G1501" t="s">
        <v>1067</v>
      </c>
      <c r="H1501" t="s">
        <v>9</v>
      </c>
      <c r="I1501" t="s">
        <v>1143</v>
      </c>
      <c r="J1501" t="s">
        <v>55</v>
      </c>
      <c r="K1501" t="s">
        <v>1150</v>
      </c>
      <c r="M1501" t="s">
        <v>6</v>
      </c>
    </row>
    <row r="1502" spans="2:13" hidden="1">
      <c r="B1502">
        <v>1500</v>
      </c>
      <c r="C1502">
        <v>143</v>
      </c>
      <c r="D1502">
        <v>9</v>
      </c>
      <c r="E1502">
        <v>8</v>
      </c>
      <c r="F1502">
        <v>0</v>
      </c>
      <c r="G1502" t="s">
        <v>1067</v>
      </c>
      <c r="H1502" t="s">
        <v>9</v>
      </c>
      <c r="I1502" t="s">
        <v>1143</v>
      </c>
      <c r="J1502" t="s">
        <v>55</v>
      </c>
      <c r="K1502" t="s">
        <v>93</v>
      </c>
      <c r="M1502" t="s">
        <v>6</v>
      </c>
    </row>
    <row r="1503" spans="2:13" hidden="1">
      <c r="B1503">
        <v>1501</v>
      </c>
      <c r="C1503">
        <v>143</v>
      </c>
      <c r="D1503">
        <v>9</v>
      </c>
      <c r="E1503">
        <v>9</v>
      </c>
      <c r="F1503">
        <v>0</v>
      </c>
      <c r="G1503" t="s">
        <v>1067</v>
      </c>
      <c r="H1503" t="s">
        <v>9</v>
      </c>
      <c r="I1503" t="s">
        <v>1143</v>
      </c>
      <c r="J1503" t="s">
        <v>64</v>
      </c>
      <c r="K1503" t="s">
        <v>94</v>
      </c>
      <c r="M1503" t="s">
        <v>6</v>
      </c>
    </row>
    <row r="1504" spans="2:13" hidden="1">
      <c r="B1504">
        <v>1502</v>
      </c>
      <c r="C1504">
        <v>144</v>
      </c>
      <c r="D1504">
        <v>7</v>
      </c>
      <c r="E1504">
        <v>0</v>
      </c>
      <c r="F1504">
        <v>0</v>
      </c>
      <c r="G1504" t="s">
        <v>1067</v>
      </c>
      <c r="H1504" t="s">
        <v>9</v>
      </c>
      <c r="I1504" t="s">
        <v>1151</v>
      </c>
      <c r="J1504" t="s">
        <v>54</v>
      </c>
      <c r="K1504" t="s">
        <v>1151</v>
      </c>
      <c r="M1504" t="s">
        <v>6</v>
      </c>
    </row>
    <row r="1505" spans="2:13" hidden="1">
      <c r="B1505">
        <v>1503</v>
      </c>
      <c r="C1505">
        <v>144</v>
      </c>
      <c r="D1505">
        <v>7</v>
      </c>
      <c r="E1505">
        <v>1</v>
      </c>
      <c r="F1505">
        <v>0</v>
      </c>
      <c r="G1505" t="s">
        <v>1067</v>
      </c>
      <c r="H1505" t="s">
        <v>9</v>
      </c>
      <c r="I1505" t="s">
        <v>1151</v>
      </c>
      <c r="J1505" t="s">
        <v>55</v>
      </c>
      <c r="K1505" t="s">
        <v>1152</v>
      </c>
      <c r="M1505" t="s">
        <v>6</v>
      </c>
    </row>
    <row r="1506" spans="2:13" hidden="1">
      <c r="B1506">
        <v>1504</v>
      </c>
      <c r="C1506">
        <v>144</v>
      </c>
      <c r="D1506">
        <v>7</v>
      </c>
      <c r="E1506">
        <v>2</v>
      </c>
      <c r="F1506">
        <v>0</v>
      </c>
      <c r="G1506" t="s">
        <v>1067</v>
      </c>
      <c r="H1506" t="s">
        <v>9</v>
      </c>
      <c r="I1506" t="s">
        <v>1151</v>
      </c>
      <c r="J1506" t="s">
        <v>55</v>
      </c>
      <c r="K1506" t="s">
        <v>1153</v>
      </c>
      <c r="M1506" t="s">
        <v>6</v>
      </c>
    </row>
    <row r="1507" spans="2:13" hidden="1">
      <c r="B1507">
        <v>1505</v>
      </c>
      <c r="C1507">
        <v>144</v>
      </c>
      <c r="D1507">
        <v>7</v>
      </c>
      <c r="E1507">
        <v>3</v>
      </c>
      <c r="F1507">
        <v>0</v>
      </c>
      <c r="G1507" t="s">
        <v>1067</v>
      </c>
      <c r="H1507" t="s">
        <v>9</v>
      </c>
      <c r="I1507" t="s">
        <v>1151</v>
      </c>
      <c r="J1507" t="s">
        <v>55</v>
      </c>
      <c r="K1507" t="s">
        <v>1154</v>
      </c>
      <c r="M1507" t="s">
        <v>6</v>
      </c>
    </row>
    <row r="1508" spans="2:13" hidden="1">
      <c r="B1508">
        <v>1506</v>
      </c>
      <c r="C1508">
        <v>144</v>
      </c>
      <c r="D1508">
        <v>7</v>
      </c>
      <c r="E1508">
        <v>4</v>
      </c>
      <c r="F1508">
        <v>0</v>
      </c>
      <c r="G1508" t="s">
        <v>1067</v>
      </c>
      <c r="H1508" t="s">
        <v>9</v>
      </c>
      <c r="I1508" t="s">
        <v>1151</v>
      </c>
      <c r="J1508" t="s">
        <v>55</v>
      </c>
      <c r="K1508" t="s">
        <v>1155</v>
      </c>
      <c r="M1508" t="s">
        <v>6</v>
      </c>
    </row>
    <row r="1509" spans="2:13" hidden="1">
      <c r="B1509">
        <v>1507</v>
      </c>
      <c r="C1509">
        <v>144</v>
      </c>
      <c r="D1509">
        <v>7</v>
      </c>
      <c r="E1509">
        <v>5</v>
      </c>
      <c r="F1509">
        <v>0</v>
      </c>
      <c r="G1509" t="s">
        <v>1067</v>
      </c>
      <c r="H1509" t="s">
        <v>9</v>
      </c>
      <c r="I1509" t="s">
        <v>1151</v>
      </c>
      <c r="J1509" t="s">
        <v>55</v>
      </c>
      <c r="K1509" t="s">
        <v>1156</v>
      </c>
      <c r="M1509" t="s">
        <v>6</v>
      </c>
    </row>
    <row r="1510" spans="2:13" hidden="1">
      <c r="B1510">
        <v>1508</v>
      </c>
      <c r="C1510">
        <v>144</v>
      </c>
      <c r="D1510">
        <v>7</v>
      </c>
      <c r="E1510">
        <v>6</v>
      </c>
      <c r="F1510">
        <v>0</v>
      </c>
      <c r="G1510" t="s">
        <v>1067</v>
      </c>
      <c r="H1510" t="s">
        <v>9</v>
      </c>
      <c r="I1510" t="s">
        <v>1151</v>
      </c>
      <c r="J1510" t="s">
        <v>55</v>
      </c>
      <c r="K1510" t="s">
        <v>93</v>
      </c>
      <c r="M1510" t="s">
        <v>6</v>
      </c>
    </row>
    <row r="1511" spans="2:13" hidden="1">
      <c r="B1511">
        <v>1509</v>
      </c>
      <c r="C1511">
        <v>144</v>
      </c>
      <c r="D1511">
        <v>7</v>
      </c>
      <c r="E1511">
        <v>7</v>
      </c>
      <c r="F1511">
        <v>0</v>
      </c>
      <c r="G1511" t="s">
        <v>1067</v>
      </c>
      <c r="H1511" t="s">
        <v>9</v>
      </c>
      <c r="I1511" t="s">
        <v>1151</v>
      </c>
      <c r="J1511" t="s">
        <v>64</v>
      </c>
      <c r="K1511" t="s">
        <v>94</v>
      </c>
      <c r="M1511" t="s">
        <v>6</v>
      </c>
    </row>
    <row r="1512" spans="2:13" hidden="1">
      <c r="B1512">
        <v>1510</v>
      </c>
      <c r="C1512">
        <v>145</v>
      </c>
      <c r="D1512">
        <v>6</v>
      </c>
      <c r="E1512">
        <v>0</v>
      </c>
      <c r="F1512">
        <v>0</v>
      </c>
      <c r="G1512" t="s">
        <v>1067</v>
      </c>
      <c r="H1512" t="s">
        <v>9</v>
      </c>
      <c r="I1512" t="s">
        <v>1157</v>
      </c>
      <c r="J1512" t="s">
        <v>54</v>
      </c>
      <c r="K1512" t="s">
        <v>1157</v>
      </c>
      <c r="M1512" t="s">
        <v>6</v>
      </c>
    </row>
    <row r="1513" spans="2:13" hidden="1">
      <c r="B1513">
        <v>1511</v>
      </c>
      <c r="C1513">
        <v>145</v>
      </c>
      <c r="D1513">
        <v>6</v>
      </c>
      <c r="E1513">
        <v>1</v>
      </c>
      <c r="F1513">
        <v>0</v>
      </c>
      <c r="G1513" t="s">
        <v>1067</v>
      </c>
      <c r="H1513" t="s">
        <v>9</v>
      </c>
      <c r="I1513" t="s">
        <v>1157</v>
      </c>
      <c r="J1513" t="s">
        <v>55</v>
      </c>
      <c r="K1513" t="s">
        <v>1158</v>
      </c>
      <c r="M1513" t="s">
        <v>6</v>
      </c>
    </row>
    <row r="1514" spans="2:13" hidden="1">
      <c r="B1514">
        <v>1512</v>
      </c>
      <c r="C1514">
        <v>145</v>
      </c>
      <c r="D1514">
        <v>6</v>
      </c>
      <c r="E1514">
        <v>2</v>
      </c>
      <c r="F1514">
        <v>0</v>
      </c>
      <c r="G1514" t="s">
        <v>1067</v>
      </c>
      <c r="H1514" t="s">
        <v>9</v>
      </c>
      <c r="I1514" t="s">
        <v>1157</v>
      </c>
      <c r="J1514" t="s">
        <v>55</v>
      </c>
      <c r="K1514" t="s">
        <v>1159</v>
      </c>
      <c r="M1514" t="s">
        <v>6</v>
      </c>
    </row>
    <row r="1515" spans="2:13" hidden="1">
      <c r="B1515">
        <v>1513</v>
      </c>
      <c r="C1515">
        <v>145</v>
      </c>
      <c r="D1515">
        <v>6</v>
      </c>
      <c r="E1515">
        <v>3</v>
      </c>
      <c r="F1515">
        <v>0</v>
      </c>
      <c r="G1515" t="s">
        <v>1067</v>
      </c>
      <c r="H1515" t="s">
        <v>9</v>
      </c>
      <c r="I1515" t="s">
        <v>1157</v>
      </c>
      <c r="J1515" t="s">
        <v>55</v>
      </c>
      <c r="K1515" t="s">
        <v>1160</v>
      </c>
      <c r="M1515" t="s">
        <v>6</v>
      </c>
    </row>
    <row r="1516" spans="2:13" hidden="1">
      <c r="B1516">
        <v>1514</v>
      </c>
      <c r="C1516">
        <v>145</v>
      </c>
      <c r="D1516">
        <v>6</v>
      </c>
      <c r="E1516">
        <v>4</v>
      </c>
      <c r="F1516">
        <v>0</v>
      </c>
      <c r="G1516" t="s">
        <v>1067</v>
      </c>
      <c r="H1516" t="s">
        <v>9</v>
      </c>
      <c r="I1516" t="s">
        <v>1157</v>
      </c>
      <c r="J1516" t="s">
        <v>55</v>
      </c>
      <c r="K1516" t="s">
        <v>1161</v>
      </c>
      <c r="M1516" t="s">
        <v>6</v>
      </c>
    </row>
    <row r="1517" spans="2:13" hidden="1">
      <c r="B1517">
        <v>1515</v>
      </c>
      <c r="C1517">
        <v>145</v>
      </c>
      <c r="D1517">
        <v>6</v>
      </c>
      <c r="E1517">
        <v>5</v>
      </c>
      <c r="F1517">
        <v>0</v>
      </c>
      <c r="G1517" t="s">
        <v>1067</v>
      </c>
      <c r="H1517" t="s">
        <v>9</v>
      </c>
      <c r="I1517" t="s">
        <v>1157</v>
      </c>
      <c r="J1517" t="s">
        <v>55</v>
      </c>
      <c r="K1517" t="s">
        <v>1162</v>
      </c>
      <c r="M1517" t="s">
        <v>6</v>
      </c>
    </row>
    <row r="1518" spans="2:13" hidden="1">
      <c r="B1518">
        <v>1516</v>
      </c>
      <c r="C1518">
        <v>145</v>
      </c>
      <c r="D1518">
        <v>6</v>
      </c>
      <c r="E1518">
        <v>6</v>
      </c>
      <c r="F1518">
        <v>0</v>
      </c>
      <c r="G1518" t="s">
        <v>1067</v>
      </c>
      <c r="H1518" t="s">
        <v>9</v>
      </c>
      <c r="I1518" t="s">
        <v>1157</v>
      </c>
      <c r="J1518" t="s">
        <v>55</v>
      </c>
      <c r="K1518" t="s">
        <v>1163</v>
      </c>
      <c r="M1518" t="s">
        <v>6</v>
      </c>
    </row>
    <row r="1519" spans="2:13" hidden="1">
      <c r="B1519">
        <v>1517</v>
      </c>
      <c r="C1519">
        <v>146</v>
      </c>
      <c r="D1519">
        <v>12</v>
      </c>
      <c r="E1519">
        <v>0</v>
      </c>
      <c r="F1519">
        <v>0</v>
      </c>
      <c r="G1519" t="s">
        <v>1067</v>
      </c>
      <c r="H1519" t="s">
        <v>9</v>
      </c>
      <c r="I1519" t="s">
        <v>1164</v>
      </c>
      <c r="J1519" t="s">
        <v>54</v>
      </c>
      <c r="K1519" t="s">
        <v>1164</v>
      </c>
      <c r="M1519" t="s">
        <v>6</v>
      </c>
    </row>
    <row r="1520" spans="2:13" hidden="1">
      <c r="B1520">
        <v>1518</v>
      </c>
      <c r="C1520">
        <v>146</v>
      </c>
      <c r="D1520">
        <v>12</v>
      </c>
      <c r="E1520">
        <v>1</v>
      </c>
      <c r="F1520">
        <v>0</v>
      </c>
      <c r="G1520" t="s">
        <v>1067</v>
      </c>
      <c r="H1520" t="s">
        <v>9</v>
      </c>
      <c r="I1520" t="s">
        <v>1164</v>
      </c>
      <c r="J1520" t="s">
        <v>55</v>
      </c>
      <c r="K1520" t="s">
        <v>1165</v>
      </c>
      <c r="M1520" t="s">
        <v>6</v>
      </c>
    </row>
    <row r="1521" spans="2:13" hidden="1">
      <c r="B1521">
        <v>1519</v>
      </c>
      <c r="C1521">
        <v>146</v>
      </c>
      <c r="D1521">
        <v>12</v>
      </c>
      <c r="E1521">
        <v>2</v>
      </c>
      <c r="F1521">
        <v>0</v>
      </c>
      <c r="G1521" t="s">
        <v>1067</v>
      </c>
      <c r="H1521" t="s">
        <v>9</v>
      </c>
      <c r="I1521" t="s">
        <v>1164</v>
      </c>
      <c r="J1521" t="s">
        <v>55</v>
      </c>
      <c r="K1521" t="s">
        <v>1166</v>
      </c>
      <c r="M1521" t="s">
        <v>6</v>
      </c>
    </row>
    <row r="1522" spans="2:13" hidden="1">
      <c r="B1522">
        <v>1520</v>
      </c>
      <c r="C1522">
        <v>146</v>
      </c>
      <c r="D1522">
        <v>12</v>
      </c>
      <c r="E1522">
        <v>3</v>
      </c>
      <c r="F1522">
        <v>0</v>
      </c>
      <c r="G1522" t="s">
        <v>1067</v>
      </c>
      <c r="H1522" t="s">
        <v>9</v>
      </c>
      <c r="I1522" t="s">
        <v>1164</v>
      </c>
      <c r="J1522" t="s">
        <v>55</v>
      </c>
      <c r="K1522" t="s">
        <v>1167</v>
      </c>
      <c r="M1522" t="s">
        <v>6</v>
      </c>
    </row>
    <row r="1523" spans="2:13" hidden="1">
      <c r="B1523">
        <v>1521</v>
      </c>
      <c r="C1523">
        <v>146</v>
      </c>
      <c r="D1523">
        <v>12</v>
      </c>
      <c r="E1523">
        <v>4</v>
      </c>
      <c r="F1523">
        <v>0</v>
      </c>
      <c r="G1523" t="s">
        <v>1067</v>
      </c>
      <c r="H1523" t="s">
        <v>9</v>
      </c>
      <c r="I1523" t="s">
        <v>1164</v>
      </c>
      <c r="J1523" t="s">
        <v>55</v>
      </c>
      <c r="K1523" t="s">
        <v>1168</v>
      </c>
      <c r="M1523" t="s">
        <v>6</v>
      </c>
    </row>
    <row r="1524" spans="2:13" hidden="1">
      <c r="B1524">
        <v>1522</v>
      </c>
      <c r="C1524">
        <v>146</v>
      </c>
      <c r="D1524">
        <v>12</v>
      </c>
      <c r="E1524">
        <v>5</v>
      </c>
      <c r="F1524">
        <v>0</v>
      </c>
      <c r="G1524" t="s">
        <v>1067</v>
      </c>
      <c r="H1524" t="s">
        <v>9</v>
      </c>
      <c r="I1524" t="s">
        <v>1164</v>
      </c>
      <c r="J1524" t="s">
        <v>55</v>
      </c>
      <c r="K1524" t="s">
        <v>1169</v>
      </c>
      <c r="M1524" t="s">
        <v>6</v>
      </c>
    </row>
    <row r="1525" spans="2:13" hidden="1">
      <c r="B1525">
        <v>1523</v>
      </c>
      <c r="C1525">
        <v>146</v>
      </c>
      <c r="D1525">
        <v>12</v>
      </c>
      <c r="E1525">
        <v>6</v>
      </c>
      <c r="F1525">
        <v>0</v>
      </c>
      <c r="G1525" t="s">
        <v>1067</v>
      </c>
      <c r="H1525" t="s">
        <v>9</v>
      </c>
      <c r="I1525" t="s">
        <v>1164</v>
      </c>
      <c r="J1525" t="s">
        <v>55</v>
      </c>
      <c r="K1525" t="s">
        <v>1170</v>
      </c>
      <c r="M1525" t="s">
        <v>6</v>
      </c>
    </row>
    <row r="1526" spans="2:13" hidden="1">
      <c r="B1526">
        <v>1524</v>
      </c>
      <c r="C1526">
        <v>146</v>
      </c>
      <c r="D1526">
        <v>12</v>
      </c>
      <c r="E1526">
        <v>7</v>
      </c>
      <c r="F1526">
        <v>0</v>
      </c>
      <c r="G1526" t="s">
        <v>1067</v>
      </c>
      <c r="H1526" t="s">
        <v>9</v>
      </c>
      <c r="I1526" t="s">
        <v>1164</v>
      </c>
      <c r="J1526" t="s">
        <v>55</v>
      </c>
      <c r="K1526" t="s">
        <v>1171</v>
      </c>
      <c r="M1526" t="s">
        <v>6</v>
      </c>
    </row>
    <row r="1527" spans="2:13" hidden="1">
      <c r="B1527">
        <v>1525</v>
      </c>
      <c r="C1527">
        <v>146</v>
      </c>
      <c r="D1527">
        <v>12</v>
      </c>
      <c r="E1527">
        <v>8</v>
      </c>
      <c r="F1527">
        <v>0</v>
      </c>
      <c r="G1527" t="s">
        <v>1067</v>
      </c>
      <c r="H1527" t="s">
        <v>9</v>
      </c>
      <c r="I1527" t="s">
        <v>1164</v>
      </c>
      <c r="J1527" t="s">
        <v>55</v>
      </c>
      <c r="K1527" t="s">
        <v>1172</v>
      </c>
      <c r="M1527" t="s">
        <v>6</v>
      </c>
    </row>
    <row r="1528" spans="2:13" hidden="1">
      <c r="B1528">
        <v>1526</v>
      </c>
      <c r="C1528">
        <v>146</v>
      </c>
      <c r="D1528">
        <v>12</v>
      </c>
      <c r="E1528">
        <v>9</v>
      </c>
      <c r="F1528">
        <v>0</v>
      </c>
      <c r="G1528" t="s">
        <v>1067</v>
      </c>
      <c r="H1528" t="s">
        <v>9</v>
      </c>
      <c r="I1528" t="s">
        <v>1164</v>
      </c>
      <c r="J1528" t="s">
        <v>55</v>
      </c>
      <c r="K1528" t="s">
        <v>1173</v>
      </c>
      <c r="M1528" t="s">
        <v>6</v>
      </c>
    </row>
    <row r="1529" spans="2:13" hidden="1">
      <c r="B1529">
        <v>1527</v>
      </c>
      <c r="C1529">
        <v>146</v>
      </c>
      <c r="D1529">
        <v>12</v>
      </c>
      <c r="E1529">
        <v>10</v>
      </c>
      <c r="F1529">
        <v>0</v>
      </c>
      <c r="G1529" t="s">
        <v>1067</v>
      </c>
      <c r="H1529" t="s">
        <v>9</v>
      </c>
      <c r="I1529" t="s">
        <v>1164</v>
      </c>
      <c r="J1529" t="s">
        <v>55</v>
      </c>
      <c r="K1529" t="s">
        <v>1174</v>
      </c>
      <c r="M1529" t="s">
        <v>6</v>
      </c>
    </row>
    <row r="1530" spans="2:13" hidden="1">
      <c r="B1530">
        <v>1528</v>
      </c>
      <c r="C1530">
        <v>146</v>
      </c>
      <c r="D1530">
        <v>12</v>
      </c>
      <c r="E1530">
        <v>11</v>
      </c>
      <c r="F1530">
        <v>0</v>
      </c>
      <c r="G1530" t="s">
        <v>1067</v>
      </c>
      <c r="H1530" t="s">
        <v>9</v>
      </c>
      <c r="I1530" t="s">
        <v>1164</v>
      </c>
      <c r="J1530" t="s">
        <v>55</v>
      </c>
      <c r="K1530" t="s">
        <v>93</v>
      </c>
      <c r="M1530" t="s">
        <v>6</v>
      </c>
    </row>
    <row r="1531" spans="2:13" hidden="1">
      <c r="B1531">
        <v>1529</v>
      </c>
      <c r="C1531">
        <v>146</v>
      </c>
      <c r="D1531">
        <v>12</v>
      </c>
      <c r="E1531">
        <v>12</v>
      </c>
      <c r="F1531">
        <v>0</v>
      </c>
      <c r="G1531" t="s">
        <v>1067</v>
      </c>
      <c r="H1531" t="s">
        <v>9</v>
      </c>
      <c r="I1531" t="s">
        <v>1164</v>
      </c>
      <c r="J1531" t="s">
        <v>64</v>
      </c>
      <c r="K1531" t="s">
        <v>94</v>
      </c>
      <c r="M1531" t="s">
        <v>6</v>
      </c>
    </row>
    <row r="1532" spans="2:13" hidden="1">
      <c r="B1532">
        <v>1530</v>
      </c>
      <c r="C1532">
        <v>147</v>
      </c>
      <c r="D1532">
        <v>32</v>
      </c>
      <c r="E1532">
        <v>0</v>
      </c>
      <c r="F1532">
        <v>0</v>
      </c>
      <c r="G1532" t="s">
        <v>1067</v>
      </c>
      <c r="H1532" t="s">
        <v>9</v>
      </c>
      <c r="I1532" t="s">
        <v>1175</v>
      </c>
      <c r="J1532" t="s">
        <v>478</v>
      </c>
      <c r="K1532" t="s">
        <v>1175</v>
      </c>
      <c r="M1532" t="s">
        <v>6</v>
      </c>
    </row>
    <row r="1533" spans="2:13" hidden="1">
      <c r="B1533">
        <v>1531</v>
      </c>
      <c r="C1533">
        <v>147</v>
      </c>
      <c r="D1533">
        <v>32</v>
      </c>
      <c r="E1533">
        <v>1</v>
      </c>
      <c r="F1533">
        <v>0</v>
      </c>
      <c r="G1533" t="s">
        <v>1067</v>
      </c>
      <c r="H1533" t="s">
        <v>9</v>
      </c>
      <c r="I1533" t="s">
        <v>1175</v>
      </c>
      <c r="J1533" t="s">
        <v>479</v>
      </c>
      <c r="K1533" t="s">
        <v>1176</v>
      </c>
      <c r="M1533" t="s">
        <v>6</v>
      </c>
    </row>
    <row r="1534" spans="2:13" hidden="1">
      <c r="B1534">
        <v>1532</v>
      </c>
      <c r="C1534">
        <v>147</v>
      </c>
      <c r="D1534">
        <v>32</v>
      </c>
      <c r="E1534">
        <v>2</v>
      </c>
      <c r="F1534">
        <v>0</v>
      </c>
      <c r="G1534" t="s">
        <v>1067</v>
      </c>
      <c r="H1534" t="s">
        <v>9</v>
      </c>
      <c r="I1534" t="s">
        <v>1175</v>
      </c>
      <c r="J1534" t="s">
        <v>55</v>
      </c>
      <c r="K1534" t="s">
        <v>1177</v>
      </c>
      <c r="M1534" t="s">
        <v>6</v>
      </c>
    </row>
    <row r="1535" spans="2:13" hidden="1">
      <c r="B1535">
        <v>1533</v>
      </c>
      <c r="C1535">
        <v>147</v>
      </c>
      <c r="D1535">
        <v>32</v>
      </c>
      <c r="E1535">
        <v>3</v>
      </c>
      <c r="F1535">
        <v>0</v>
      </c>
      <c r="G1535" t="s">
        <v>1067</v>
      </c>
      <c r="H1535" t="s">
        <v>9</v>
      </c>
      <c r="I1535" t="s">
        <v>1175</v>
      </c>
      <c r="J1535" t="s">
        <v>55</v>
      </c>
      <c r="K1535" t="s">
        <v>1178</v>
      </c>
      <c r="M1535" t="s">
        <v>6</v>
      </c>
    </row>
    <row r="1536" spans="2:13" hidden="1">
      <c r="B1536">
        <v>1534</v>
      </c>
      <c r="C1536">
        <v>147</v>
      </c>
      <c r="D1536">
        <v>32</v>
      </c>
      <c r="E1536">
        <v>4</v>
      </c>
      <c r="F1536">
        <v>0</v>
      </c>
      <c r="G1536" t="s">
        <v>1067</v>
      </c>
      <c r="H1536" t="s">
        <v>9</v>
      </c>
      <c r="I1536" t="s">
        <v>1175</v>
      </c>
      <c r="J1536" t="s">
        <v>269</v>
      </c>
      <c r="K1536" t="s">
        <v>1179</v>
      </c>
      <c r="M1536" t="s">
        <v>6</v>
      </c>
    </row>
    <row r="1537" spans="2:13" hidden="1">
      <c r="B1537">
        <v>1535</v>
      </c>
      <c r="C1537">
        <v>147</v>
      </c>
      <c r="D1537">
        <v>32</v>
      </c>
      <c r="E1537">
        <v>5</v>
      </c>
      <c r="F1537">
        <v>0</v>
      </c>
      <c r="G1537" t="s">
        <v>1067</v>
      </c>
      <c r="H1537" t="s">
        <v>9</v>
      </c>
      <c r="I1537" t="s">
        <v>1175</v>
      </c>
      <c r="J1537" t="s">
        <v>269</v>
      </c>
      <c r="K1537" t="s">
        <v>1180</v>
      </c>
      <c r="M1537" t="s">
        <v>6</v>
      </c>
    </row>
    <row r="1538" spans="2:13" hidden="1">
      <c r="B1538">
        <v>1536</v>
      </c>
      <c r="C1538">
        <v>147</v>
      </c>
      <c r="D1538">
        <v>32</v>
      </c>
      <c r="E1538">
        <v>6</v>
      </c>
      <c r="F1538">
        <v>0</v>
      </c>
      <c r="G1538" t="s">
        <v>1067</v>
      </c>
      <c r="H1538" t="s">
        <v>9</v>
      </c>
      <c r="I1538" t="s">
        <v>1175</v>
      </c>
      <c r="J1538" t="s">
        <v>269</v>
      </c>
      <c r="K1538" t="s">
        <v>1181</v>
      </c>
      <c r="M1538" t="s">
        <v>6</v>
      </c>
    </row>
    <row r="1539" spans="2:13" hidden="1">
      <c r="B1539">
        <v>1537</v>
      </c>
      <c r="C1539">
        <v>147</v>
      </c>
      <c r="D1539">
        <v>32</v>
      </c>
      <c r="E1539">
        <v>7</v>
      </c>
      <c r="F1539">
        <v>0</v>
      </c>
      <c r="G1539" t="s">
        <v>1067</v>
      </c>
      <c r="H1539" t="s">
        <v>9</v>
      </c>
      <c r="I1539" t="s">
        <v>1175</v>
      </c>
      <c r="J1539" t="s">
        <v>269</v>
      </c>
      <c r="K1539" t="s">
        <v>1182</v>
      </c>
      <c r="M1539" t="s">
        <v>6</v>
      </c>
    </row>
    <row r="1540" spans="2:13" hidden="1">
      <c r="B1540">
        <v>1538</v>
      </c>
      <c r="C1540">
        <v>147</v>
      </c>
      <c r="D1540">
        <v>32</v>
      </c>
      <c r="E1540">
        <v>8</v>
      </c>
      <c r="F1540">
        <v>0</v>
      </c>
      <c r="G1540" t="s">
        <v>1067</v>
      </c>
      <c r="H1540" t="s">
        <v>9</v>
      </c>
      <c r="I1540" t="s">
        <v>1175</v>
      </c>
      <c r="J1540" t="s">
        <v>269</v>
      </c>
      <c r="K1540" t="s">
        <v>1183</v>
      </c>
      <c r="M1540" t="s">
        <v>6</v>
      </c>
    </row>
    <row r="1541" spans="2:13" hidden="1">
      <c r="B1541">
        <v>1539</v>
      </c>
      <c r="C1541">
        <v>147</v>
      </c>
      <c r="D1541">
        <v>32</v>
      </c>
      <c r="E1541">
        <v>9</v>
      </c>
      <c r="F1541">
        <v>0</v>
      </c>
      <c r="G1541" t="s">
        <v>1067</v>
      </c>
      <c r="H1541" t="s">
        <v>9</v>
      </c>
      <c r="I1541" t="s">
        <v>1175</v>
      </c>
      <c r="J1541" t="s">
        <v>1184</v>
      </c>
      <c r="K1541" t="s">
        <v>1185</v>
      </c>
      <c r="M1541" t="s">
        <v>6</v>
      </c>
    </row>
    <row r="1542" spans="2:13" hidden="1">
      <c r="B1542">
        <v>1540</v>
      </c>
      <c r="C1542">
        <v>147</v>
      </c>
      <c r="D1542">
        <v>32</v>
      </c>
      <c r="E1542">
        <v>10</v>
      </c>
      <c r="F1542">
        <v>0</v>
      </c>
      <c r="G1542" t="s">
        <v>1067</v>
      </c>
      <c r="H1542" t="s">
        <v>9</v>
      </c>
      <c r="I1542" t="s">
        <v>1175</v>
      </c>
      <c r="J1542" t="s">
        <v>269</v>
      </c>
      <c r="K1542" t="s">
        <v>1186</v>
      </c>
      <c r="M1542" t="s">
        <v>6</v>
      </c>
    </row>
    <row r="1543" spans="2:13" hidden="1">
      <c r="B1543">
        <v>1541</v>
      </c>
      <c r="C1543">
        <v>147</v>
      </c>
      <c r="D1543">
        <v>32</v>
      </c>
      <c r="E1543">
        <v>11</v>
      </c>
      <c r="F1543">
        <v>0</v>
      </c>
      <c r="G1543" t="s">
        <v>1067</v>
      </c>
      <c r="H1543" t="s">
        <v>9</v>
      </c>
      <c r="I1543" t="s">
        <v>1175</v>
      </c>
      <c r="J1543" t="s">
        <v>269</v>
      </c>
      <c r="K1543" t="s">
        <v>1187</v>
      </c>
      <c r="M1543" t="s">
        <v>6</v>
      </c>
    </row>
    <row r="1544" spans="2:13" hidden="1">
      <c r="B1544">
        <v>1542</v>
      </c>
      <c r="C1544">
        <v>147</v>
      </c>
      <c r="D1544">
        <v>32</v>
      </c>
      <c r="E1544">
        <v>12</v>
      </c>
      <c r="F1544">
        <v>0</v>
      </c>
      <c r="G1544" t="s">
        <v>1067</v>
      </c>
      <c r="H1544" t="s">
        <v>9</v>
      </c>
      <c r="I1544" t="s">
        <v>1175</v>
      </c>
      <c r="J1544" t="s">
        <v>269</v>
      </c>
      <c r="K1544" t="s">
        <v>1188</v>
      </c>
      <c r="M1544" t="s">
        <v>6</v>
      </c>
    </row>
    <row r="1545" spans="2:13" hidden="1">
      <c r="B1545">
        <v>1543</v>
      </c>
      <c r="C1545">
        <v>147</v>
      </c>
      <c r="D1545">
        <v>32</v>
      </c>
      <c r="E1545">
        <v>13</v>
      </c>
      <c r="F1545">
        <v>0</v>
      </c>
      <c r="G1545" t="s">
        <v>1067</v>
      </c>
      <c r="H1545" t="s">
        <v>9</v>
      </c>
      <c r="I1545" t="s">
        <v>1175</v>
      </c>
      <c r="J1545" t="s">
        <v>269</v>
      </c>
      <c r="K1545" t="s">
        <v>1189</v>
      </c>
      <c r="M1545" t="s">
        <v>6</v>
      </c>
    </row>
    <row r="1546" spans="2:13" hidden="1">
      <c r="B1546">
        <v>1544</v>
      </c>
      <c r="C1546">
        <v>147</v>
      </c>
      <c r="D1546">
        <v>32</v>
      </c>
      <c r="E1546">
        <v>14</v>
      </c>
      <c r="F1546">
        <v>0</v>
      </c>
      <c r="G1546" t="s">
        <v>1067</v>
      </c>
      <c r="H1546" t="s">
        <v>9</v>
      </c>
      <c r="I1546" t="s">
        <v>1175</v>
      </c>
      <c r="J1546" t="s">
        <v>269</v>
      </c>
      <c r="K1546" t="s">
        <v>1190</v>
      </c>
      <c r="M1546" t="s">
        <v>6</v>
      </c>
    </row>
    <row r="1547" spans="2:13" hidden="1">
      <c r="B1547">
        <v>1545</v>
      </c>
      <c r="C1547">
        <v>147</v>
      </c>
      <c r="D1547">
        <v>32</v>
      </c>
      <c r="E1547">
        <v>15</v>
      </c>
      <c r="F1547">
        <v>0</v>
      </c>
      <c r="G1547" t="s">
        <v>1067</v>
      </c>
      <c r="H1547" t="s">
        <v>9</v>
      </c>
      <c r="I1547" t="s">
        <v>1175</v>
      </c>
      <c r="J1547" t="s">
        <v>1184</v>
      </c>
      <c r="K1547" t="s">
        <v>1191</v>
      </c>
      <c r="M1547" t="s">
        <v>6</v>
      </c>
    </row>
    <row r="1548" spans="2:13" hidden="1">
      <c r="B1548">
        <v>1546</v>
      </c>
      <c r="C1548">
        <v>147</v>
      </c>
      <c r="D1548">
        <v>32</v>
      </c>
      <c r="E1548">
        <v>16</v>
      </c>
      <c r="F1548">
        <v>0</v>
      </c>
      <c r="G1548" t="s">
        <v>1067</v>
      </c>
      <c r="H1548" t="s">
        <v>9</v>
      </c>
      <c r="I1548" t="s">
        <v>1175</v>
      </c>
      <c r="J1548" t="s">
        <v>269</v>
      </c>
      <c r="K1548" t="s">
        <v>1192</v>
      </c>
      <c r="M1548" t="s">
        <v>6</v>
      </c>
    </row>
    <row r="1549" spans="2:13" hidden="1">
      <c r="B1549">
        <v>1547</v>
      </c>
      <c r="C1549">
        <v>147</v>
      </c>
      <c r="D1549">
        <v>32</v>
      </c>
      <c r="E1549">
        <v>17</v>
      </c>
      <c r="F1549">
        <v>0</v>
      </c>
      <c r="G1549" t="s">
        <v>1067</v>
      </c>
      <c r="H1549" t="s">
        <v>9</v>
      </c>
      <c r="I1549" t="s">
        <v>1175</v>
      </c>
      <c r="J1549" t="s">
        <v>269</v>
      </c>
      <c r="K1549" t="s">
        <v>1193</v>
      </c>
      <c r="M1549" t="s">
        <v>6</v>
      </c>
    </row>
    <row r="1550" spans="2:13" hidden="1">
      <c r="B1550">
        <v>1548</v>
      </c>
      <c r="C1550">
        <v>147</v>
      </c>
      <c r="D1550">
        <v>32</v>
      </c>
      <c r="E1550">
        <v>18</v>
      </c>
      <c r="F1550">
        <v>0</v>
      </c>
      <c r="G1550" t="s">
        <v>1067</v>
      </c>
      <c r="H1550" t="s">
        <v>9</v>
      </c>
      <c r="I1550" t="s">
        <v>1175</v>
      </c>
      <c r="J1550" t="s">
        <v>269</v>
      </c>
      <c r="K1550" t="s">
        <v>1194</v>
      </c>
      <c r="M1550" t="s">
        <v>6</v>
      </c>
    </row>
    <row r="1551" spans="2:13" hidden="1">
      <c r="B1551">
        <v>1549</v>
      </c>
      <c r="C1551">
        <v>147</v>
      </c>
      <c r="D1551">
        <v>32</v>
      </c>
      <c r="E1551">
        <v>19</v>
      </c>
      <c r="F1551">
        <v>0</v>
      </c>
      <c r="G1551" t="s">
        <v>1067</v>
      </c>
      <c r="H1551" t="s">
        <v>9</v>
      </c>
      <c r="I1551" t="s">
        <v>1175</v>
      </c>
      <c r="J1551" t="s">
        <v>269</v>
      </c>
      <c r="K1551" t="s">
        <v>1195</v>
      </c>
      <c r="M1551" t="s">
        <v>6</v>
      </c>
    </row>
    <row r="1552" spans="2:13" hidden="1">
      <c r="B1552">
        <v>1550</v>
      </c>
      <c r="C1552">
        <v>147</v>
      </c>
      <c r="D1552">
        <v>32</v>
      </c>
      <c r="E1552">
        <v>20</v>
      </c>
      <c r="F1552">
        <v>0</v>
      </c>
      <c r="G1552" t="s">
        <v>1067</v>
      </c>
      <c r="H1552" t="s">
        <v>9</v>
      </c>
      <c r="I1552" t="s">
        <v>1175</v>
      </c>
      <c r="J1552" t="s">
        <v>269</v>
      </c>
      <c r="K1552" t="s">
        <v>1196</v>
      </c>
      <c r="M1552" t="s">
        <v>6</v>
      </c>
    </row>
    <row r="1553" spans="2:13" hidden="1">
      <c r="B1553">
        <v>1551</v>
      </c>
      <c r="C1553">
        <v>147</v>
      </c>
      <c r="D1553">
        <v>32</v>
      </c>
      <c r="E1553">
        <v>21</v>
      </c>
      <c r="F1553">
        <v>0</v>
      </c>
      <c r="G1553" t="s">
        <v>1067</v>
      </c>
      <c r="H1553" t="s">
        <v>9</v>
      </c>
      <c r="I1553" t="s">
        <v>1175</v>
      </c>
      <c r="J1553" t="s">
        <v>269</v>
      </c>
      <c r="K1553" t="s">
        <v>1197</v>
      </c>
      <c r="M1553" t="s">
        <v>6</v>
      </c>
    </row>
    <row r="1554" spans="2:13" hidden="1">
      <c r="B1554">
        <v>1552</v>
      </c>
      <c r="C1554">
        <v>147</v>
      </c>
      <c r="D1554">
        <v>32</v>
      </c>
      <c r="E1554">
        <v>22</v>
      </c>
      <c r="F1554">
        <v>0</v>
      </c>
      <c r="G1554" t="s">
        <v>1067</v>
      </c>
      <c r="H1554" t="s">
        <v>9</v>
      </c>
      <c r="I1554" t="s">
        <v>1175</v>
      </c>
      <c r="J1554" t="s">
        <v>1184</v>
      </c>
      <c r="K1554" t="s">
        <v>1198</v>
      </c>
      <c r="M1554" t="s">
        <v>6</v>
      </c>
    </row>
    <row r="1555" spans="2:13" hidden="1">
      <c r="B1555">
        <v>1553</v>
      </c>
      <c r="C1555">
        <v>147</v>
      </c>
      <c r="D1555">
        <v>32</v>
      </c>
      <c r="E1555">
        <v>23</v>
      </c>
      <c r="F1555">
        <v>0</v>
      </c>
      <c r="G1555" t="s">
        <v>1067</v>
      </c>
      <c r="H1555" t="s">
        <v>9</v>
      </c>
      <c r="I1555" t="s">
        <v>1175</v>
      </c>
      <c r="J1555" t="s">
        <v>269</v>
      </c>
      <c r="K1555" t="s">
        <v>1199</v>
      </c>
      <c r="M1555" t="s">
        <v>6</v>
      </c>
    </row>
    <row r="1556" spans="2:13" hidden="1">
      <c r="B1556">
        <v>1554</v>
      </c>
      <c r="C1556">
        <v>147</v>
      </c>
      <c r="D1556">
        <v>32</v>
      </c>
      <c r="E1556">
        <v>24</v>
      </c>
      <c r="F1556">
        <v>0</v>
      </c>
      <c r="G1556" t="s">
        <v>1067</v>
      </c>
      <c r="H1556" t="s">
        <v>9</v>
      </c>
      <c r="I1556" t="s">
        <v>1175</v>
      </c>
      <c r="J1556" t="s">
        <v>269</v>
      </c>
      <c r="K1556" t="s">
        <v>1200</v>
      </c>
      <c r="M1556" t="s">
        <v>6</v>
      </c>
    </row>
    <row r="1557" spans="2:13" hidden="1">
      <c r="B1557">
        <v>1555</v>
      </c>
      <c r="C1557">
        <v>147</v>
      </c>
      <c r="D1557">
        <v>32</v>
      </c>
      <c r="E1557">
        <v>25</v>
      </c>
      <c r="F1557">
        <v>0</v>
      </c>
      <c r="G1557" t="s">
        <v>1067</v>
      </c>
      <c r="H1557" t="s">
        <v>9</v>
      </c>
      <c r="I1557" t="s">
        <v>1175</v>
      </c>
      <c r="J1557" t="s">
        <v>269</v>
      </c>
      <c r="K1557" t="s">
        <v>1201</v>
      </c>
      <c r="M1557" t="s">
        <v>6</v>
      </c>
    </row>
    <row r="1558" spans="2:13" hidden="1">
      <c r="B1558">
        <v>1556</v>
      </c>
      <c r="C1558">
        <v>147</v>
      </c>
      <c r="D1558">
        <v>32</v>
      </c>
      <c r="E1558">
        <v>26</v>
      </c>
      <c r="F1558">
        <v>0</v>
      </c>
      <c r="G1558" t="s">
        <v>1067</v>
      </c>
      <c r="H1558" t="s">
        <v>9</v>
      </c>
      <c r="I1558" t="s">
        <v>1175</v>
      </c>
      <c r="J1558" t="s">
        <v>269</v>
      </c>
      <c r="K1558" t="s">
        <v>1202</v>
      </c>
      <c r="M1558" t="s">
        <v>6</v>
      </c>
    </row>
    <row r="1559" spans="2:13" hidden="1">
      <c r="B1559">
        <v>1557</v>
      </c>
      <c r="C1559">
        <v>147</v>
      </c>
      <c r="D1559">
        <v>32</v>
      </c>
      <c r="E1559">
        <v>27</v>
      </c>
      <c r="F1559">
        <v>0</v>
      </c>
      <c r="G1559" t="s">
        <v>1067</v>
      </c>
      <c r="H1559" t="s">
        <v>9</v>
      </c>
      <c r="I1559" t="s">
        <v>1175</v>
      </c>
      <c r="J1559" t="s">
        <v>269</v>
      </c>
      <c r="K1559" t="s">
        <v>1203</v>
      </c>
      <c r="M1559" t="s">
        <v>6</v>
      </c>
    </row>
    <row r="1560" spans="2:13" hidden="1">
      <c r="B1560">
        <v>1558</v>
      </c>
      <c r="C1560">
        <v>147</v>
      </c>
      <c r="D1560">
        <v>32</v>
      </c>
      <c r="E1560">
        <v>28</v>
      </c>
      <c r="F1560">
        <v>0</v>
      </c>
      <c r="G1560" t="s">
        <v>1067</v>
      </c>
      <c r="H1560" t="s">
        <v>9</v>
      </c>
      <c r="I1560" t="s">
        <v>1175</v>
      </c>
      <c r="J1560" t="s">
        <v>269</v>
      </c>
      <c r="K1560" t="s">
        <v>1204</v>
      </c>
      <c r="M1560" t="s">
        <v>6</v>
      </c>
    </row>
    <row r="1561" spans="2:13" hidden="1">
      <c r="B1561">
        <v>1559</v>
      </c>
      <c r="C1561">
        <v>147</v>
      </c>
      <c r="D1561">
        <v>32</v>
      </c>
      <c r="E1561">
        <v>29</v>
      </c>
      <c r="F1561">
        <v>0</v>
      </c>
      <c r="G1561" t="s">
        <v>1067</v>
      </c>
      <c r="H1561" t="s">
        <v>9</v>
      </c>
      <c r="I1561" t="s">
        <v>1175</v>
      </c>
      <c r="J1561" t="s">
        <v>269</v>
      </c>
      <c r="K1561" t="s">
        <v>1205</v>
      </c>
      <c r="M1561" t="s">
        <v>6</v>
      </c>
    </row>
    <row r="1562" spans="2:13" hidden="1">
      <c r="B1562">
        <v>1560</v>
      </c>
      <c r="C1562">
        <v>147</v>
      </c>
      <c r="D1562">
        <v>32</v>
      </c>
      <c r="E1562">
        <v>30</v>
      </c>
      <c r="F1562">
        <v>0</v>
      </c>
      <c r="G1562" t="s">
        <v>1067</v>
      </c>
      <c r="H1562" t="s">
        <v>9</v>
      </c>
      <c r="I1562" t="s">
        <v>1175</v>
      </c>
      <c r="J1562" t="s">
        <v>64</v>
      </c>
      <c r="K1562" t="s">
        <v>1142</v>
      </c>
      <c r="M1562" t="s">
        <v>6</v>
      </c>
    </row>
    <row r="1563" spans="2:13" hidden="1">
      <c r="B1563">
        <v>1561</v>
      </c>
      <c r="C1563">
        <v>147</v>
      </c>
      <c r="D1563">
        <v>32</v>
      </c>
      <c r="E1563">
        <v>31</v>
      </c>
      <c r="F1563">
        <v>0</v>
      </c>
      <c r="G1563" t="s">
        <v>1067</v>
      </c>
      <c r="H1563" t="s">
        <v>9</v>
      </c>
      <c r="I1563" t="s">
        <v>1175</v>
      </c>
      <c r="J1563" t="s">
        <v>55</v>
      </c>
      <c r="K1563" t="s">
        <v>93</v>
      </c>
      <c r="M1563" t="s">
        <v>6</v>
      </c>
    </row>
    <row r="1564" spans="2:13" hidden="1">
      <c r="B1564">
        <v>1562</v>
      </c>
      <c r="C1564">
        <v>147</v>
      </c>
      <c r="D1564">
        <v>32</v>
      </c>
      <c r="E1564">
        <v>32</v>
      </c>
      <c r="F1564">
        <v>0</v>
      </c>
      <c r="G1564" t="s">
        <v>1067</v>
      </c>
      <c r="H1564" t="s">
        <v>9</v>
      </c>
      <c r="I1564" t="s">
        <v>1175</v>
      </c>
      <c r="J1564" t="s">
        <v>64</v>
      </c>
      <c r="K1564" t="s">
        <v>94</v>
      </c>
      <c r="M1564" t="s">
        <v>6</v>
      </c>
    </row>
    <row r="1565" spans="2:13" hidden="1">
      <c r="B1565">
        <v>1563</v>
      </c>
      <c r="C1565">
        <v>148</v>
      </c>
      <c r="D1565">
        <v>6</v>
      </c>
      <c r="E1565">
        <v>0</v>
      </c>
      <c r="F1565">
        <v>0</v>
      </c>
      <c r="G1565" t="s">
        <v>1067</v>
      </c>
      <c r="H1565" t="s">
        <v>9</v>
      </c>
      <c r="I1565" t="s">
        <v>1206</v>
      </c>
      <c r="J1565" t="s">
        <v>54</v>
      </c>
      <c r="K1565" t="s">
        <v>1206</v>
      </c>
      <c r="M1565" t="s">
        <v>6</v>
      </c>
    </row>
    <row r="1566" spans="2:13" hidden="1">
      <c r="B1566">
        <v>1564</v>
      </c>
      <c r="C1566">
        <v>148</v>
      </c>
      <c r="D1566">
        <v>6</v>
      </c>
      <c r="E1566">
        <v>1</v>
      </c>
      <c r="F1566">
        <v>0</v>
      </c>
      <c r="G1566" t="s">
        <v>1067</v>
      </c>
      <c r="H1566" t="s">
        <v>9</v>
      </c>
      <c r="I1566" t="s">
        <v>1206</v>
      </c>
      <c r="J1566" t="s">
        <v>55</v>
      </c>
      <c r="K1566" t="s">
        <v>1207</v>
      </c>
      <c r="M1566" t="s">
        <v>6</v>
      </c>
    </row>
    <row r="1567" spans="2:13" hidden="1">
      <c r="B1567">
        <v>1565</v>
      </c>
      <c r="C1567">
        <v>148</v>
      </c>
      <c r="D1567">
        <v>6</v>
      </c>
      <c r="E1567">
        <v>2</v>
      </c>
      <c r="F1567">
        <v>0</v>
      </c>
      <c r="G1567" t="s">
        <v>1067</v>
      </c>
      <c r="H1567" t="s">
        <v>9</v>
      </c>
      <c r="I1567" t="s">
        <v>1206</v>
      </c>
      <c r="J1567" t="s">
        <v>55</v>
      </c>
      <c r="K1567" t="s">
        <v>1208</v>
      </c>
      <c r="M1567" t="s">
        <v>6</v>
      </c>
    </row>
    <row r="1568" spans="2:13" hidden="1">
      <c r="B1568">
        <v>1566</v>
      </c>
      <c r="C1568">
        <v>148</v>
      </c>
      <c r="D1568">
        <v>6</v>
      </c>
      <c r="E1568">
        <v>3</v>
      </c>
      <c r="F1568">
        <v>0</v>
      </c>
      <c r="G1568" t="s">
        <v>1067</v>
      </c>
      <c r="H1568" t="s">
        <v>9</v>
      </c>
      <c r="I1568" t="s">
        <v>1206</v>
      </c>
      <c r="J1568" t="s">
        <v>55</v>
      </c>
      <c r="K1568" t="s">
        <v>1209</v>
      </c>
      <c r="M1568" t="s">
        <v>6</v>
      </c>
    </row>
    <row r="1569" spans="2:13" hidden="1">
      <c r="B1569">
        <v>1567</v>
      </c>
      <c r="C1569">
        <v>148</v>
      </c>
      <c r="D1569">
        <v>6</v>
      </c>
      <c r="E1569">
        <v>4</v>
      </c>
      <c r="F1569">
        <v>0</v>
      </c>
      <c r="G1569" t="s">
        <v>1067</v>
      </c>
      <c r="H1569" t="s">
        <v>9</v>
      </c>
      <c r="I1569" t="s">
        <v>1206</v>
      </c>
      <c r="J1569" t="s">
        <v>55</v>
      </c>
      <c r="K1569" t="s">
        <v>1210</v>
      </c>
      <c r="M1569" t="s">
        <v>6</v>
      </c>
    </row>
    <row r="1570" spans="2:13" hidden="1">
      <c r="B1570">
        <v>1568</v>
      </c>
      <c r="C1570">
        <v>148</v>
      </c>
      <c r="D1570">
        <v>6</v>
      </c>
      <c r="E1570">
        <v>5</v>
      </c>
      <c r="F1570">
        <v>0</v>
      </c>
      <c r="G1570" t="s">
        <v>1067</v>
      </c>
      <c r="H1570" t="s">
        <v>9</v>
      </c>
      <c r="I1570" t="s">
        <v>1206</v>
      </c>
      <c r="J1570" t="s">
        <v>55</v>
      </c>
      <c r="K1570" t="s">
        <v>93</v>
      </c>
      <c r="M1570" t="s">
        <v>6</v>
      </c>
    </row>
    <row r="1571" spans="2:13" hidden="1">
      <c r="B1571">
        <v>1569</v>
      </c>
      <c r="C1571">
        <v>148</v>
      </c>
      <c r="D1571">
        <v>6</v>
      </c>
      <c r="E1571">
        <v>6</v>
      </c>
      <c r="F1571">
        <v>0</v>
      </c>
      <c r="G1571" t="s">
        <v>1067</v>
      </c>
      <c r="H1571" t="s">
        <v>9</v>
      </c>
      <c r="I1571" t="s">
        <v>1206</v>
      </c>
      <c r="J1571" t="s">
        <v>64</v>
      </c>
      <c r="K1571" t="s">
        <v>94</v>
      </c>
      <c r="M1571" t="s">
        <v>6</v>
      </c>
    </row>
    <row r="1572" spans="2:13" hidden="1">
      <c r="B1572">
        <v>1570</v>
      </c>
      <c r="C1572">
        <v>149</v>
      </c>
      <c r="D1572">
        <v>8</v>
      </c>
      <c r="E1572">
        <v>0</v>
      </c>
      <c r="F1572">
        <v>0</v>
      </c>
      <c r="G1572" t="s">
        <v>1067</v>
      </c>
      <c r="H1572" t="s">
        <v>9</v>
      </c>
      <c r="I1572" t="s">
        <v>1211</v>
      </c>
      <c r="J1572" t="s">
        <v>54</v>
      </c>
      <c r="K1572" t="s">
        <v>1211</v>
      </c>
      <c r="M1572" t="s">
        <v>6</v>
      </c>
    </row>
    <row r="1573" spans="2:13" hidden="1">
      <c r="B1573">
        <v>1571</v>
      </c>
      <c r="C1573">
        <v>149</v>
      </c>
      <c r="D1573">
        <v>8</v>
      </c>
      <c r="E1573">
        <v>1</v>
      </c>
      <c r="F1573">
        <v>0</v>
      </c>
      <c r="G1573" t="s">
        <v>1067</v>
      </c>
      <c r="H1573" t="s">
        <v>9</v>
      </c>
      <c r="I1573" t="s">
        <v>1211</v>
      </c>
      <c r="J1573" t="s">
        <v>55</v>
      </c>
      <c r="K1573" t="s">
        <v>1212</v>
      </c>
      <c r="M1573" t="s">
        <v>6</v>
      </c>
    </row>
    <row r="1574" spans="2:13" hidden="1">
      <c r="B1574">
        <v>1572</v>
      </c>
      <c r="C1574">
        <v>149</v>
      </c>
      <c r="D1574">
        <v>8</v>
      </c>
      <c r="E1574">
        <v>2</v>
      </c>
      <c r="F1574">
        <v>0</v>
      </c>
      <c r="G1574" t="s">
        <v>1067</v>
      </c>
      <c r="H1574" t="s">
        <v>9</v>
      </c>
      <c r="I1574" t="s">
        <v>1211</v>
      </c>
      <c r="J1574" t="s">
        <v>55</v>
      </c>
      <c r="K1574" t="s">
        <v>1213</v>
      </c>
      <c r="M1574" t="s">
        <v>6</v>
      </c>
    </row>
    <row r="1575" spans="2:13" hidden="1">
      <c r="B1575">
        <v>1573</v>
      </c>
      <c r="C1575">
        <v>149</v>
      </c>
      <c r="D1575">
        <v>8</v>
      </c>
      <c r="E1575">
        <v>3</v>
      </c>
      <c r="F1575">
        <v>0</v>
      </c>
      <c r="G1575" t="s">
        <v>1067</v>
      </c>
      <c r="H1575" t="s">
        <v>9</v>
      </c>
      <c r="I1575" t="s">
        <v>1211</v>
      </c>
      <c r="J1575" t="s">
        <v>55</v>
      </c>
      <c r="K1575" t="s">
        <v>1214</v>
      </c>
      <c r="M1575" t="s">
        <v>6</v>
      </c>
    </row>
    <row r="1576" spans="2:13" hidden="1">
      <c r="B1576">
        <v>1574</v>
      </c>
      <c r="C1576">
        <v>149</v>
      </c>
      <c r="D1576">
        <v>8</v>
      </c>
      <c r="E1576">
        <v>4</v>
      </c>
      <c r="F1576">
        <v>0</v>
      </c>
      <c r="G1576" t="s">
        <v>1067</v>
      </c>
      <c r="H1576" t="s">
        <v>9</v>
      </c>
      <c r="I1576" t="s">
        <v>1211</v>
      </c>
      <c r="J1576" t="s">
        <v>55</v>
      </c>
      <c r="K1576" t="s">
        <v>1141</v>
      </c>
      <c r="M1576" t="s">
        <v>6</v>
      </c>
    </row>
    <row r="1577" spans="2:13" hidden="1">
      <c r="B1577">
        <v>1575</v>
      </c>
      <c r="C1577">
        <v>149</v>
      </c>
      <c r="D1577">
        <v>8</v>
      </c>
      <c r="E1577">
        <v>5</v>
      </c>
      <c r="F1577">
        <v>0</v>
      </c>
      <c r="G1577" t="s">
        <v>1067</v>
      </c>
      <c r="H1577" t="s">
        <v>9</v>
      </c>
      <c r="I1577" t="s">
        <v>1211</v>
      </c>
      <c r="J1577" t="s">
        <v>55</v>
      </c>
      <c r="K1577" t="s">
        <v>1215</v>
      </c>
      <c r="M1577" t="s">
        <v>6</v>
      </c>
    </row>
    <row r="1578" spans="2:13" hidden="1">
      <c r="B1578">
        <v>1576</v>
      </c>
      <c r="C1578">
        <v>149</v>
      </c>
      <c r="D1578">
        <v>8</v>
      </c>
      <c r="E1578">
        <v>6</v>
      </c>
      <c r="F1578">
        <v>0</v>
      </c>
      <c r="G1578" t="s">
        <v>1067</v>
      </c>
      <c r="H1578" t="s">
        <v>9</v>
      </c>
      <c r="I1578" t="s">
        <v>1211</v>
      </c>
      <c r="J1578" t="s">
        <v>64</v>
      </c>
      <c r="K1578" t="s">
        <v>1142</v>
      </c>
      <c r="M1578" t="s">
        <v>6</v>
      </c>
    </row>
    <row r="1579" spans="2:13" hidden="1">
      <c r="B1579">
        <v>1577</v>
      </c>
      <c r="C1579">
        <v>149</v>
      </c>
      <c r="D1579">
        <v>8</v>
      </c>
      <c r="E1579">
        <v>7</v>
      </c>
      <c r="F1579">
        <v>0</v>
      </c>
      <c r="G1579" t="s">
        <v>1067</v>
      </c>
      <c r="H1579" t="s">
        <v>9</v>
      </c>
      <c r="I1579" t="s">
        <v>1211</v>
      </c>
      <c r="J1579" t="s">
        <v>55</v>
      </c>
      <c r="K1579" t="s">
        <v>93</v>
      </c>
      <c r="M1579" t="s">
        <v>6</v>
      </c>
    </row>
    <row r="1580" spans="2:13" hidden="1">
      <c r="B1580">
        <v>1578</v>
      </c>
      <c r="C1580">
        <v>149</v>
      </c>
      <c r="D1580">
        <v>8</v>
      </c>
      <c r="E1580">
        <v>8</v>
      </c>
      <c r="F1580">
        <v>0</v>
      </c>
      <c r="G1580" t="s">
        <v>1067</v>
      </c>
      <c r="H1580" t="s">
        <v>9</v>
      </c>
      <c r="I1580" t="s">
        <v>1211</v>
      </c>
      <c r="J1580" t="s">
        <v>64</v>
      </c>
      <c r="K1580" t="s">
        <v>94</v>
      </c>
      <c r="M1580" t="s">
        <v>6</v>
      </c>
    </row>
    <row r="1581" spans="2:13" hidden="1">
      <c r="B1581">
        <v>1579</v>
      </c>
      <c r="C1581">
        <v>150</v>
      </c>
      <c r="D1581">
        <v>9</v>
      </c>
      <c r="E1581">
        <v>0</v>
      </c>
      <c r="F1581">
        <v>0</v>
      </c>
      <c r="G1581" t="s">
        <v>1067</v>
      </c>
      <c r="H1581" t="s">
        <v>9</v>
      </c>
      <c r="I1581" t="s">
        <v>1216</v>
      </c>
      <c r="J1581" t="s">
        <v>54</v>
      </c>
      <c r="K1581" t="s">
        <v>1216</v>
      </c>
      <c r="M1581" t="s">
        <v>6</v>
      </c>
    </row>
    <row r="1582" spans="2:13" hidden="1">
      <c r="B1582">
        <v>1580</v>
      </c>
      <c r="C1582">
        <v>150</v>
      </c>
      <c r="D1582">
        <v>9</v>
      </c>
      <c r="E1582">
        <v>1</v>
      </c>
      <c r="F1582">
        <v>0</v>
      </c>
      <c r="G1582" t="s">
        <v>1067</v>
      </c>
      <c r="H1582" t="s">
        <v>9</v>
      </c>
      <c r="I1582" t="s">
        <v>1216</v>
      </c>
      <c r="J1582" t="s">
        <v>55</v>
      </c>
      <c r="K1582" t="s">
        <v>1217</v>
      </c>
      <c r="M1582" t="s">
        <v>6</v>
      </c>
    </row>
    <row r="1583" spans="2:13" hidden="1">
      <c r="B1583">
        <v>1581</v>
      </c>
      <c r="C1583">
        <v>150</v>
      </c>
      <c r="D1583">
        <v>9</v>
      </c>
      <c r="E1583">
        <v>2</v>
      </c>
      <c r="F1583">
        <v>0</v>
      </c>
      <c r="G1583" t="s">
        <v>1067</v>
      </c>
      <c r="H1583" t="s">
        <v>9</v>
      </c>
      <c r="I1583" t="s">
        <v>1216</v>
      </c>
      <c r="J1583" t="s">
        <v>55</v>
      </c>
      <c r="K1583" t="s">
        <v>1218</v>
      </c>
      <c r="M1583" t="s">
        <v>6</v>
      </c>
    </row>
    <row r="1584" spans="2:13" hidden="1">
      <c r="B1584">
        <v>1582</v>
      </c>
      <c r="C1584">
        <v>150</v>
      </c>
      <c r="D1584">
        <v>9</v>
      </c>
      <c r="E1584">
        <v>3</v>
      </c>
      <c r="F1584">
        <v>0</v>
      </c>
      <c r="G1584" t="s">
        <v>1067</v>
      </c>
      <c r="H1584" t="s">
        <v>9</v>
      </c>
      <c r="I1584" t="s">
        <v>1216</v>
      </c>
      <c r="J1584" t="s">
        <v>55</v>
      </c>
      <c r="K1584" t="s">
        <v>1219</v>
      </c>
      <c r="M1584" t="s">
        <v>6</v>
      </c>
    </row>
    <row r="1585" spans="2:13" hidden="1">
      <c r="B1585">
        <v>1583</v>
      </c>
      <c r="C1585">
        <v>150</v>
      </c>
      <c r="D1585">
        <v>9</v>
      </c>
      <c r="E1585">
        <v>4</v>
      </c>
      <c r="F1585">
        <v>0</v>
      </c>
      <c r="G1585" t="s">
        <v>1067</v>
      </c>
      <c r="H1585" t="s">
        <v>9</v>
      </c>
      <c r="I1585" t="s">
        <v>1216</v>
      </c>
      <c r="J1585" t="s">
        <v>55</v>
      </c>
      <c r="K1585" t="s">
        <v>1220</v>
      </c>
      <c r="M1585" t="s">
        <v>6</v>
      </c>
    </row>
    <row r="1586" spans="2:13" hidden="1">
      <c r="B1586">
        <v>1584</v>
      </c>
      <c r="C1586">
        <v>150</v>
      </c>
      <c r="D1586">
        <v>9</v>
      </c>
      <c r="E1586">
        <v>5</v>
      </c>
      <c r="F1586">
        <v>0</v>
      </c>
      <c r="G1586" t="s">
        <v>1067</v>
      </c>
      <c r="H1586" t="s">
        <v>9</v>
      </c>
      <c r="I1586" t="s">
        <v>1216</v>
      </c>
      <c r="J1586" t="s">
        <v>55</v>
      </c>
      <c r="K1586" t="s">
        <v>1221</v>
      </c>
      <c r="M1586" t="s">
        <v>6</v>
      </c>
    </row>
    <row r="1587" spans="2:13" hidden="1">
      <c r="B1587">
        <v>1585</v>
      </c>
      <c r="C1587">
        <v>150</v>
      </c>
      <c r="D1587">
        <v>9</v>
      </c>
      <c r="E1587">
        <v>6</v>
      </c>
      <c r="F1587">
        <v>0</v>
      </c>
      <c r="G1587" t="s">
        <v>1067</v>
      </c>
      <c r="H1587" t="s">
        <v>9</v>
      </c>
      <c r="I1587" t="s">
        <v>1216</v>
      </c>
      <c r="J1587" t="s">
        <v>55</v>
      </c>
      <c r="K1587" t="s">
        <v>1222</v>
      </c>
      <c r="M1587" t="s">
        <v>6</v>
      </c>
    </row>
    <row r="1588" spans="2:13" hidden="1">
      <c r="B1588">
        <v>1586</v>
      </c>
      <c r="C1588">
        <v>150</v>
      </c>
      <c r="D1588">
        <v>9</v>
      </c>
      <c r="E1588">
        <v>7</v>
      </c>
      <c r="F1588">
        <v>0</v>
      </c>
      <c r="G1588" t="s">
        <v>1067</v>
      </c>
      <c r="H1588" t="s">
        <v>9</v>
      </c>
      <c r="I1588" t="s">
        <v>1216</v>
      </c>
      <c r="J1588" t="s">
        <v>55</v>
      </c>
      <c r="K1588" t="s">
        <v>1223</v>
      </c>
      <c r="M1588" t="s">
        <v>6</v>
      </c>
    </row>
    <row r="1589" spans="2:13" hidden="1">
      <c r="B1589">
        <v>1587</v>
      </c>
      <c r="C1589">
        <v>150</v>
      </c>
      <c r="D1589">
        <v>9</v>
      </c>
      <c r="E1589">
        <v>8</v>
      </c>
      <c r="F1589">
        <v>0</v>
      </c>
      <c r="G1589" t="s">
        <v>1067</v>
      </c>
      <c r="H1589" t="s">
        <v>9</v>
      </c>
      <c r="I1589" t="s">
        <v>1216</v>
      </c>
      <c r="J1589" t="s">
        <v>55</v>
      </c>
      <c r="K1589" t="s">
        <v>93</v>
      </c>
      <c r="M1589" t="s">
        <v>6</v>
      </c>
    </row>
    <row r="1590" spans="2:13" hidden="1">
      <c r="B1590">
        <v>1588</v>
      </c>
      <c r="C1590">
        <v>150</v>
      </c>
      <c r="D1590">
        <v>9</v>
      </c>
      <c r="E1590">
        <v>9</v>
      </c>
      <c r="F1590">
        <v>0</v>
      </c>
      <c r="G1590" t="s">
        <v>1067</v>
      </c>
      <c r="H1590" t="s">
        <v>9</v>
      </c>
      <c r="I1590" t="s">
        <v>1216</v>
      </c>
      <c r="J1590" t="s">
        <v>64</v>
      </c>
      <c r="K1590" t="s">
        <v>94</v>
      </c>
      <c r="M1590" t="s">
        <v>6</v>
      </c>
    </row>
    <row r="1591" spans="2:13" hidden="1">
      <c r="B1591">
        <v>1589</v>
      </c>
      <c r="C1591">
        <v>151</v>
      </c>
      <c r="D1591">
        <v>9</v>
      </c>
      <c r="E1591">
        <v>0</v>
      </c>
      <c r="F1591">
        <v>0</v>
      </c>
      <c r="G1591" t="s">
        <v>1067</v>
      </c>
      <c r="H1591" t="s">
        <v>9</v>
      </c>
      <c r="I1591" t="s">
        <v>1224</v>
      </c>
      <c r="J1591" t="s">
        <v>54</v>
      </c>
      <c r="K1591" t="s">
        <v>1224</v>
      </c>
      <c r="M1591" t="s">
        <v>6</v>
      </c>
    </row>
    <row r="1592" spans="2:13" hidden="1">
      <c r="B1592">
        <v>1590</v>
      </c>
      <c r="C1592">
        <v>151</v>
      </c>
      <c r="D1592">
        <v>9</v>
      </c>
      <c r="E1592">
        <v>1</v>
      </c>
      <c r="F1592">
        <v>0</v>
      </c>
      <c r="G1592" t="s">
        <v>1067</v>
      </c>
      <c r="H1592" t="s">
        <v>9</v>
      </c>
      <c r="I1592" t="s">
        <v>1224</v>
      </c>
      <c r="J1592" t="s">
        <v>55</v>
      </c>
      <c r="K1592" t="s">
        <v>1225</v>
      </c>
      <c r="M1592" t="s">
        <v>6</v>
      </c>
    </row>
    <row r="1593" spans="2:13" hidden="1">
      <c r="B1593">
        <v>1591</v>
      </c>
      <c r="C1593">
        <v>151</v>
      </c>
      <c r="D1593">
        <v>9</v>
      </c>
      <c r="E1593">
        <v>2</v>
      </c>
      <c r="F1593">
        <v>0</v>
      </c>
      <c r="G1593" t="s">
        <v>1067</v>
      </c>
      <c r="H1593" t="s">
        <v>9</v>
      </c>
      <c r="I1593" t="s">
        <v>1224</v>
      </c>
      <c r="J1593" t="s">
        <v>55</v>
      </c>
      <c r="K1593" t="s">
        <v>1226</v>
      </c>
      <c r="M1593" t="s">
        <v>6</v>
      </c>
    </row>
    <row r="1594" spans="2:13" hidden="1">
      <c r="B1594">
        <v>1592</v>
      </c>
      <c r="C1594">
        <v>151</v>
      </c>
      <c r="D1594">
        <v>9</v>
      </c>
      <c r="E1594">
        <v>3</v>
      </c>
      <c r="F1594">
        <v>0</v>
      </c>
      <c r="G1594" t="s">
        <v>1067</v>
      </c>
      <c r="H1594" t="s">
        <v>9</v>
      </c>
      <c r="I1594" t="s">
        <v>1224</v>
      </c>
      <c r="J1594" t="s">
        <v>55</v>
      </c>
      <c r="K1594" t="s">
        <v>1227</v>
      </c>
      <c r="M1594" t="s">
        <v>6</v>
      </c>
    </row>
    <row r="1595" spans="2:13" hidden="1">
      <c r="B1595">
        <v>1593</v>
      </c>
      <c r="C1595">
        <v>151</v>
      </c>
      <c r="D1595">
        <v>9</v>
      </c>
      <c r="E1595">
        <v>4</v>
      </c>
      <c r="F1595">
        <v>0</v>
      </c>
      <c r="G1595" t="s">
        <v>1067</v>
      </c>
      <c r="H1595" t="s">
        <v>9</v>
      </c>
      <c r="I1595" t="s">
        <v>1224</v>
      </c>
      <c r="J1595" t="s">
        <v>55</v>
      </c>
      <c r="K1595" t="s">
        <v>1228</v>
      </c>
      <c r="M1595" t="s">
        <v>6</v>
      </c>
    </row>
    <row r="1596" spans="2:13" hidden="1">
      <c r="B1596">
        <v>1594</v>
      </c>
      <c r="C1596">
        <v>151</v>
      </c>
      <c r="D1596">
        <v>9</v>
      </c>
      <c r="E1596">
        <v>5</v>
      </c>
      <c r="F1596">
        <v>0</v>
      </c>
      <c r="G1596" t="s">
        <v>1067</v>
      </c>
      <c r="H1596" t="s">
        <v>9</v>
      </c>
      <c r="I1596" t="s">
        <v>1224</v>
      </c>
      <c r="J1596" t="s">
        <v>55</v>
      </c>
      <c r="K1596" t="s">
        <v>1229</v>
      </c>
      <c r="M1596" t="s">
        <v>6</v>
      </c>
    </row>
    <row r="1597" spans="2:13" hidden="1">
      <c r="B1597">
        <v>1595</v>
      </c>
      <c r="C1597">
        <v>151</v>
      </c>
      <c r="D1597">
        <v>9</v>
      </c>
      <c r="E1597">
        <v>6</v>
      </c>
      <c r="F1597">
        <v>0</v>
      </c>
      <c r="G1597" t="s">
        <v>1067</v>
      </c>
      <c r="H1597" t="s">
        <v>9</v>
      </c>
      <c r="I1597" t="s">
        <v>1224</v>
      </c>
      <c r="J1597" t="s">
        <v>55</v>
      </c>
      <c r="K1597" t="s">
        <v>1230</v>
      </c>
      <c r="M1597" t="s">
        <v>6</v>
      </c>
    </row>
    <row r="1598" spans="2:13" hidden="1">
      <c r="B1598">
        <v>1596</v>
      </c>
      <c r="C1598">
        <v>151</v>
      </c>
      <c r="D1598">
        <v>9</v>
      </c>
      <c r="E1598">
        <v>7</v>
      </c>
      <c r="F1598">
        <v>0</v>
      </c>
      <c r="G1598" t="s">
        <v>1067</v>
      </c>
      <c r="H1598" t="s">
        <v>9</v>
      </c>
      <c r="I1598" t="s">
        <v>1224</v>
      </c>
      <c r="J1598" t="s">
        <v>55</v>
      </c>
      <c r="K1598" t="s">
        <v>1231</v>
      </c>
      <c r="M1598" t="s">
        <v>6</v>
      </c>
    </row>
    <row r="1599" spans="2:13" hidden="1">
      <c r="B1599">
        <v>1597</v>
      </c>
      <c r="C1599">
        <v>151</v>
      </c>
      <c r="D1599">
        <v>9</v>
      </c>
      <c r="E1599">
        <v>8</v>
      </c>
      <c r="F1599">
        <v>0</v>
      </c>
      <c r="G1599" t="s">
        <v>1067</v>
      </c>
      <c r="H1599" t="s">
        <v>9</v>
      </c>
      <c r="I1599" t="s">
        <v>1224</v>
      </c>
      <c r="J1599" t="s">
        <v>55</v>
      </c>
      <c r="K1599" t="s">
        <v>93</v>
      </c>
      <c r="M1599" t="s">
        <v>6</v>
      </c>
    </row>
    <row r="1600" spans="2:13" hidden="1">
      <c r="B1600">
        <v>1598</v>
      </c>
      <c r="C1600">
        <v>151</v>
      </c>
      <c r="D1600">
        <v>9</v>
      </c>
      <c r="E1600">
        <v>9</v>
      </c>
      <c r="F1600">
        <v>0</v>
      </c>
      <c r="G1600" t="s">
        <v>1067</v>
      </c>
      <c r="H1600" t="s">
        <v>9</v>
      </c>
      <c r="I1600" t="s">
        <v>1224</v>
      </c>
      <c r="J1600" t="s">
        <v>64</v>
      </c>
      <c r="K1600" t="s">
        <v>94</v>
      </c>
      <c r="M1600" t="s">
        <v>6</v>
      </c>
    </row>
    <row r="1601" spans="2:13" hidden="1">
      <c r="B1601">
        <v>1599</v>
      </c>
      <c r="C1601">
        <v>152</v>
      </c>
      <c r="D1601">
        <v>5</v>
      </c>
      <c r="E1601">
        <v>0</v>
      </c>
      <c r="F1601">
        <v>0</v>
      </c>
      <c r="G1601" t="s">
        <v>1067</v>
      </c>
      <c r="H1601" t="s">
        <v>9</v>
      </c>
      <c r="I1601" t="s">
        <v>1232</v>
      </c>
      <c r="J1601" t="s">
        <v>54</v>
      </c>
      <c r="K1601" t="s">
        <v>1232</v>
      </c>
      <c r="M1601" t="s">
        <v>6</v>
      </c>
    </row>
    <row r="1602" spans="2:13" hidden="1">
      <c r="B1602">
        <v>1600</v>
      </c>
      <c r="C1602">
        <v>152</v>
      </c>
      <c r="D1602">
        <v>5</v>
      </c>
      <c r="E1602">
        <v>1</v>
      </c>
      <c r="F1602">
        <v>0</v>
      </c>
      <c r="G1602" t="s">
        <v>1067</v>
      </c>
      <c r="H1602" t="s">
        <v>9</v>
      </c>
      <c r="I1602" t="s">
        <v>1232</v>
      </c>
      <c r="J1602" t="s">
        <v>55</v>
      </c>
      <c r="K1602" t="s">
        <v>1233</v>
      </c>
      <c r="M1602" t="s">
        <v>6</v>
      </c>
    </row>
    <row r="1603" spans="2:13" hidden="1">
      <c r="B1603">
        <v>1601</v>
      </c>
      <c r="C1603">
        <v>152</v>
      </c>
      <c r="D1603">
        <v>5</v>
      </c>
      <c r="E1603">
        <v>2</v>
      </c>
      <c r="F1603">
        <v>0</v>
      </c>
      <c r="G1603" t="s">
        <v>1067</v>
      </c>
      <c r="H1603" t="s">
        <v>9</v>
      </c>
      <c r="I1603" t="s">
        <v>1232</v>
      </c>
      <c r="J1603" t="s">
        <v>55</v>
      </c>
      <c r="K1603" t="s">
        <v>1234</v>
      </c>
      <c r="M1603" t="s">
        <v>6</v>
      </c>
    </row>
    <row r="1604" spans="2:13" hidden="1">
      <c r="B1604">
        <v>1602</v>
      </c>
      <c r="C1604">
        <v>152</v>
      </c>
      <c r="D1604">
        <v>5</v>
      </c>
      <c r="E1604">
        <v>3</v>
      </c>
      <c r="F1604">
        <v>0</v>
      </c>
      <c r="G1604" t="s">
        <v>1067</v>
      </c>
      <c r="H1604" t="s">
        <v>9</v>
      </c>
      <c r="I1604" t="s">
        <v>1232</v>
      </c>
      <c r="J1604" t="s">
        <v>55</v>
      </c>
      <c r="K1604" t="s">
        <v>1235</v>
      </c>
      <c r="M1604" t="s">
        <v>6</v>
      </c>
    </row>
    <row r="1605" spans="2:13" hidden="1">
      <c r="B1605">
        <v>1603</v>
      </c>
      <c r="C1605">
        <v>152</v>
      </c>
      <c r="D1605">
        <v>5</v>
      </c>
      <c r="E1605">
        <v>4</v>
      </c>
      <c r="F1605">
        <v>0</v>
      </c>
      <c r="G1605" t="s">
        <v>1067</v>
      </c>
      <c r="H1605" t="s">
        <v>9</v>
      </c>
      <c r="I1605" t="s">
        <v>1232</v>
      </c>
      <c r="J1605" t="s">
        <v>55</v>
      </c>
      <c r="K1605" t="s">
        <v>93</v>
      </c>
      <c r="M1605" t="s">
        <v>6</v>
      </c>
    </row>
    <row r="1606" spans="2:13" hidden="1">
      <c r="B1606">
        <v>1604</v>
      </c>
      <c r="C1606">
        <v>152</v>
      </c>
      <c r="D1606">
        <v>5</v>
      </c>
      <c r="E1606">
        <v>5</v>
      </c>
      <c r="F1606">
        <v>0</v>
      </c>
      <c r="G1606" t="s">
        <v>1067</v>
      </c>
      <c r="H1606" t="s">
        <v>9</v>
      </c>
      <c r="I1606" t="s">
        <v>1232</v>
      </c>
      <c r="J1606" t="s">
        <v>64</v>
      </c>
      <c r="K1606" t="s">
        <v>94</v>
      </c>
      <c r="M1606" t="s">
        <v>6</v>
      </c>
    </row>
    <row r="1607" spans="2:13" hidden="1">
      <c r="B1607">
        <v>1605</v>
      </c>
      <c r="C1607">
        <v>153</v>
      </c>
      <c r="D1607">
        <v>8</v>
      </c>
      <c r="E1607">
        <v>0</v>
      </c>
      <c r="F1607">
        <v>0</v>
      </c>
      <c r="G1607" t="s">
        <v>1067</v>
      </c>
      <c r="H1607" t="s">
        <v>9</v>
      </c>
      <c r="I1607" t="s">
        <v>1236</v>
      </c>
      <c r="J1607" t="s">
        <v>54</v>
      </c>
      <c r="K1607" t="s">
        <v>1236</v>
      </c>
      <c r="M1607" t="s">
        <v>6</v>
      </c>
    </row>
    <row r="1608" spans="2:13" hidden="1">
      <c r="B1608">
        <v>1606</v>
      </c>
      <c r="C1608">
        <v>153</v>
      </c>
      <c r="D1608">
        <v>8</v>
      </c>
      <c r="E1608">
        <v>1</v>
      </c>
      <c r="F1608">
        <v>0</v>
      </c>
      <c r="G1608" t="s">
        <v>1067</v>
      </c>
      <c r="H1608" t="s">
        <v>9</v>
      </c>
      <c r="I1608" t="s">
        <v>1236</v>
      </c>
      <c r="J1608" t="s">
        <v>55</v>
      </c>
      <c r="K1608" t="s">
        <v>1237</v>
      </c>
      <c r="M1608" t="s">
        <v>6</v>
      </c>
    </row>
    <row r="1609" spans="2:13" hidden="1">
      <c r="B1609">
        <v>1607</v>
      </c>
      <c r="C1609">
        <v>153</v>
      </c>
      <c r="D1609">
        <v>8</v>
      </c>
      <c r="E1609">
        <v>2</v>
      </c>
      <c r="F1609">
        <v>0</v>
      </c>
      <c r="G1609" t="s">
        <v>1067</v>
      </c>
      <c r="H1609" t="s">
        <v>9</v>
      </c>
      <c r="I1609" t="s">
        <v>1236</v>
      </c>
      <c r="J1609" t="s">
        <v>55</v>
      </c>
      <c r="K1609" t="s">
        <v>1238</v>
      </c>
      <c r="M1609" t="s">
        <v>6</v>
      </c>
    </row>
    <row r="1610" spans="2:13" hidden="1">
      <c r="B1610">
        <v>1608</v>
      </c>
      <c r="C1610">
        <v>153</v>
      </c>
      <c r="D1610">
        <v>8</v>
      </c>
      <c r="E1610">
        <v>3</v>
      </c>
      <c r="F1610">
        <v>0</v>
      </c>
      <c r="G1610" t="s">
        <v>1067</v>
      </c>
      <c r="H1610" t="s">
        <v>9</v>
      </c>
      <c r="I1610" t="s">
        <v>1236</v>
      </c>
      <c r="J1610" t="s">
        <v>55</v>
      </c>
      <c r="K1610" t="s">
        <v>1239</v>
      </c>
      <c r="M1610" t="s">
        <v>6</v>
      </c>
    </row>
    <row r="1611" spans="2:13" hidden="1">
      <c r="B1611">
        <v>1609</v>
      </c>
      <c r="C1611">
        <v>153</v>
      </c>
      <c r="D1611">
        <v>8</v>
      </c>
      <c r="E1611">
        <v>4</v>
      </c>
      <c r="F1611">
        <v>0</v>
      </c>
      <c r="G1611" t="s">
        <v>1067</v>
      </c>
      <c r="H1611" t="s">
        <v>9</v>
      </c>
      <c r="I1611" t="s">
        <v>1236</v>
      </c>
      <c r="J1611" t="s">
        <v>55</v>
      </c>
      <c r="K1611" t="s">
        <v>1240</v>
      </c>
      <c r="M1611" t="s">
        <v>6</v>
      </c>
    </row>
    <row r="1612" spans="2:13" hidden="1">
      <c r="B1612">
        <v>1610</v>
      </c>
      <c r="C1612">
        <v>153</v>
      </c>
      <c r="D1612">
        <v>8</v>
      </c>
      <c r="E1612">
        <v>5</v>
      </c>
      <c r="F1612">
        <v>0</v>
      </c>
      <c r="G1612" t="s">
        <v>1067</v>
      </c>
      <c r="H1612" t="s">
        <v>9</v>
      </c>
      <c r="I1612" t="s">
        <v>1236</v>
      </c>
      <c r="J1612" t="s">
        <v>55</v>
      </c>
      <c r="K1612" t="s">
        <v>1125</v>
      </c>
      <c r="M1612" t="s">
        <v>6</v>
      </c>
    </row>
    <row r="1613" spans="2:13" hidden="1">
      <c r="B1613">
        <v>1611</v>
      </c>
      <c r="C1613">
        <v>153</v>
      </c>
      <c r="D1613">
        <v>8</v>
      </c>
      <c r="E1613">
        <v>6</v>
      </c>
      <c r="F1613">
        <v>0</v>
      </c>
      <c r="G1613" t="s">
        <v>1067</v>
      </c>
      <c r="H1613" t="s">
        <v>9</v>
      </c>
      <c r="I1613" t="s">
        <v>1236</v>
      </c>
      <c r="J1613" t="s">
        <v>55</v>
      </c>
      <c r="K1613" t="s">
        <v>1241</v>
      </c>
      <c r="M1613" t="s">
        <v>6</v>
      </c>
    </row>
    <row r="1614" spans="2:13" hidden="1">
      <c r="B1614">
        <v>1612</v>
      </c>
      <c r="C1614">
        <v>153</v>
      </c>
      <c r="D1614">
        <v>8</v>
      </c>
      <c r="E1614">
        <v>7</v>
      </c>
      <c r="F1614">
        <v>0</v>
      </c>
      <c r="G1614" t="s">
        <v>1067</v>
      </c>
      <c r="H1614" t="s">
        <v>9</v>
      </c>
      <c r="I1614" t="s">
        <v>1236</v>
      </c>
      <c r="J1614" t="s">
        <v>55</v>
      </c>
      <c r="K1614" t="s">
        <v>93</v>
      </c>
      <c r="M1614" t="s">
        <v>6</v>
      </c>
    </row>
    <row r="1615" spans="2:13" hidden="1">
      <c r="B1615">
        <v>1613</v>
      </c>
      <c r="C1615">
        <v>153</v>
      </c>
      <c r="D1615">
        <v>8</v>
      </c>
      <c r="E1615">
        <v>8</v>
      </c>
      <c r="F1615">
        <v>0</v>
      </c>
      <c r="G1615" t="s">
        <v>1067</v>
      </c>
      <c r="H1615" t="s">
        <v>9</v>
      </c>
      <c r="I1615" t="s">
        <v>1236</v>
      </c>
      <c r="J1615" t="s">
        <v>64</v>
      </c>
      <c r="K1615" t="s">
        <v>94</v>
      </c>
      <c r="M1615" t="s">
        <v>6</v>
      </c>
    </row>
    <row r="1616" spans="2:13" hidden="1">
      <c r="B1616">
        <v>1614</v>
      </c>
      <c r="C1616">
        <v>154</v>
      </c>
      <c r="D1616">
        <v>4</v>
      </c>
      <c r="E1616">
        <v>0</v>
      </c>
      <c r="F1616">
        <v>0</v>
      </c>
      <c r="G1616" t="s">
        <v>1242</v>
      </c>
      <c r="H1616" t="s">
        <v>52</v>
      </c>
      <c r="I1616" t="s">
        <v>1243</v>
      </c>
      <c r="J1616" t="s">
        <v>54</v>
      </c>
      <c r="K1616" t="s">
        <v>1243</v>
      </c>
      <c r="M1616" t="s">
        <v>6</v>
      </c>
    </row>
    <row r="1617" spans="2:13" hidden="1">
      <c r="B1617">
        <v>1615</v>
      </c>
      <c r="C1617">
        <v>154</v>
      </c>
      <c r="D1617">
        <v>4</v>
      </c>
      <c r="E1617">
        <v>1</v>
      </c>
      <c r="F1617">
        <v>0</v>
      </c>
      <c r="G1617" t="s">
        <v>1242</v>
      </c>
      <c r="H1617" t="s">
        <v>52</v>
      </c>
      <c r="I1617" t="s">
        <v>1243</v>
      </c>
      <c r="J1617" t="s">
        <v>55</v>
      </c>
      <c r="K1617" t="s">
        <v>62</v>
      </c>
      <c r="M1617" t="s">
        <v>6</v>
      </c>
    </row>
    <row r="1618" spans="2:13" hidden="1">
      <c r="B1618">
        <v>1616</v>
      </c>
      <c r="C1618">
        <v>154</v>
      </c>
      <c r="D1618">
        <v>4</v>
      </c>
      <c r="E1618">
        <v>2</v>
      </c>
      <c r="F1618">
        <v>0</v>
      </c>
      <c r="G1618" t="s">
        <v>1242</v>
      </c>
      <c r="H1618" t="s">
        <v>52</v>
      </c>
      <c r="I1618" t="s">
        <v>1243</v>
      </c>
      <c r="J1618" t="s">
        <v>55</v>
      </c>
      <c r="K1618" t="s">
        <v>63</v>
      </c>
      <c r="M1618" t="s">
        <v>6</v>
      </c>
    </row>
    <row r="1619" spans="2:13" hidden="1">
      <c r="B1619">
        <v>1617</v>
      </c>
      <c r="C1619">
        <v>154</v>
      </c>
      <c r="D1619">
        <v>4</v>
      </c>
      <c r="E1619">
        <v>3</v>
      </c>
      <c r="F1619">
        <v>0</v>
      </c>
      <c r="G1619" t="s">
        <v>1242</v>
      </c>
      <c r="H1619" t="s">
        <v>52</v>
      </c>
      <c r="I1619" t="s">
        <v>1243</v>
      </c>
      <c r="J1619" t="s">
        <v>64</v>
      </c>
      <c r="K1619" t="s">
        <v>65</v>
      </c>
      <c r="M1619" t="s">
        <v>6</v>
      </c>
    </row>
    <row r="1620" spans="2:13" hidden="1">
      <c r="B1620">
        <v>1618</v>
      </c>
      <c r="C1620">
        <v>154</v>
      </c>
      <c r="D1620">
        <v>4</v>
      </c>
      <c r="E1620">
        <v>4</v>
      </c>
      <c r="F1620">
        <v>0</v>
      </c>
      <c r="G1620" t="s">
        <v>1242</v>
      </c>
      <c r="H1620" t="s">
        <v>52</v>
      </c>
      <c r="I1620" t="s">
        <v>1243</v>
      </c>
      <c r="J1620" t="s">
        <v>55</v>
      </c>
      <c r="K1620" t="s">
        <v>660</v>
      </c>
      <c r="M1620" t="s">
        <v>6</v>
      </c>
    </row>
    <row r="1621" spans="2:13" hidden="1">
      <c r="B1621">
        <v>1619</v>
      </c>
      <c r="C1621">
        <v>155</v>
      </c>
      <c r="D1621">
        <v>14</v>
      </c>
      <c r="E1621">
        <v>0</v>
      </c>
      <c r="F1621">
        <v>0</v>
      </c>
      <c r="G1621" t="s">
        <v>1242</v>
      </c>
      <c r="H1621" t="s">
        <v>52</v>
      </c>
      <c r="I1621" t="s">
        <v>1244</v>
      </c>
      <c r="J1621" t="s">
        <v>54</v>
      </c>
      <c r="K1621" t="s">
        <v>1244</v>
      </c>
      <c r="M1621" t="s">
        <v>6</v>
      </c>
    </row>
    <row r="1622" spans="2:13" hidden="1">
      <c r="B1622">
        <v>1620</v>
      </c>
      <c r="C1622">
        <v>155</v>
      </c>
      <c r="D1622">
        <v>14</v>
      </c>
      <c r="E1622">
        <v>1</v>
      </c>
      <c r="F1622">
        <v>0</v>
      </c>
      <c r="G1622" t="s">
        <v>1242</v>
      </c>
      <c r="H1622" t="s">
        <v>52</v>
      </c>
      <c r="I1622" t="s">
        <v>1244</v>
      </c>
      <c r="J1622" t="s">
        <v>55</v>
      </c>
      <c r="K1622" t="s">
        <v>1245</v>
      </c>
      <c r="M1622" t="s">
        <v>6</v>
      </c>
    </row>
    <row r="1623" spans="2:13" hidden="1">
      <c r="B1623">
        <v>1621</v>
      </c>
      <c r="C1623">
        <v>155</v>
      </c>
      <c r="D1623">
        <v>14</v>
      </c>
      <c r="E1623">
        <v>2</v>
      </c>
      <c r="F1623">
        <v>0</v>
      </c>
      <c r="G1623" t="s">
        <v>1242</v>
      </c>
      <c r="H1623" t="s">
        <v>52</v>
      </c>
      <c r="I1623" t="s">
        <v>1244</v>
      </c>
      <c r="J1623" t="s">
        <v>55</v>
      </c>
      <c r="K1623" t="s">
        <v>1246</v>
      </c>
      <c r="M1623" t="s">
        <v>6</v>
      </c>
    </row>
    <row r="1624" spans="2:13" hidden="1">
      <c r="B1624">
        <v>1622</v>
      </c>
      <c r="C1624">
        <v>155</v>
      </c>
      <c r="D1624">
        <v>14</v>
      </c>
      <c r="E1624">
        <v>3</v>
      </c>
      <c r="F1624">
        <v>0</v>
      </c>
      <c r="G1624" t="s">
        <v>1242</v>
      </c>
      <c r="H1624" t="s">
        <v>52</v>
      </c>
      <c r="I1624" t="s">
        <v>1244</v>
      </c>
      <c r="J1624" t="s">
        <v>55</v>
      </c>
      <c r="K1624" t="s">
        <v>1247</v>
      </c>
      <c r="M1624" t="s">
        <v>6</v>
      </c>
    </row>
    <row r="1625" spans="2:13" hidden="1">
      <c r="B1625">
        <v>1623</v>
      </c>
      <c r="C1625">
        <v>155</v>
      </c>
      <c r="D1625">
        <v>14</v>
      </c>
      <c r="E1625">
        <v>4</v>
      </c>
      <c r="F1625">
        <v>0</v>
      </c>
      <c r="G1625" t="s">
        <v>1242</v>
      </c>
      <c r="H1625" t="s">
        <v>52</v>
      </c>
      <c r="I1625" t="s">
        <v>1244</v>
      </c>
      <c r="J1625" t="s">
        <v>55</v>
      </c>
      <c r="K1625" t="s">
        <v>1248</v>
      </c>
      <c r="M1625" t="s">
        <v>6</v>
      </c>
    </row>
    <row r="1626" spans="2:13" hidden="1">
      <c r="B1626">
        <v>1624</v>
      </c>
      <c r="C1626">
        <v>155</v>
      </c>
      <c r="D1626">
        <v>14</v>
      </c>
      <c r="E1626">
        <v>5</v>
      </c>
      <c r="F1626">
        <v>0</v>
      </c>
      <c r="G1626" t="s">
        <v>1242</v>
      </c>
      <c r="H1626" t="s">
        <v>52</v>
      </c>
      <c r="I1626" t="s">
        <v>1244</v>
      </c>
      <c r="J1626" t="s">
        <v>55</v>
      </c>
      <c r="K1626" t="s">
        <v>1249</v>
      </c>
      <c r="M1626" t="s">
        <v>6</v>
      </c>
    </row>
    <row r="1627" spans="2:13" hidden="1">
      <c r="B1627">
        <v>1625</v>
      </c>
      <c r="C1627">
        <v>155</v>
      </c>
      <c r="D1627">
        <v>14</v>
      </c>
      <c r="E1627">
        <v>6</v>
      </c>
      <c r="F1627">
        <v>0</v>
      </c>
      <c r="G1627" t="s">
        <v>1242</v>
      </c>
      <c r="H1627" t="s">
        <v>52</v>
      </c>
      <c r="I1627" t="s">
        <v>1244</v>
      </c>
      <c r="J1627" t="s">
        <v>55</v>
      </c>
      <c r="K1627" t="s">
        <v>1250</v>
      </c>
      <c r="M1627" t="s">
        <v>6</v>
      </c>
    </row>
    <row r="1628" spans="2:13" hidden="1">
      <c r="B1628">
        <v>1626</v>
      </c>
      <c r="C1628">
        <v>155</v>
      </c>
      <c r="D1628">
        <v>14</v>
      </c>
      <c r="E1628">
        <v>7</v>
      </c>
      <c r="F1628">
        <v>0</v>
      </c>
      <c r="G1628" t="s">
        <v>1242</v>
      </c>
      <c r="H1628" t="s">
        <v>52</v>
      </c>
      <c r="I1628" t="s">
        <v>1244</v>
      </c>
      <c r="J1628" t="s">
        <v>55</v>
      </c>
      <c r="K1628" t="s">
        <v>1251</v>
      </c>
      <c r="M1628" t="s">
        <v>6</v>
      </c>
    </row>
    <row r="1629" spans="2:13" hidden="1">
      <c r="B1629">
        <v>1627</v>
      </c>
      <c r="C1629">
        <v>155</v>
      </c>
      <c r="D1629">
        <v>14</v>
      </c>
      <c r="E1629">
        <v>8</v>
      </c>
      <c r="F1629">
        <v>0</v>
      </c>
      <c r="G1629" t="s">
        <v>1242</v>
      </c>
      <c r="H1629" t="s">
        <v>52</v>
      </c>
      <c r="I1629" t="s">
        <v>1244</v>
      </c>
      <c r="J1629" t="s">
        <v>55</v>
      </c>
      <c r="K1629" t="s">
        <v>1252</v>
      </c>
      <c r="M1629" t="s">
        <v>6</v>
      </c>
    </row>
    <row r="1630" spans="2:13" hidden="1">
      <c r="B1630">
        <v>1628</v>
      </c>
      <c r="C1630">
        <v>155</v>
      </c>
      <c r="D1630">
        <v>14</v>
      </c>
      <c r="E1630">
        <v>9</v>
      </c>
      <c r="F1630">
        <v>0</v>
      </c>
      <c r="G1630" t="s">
        <v>1242</v>
      </c>
      <c r="H1630" t="s">
        <v>52</v>
      </c>
      <c r="I1630" t="s">
        <v>1244</v>
      </c>
      <c r="J1630" t="s">
        <v>55</v>
      </c>
      <c r="K1630" t="s">
        <v>1253</v>
      </c>
      <c r="M1630" t="s">
        <v>6</v>
      </c>
    </row>
    <row r="1631" spans="2:13" hidden="1">
      <c r="B1631">
        <v>1629</v>
      </c>
      <c r="C1631">
        <v>155</v>
      </c>
      <c r="D1631">
        <v>14</v>
      </c>
      <c r="E1631">
        <v>10</v>
      </c>
      <c r="F1631">
        <v>0</v>
      </c>
      <c r="G1631" t="s">
        <v>1242</v>
      </c>
      <c r="H1631" t="s">
        <v>52</v>
      </c>
      <c r="I1631" t="s">
        <v>1244</v>
      </c>
      <c r="J1631" t="s">
        <v>55</v>
      </c>
      <c r="K1631" t="s">
        <v>1254</v>
      </c>
      <c r="M1631" t="s">
        <v>6</v>
      </c>
    </row>
    <row r="1632" spans="2:13" hidden="1">
      <c r="B1632">
        <v>1630</v>
      </c>
      <c r="C1632">
        <v>155</v>
      </c>
      <c r="D1632">
        <v>14</v>
      </c>
      <c r="E1632">
        <v>11</v>
      </c>
      <c r="F1632">
        <v>0</v>
      </c>
      <c r="G1632" t="s">
        <v>1242</v>
      </c>
      <c r="H1632" t="s">
        <v>52</v>
      </c>
      <c r="I1632" t="s">
        <v>1244</v>
      </c>
      <c r="J1632" t="s">
        <v>55</v>
      </c>
      <c r="K1632" t="s">
        <v>1255</v>
      </c>
      <c r="M1632" t="s">
        <v>6</v>
      </c>
    </row>
    <row r="1633" spans="2:13" hidden="1">
      <c r="B1633">
        <v>1631</v>
      </c>
      <c r="C1633">
        <v>155</v>
      </c>
      <c r="D1633">
        <v>14</v>
      </c>
      <c r="E1633">
        <v>12</v>
      </c>
      <c r="F1633">
        <v>0</v>
      </c>
      <c r="G1633" t="s">
        <v>1242</v>
      </c>
      <c r="H1633" t="s">
        <v>52</v>
      </c>
      <c r="I1633" t="s">
        <v>1244</v>
      </c>
      <c r="J1633" t="s">
        <v>55</v>
      </c>
      <c r="K1633" t="s">
        <v>1256</v>
      </c>
      <c r="M1633" t="s">
        <v>6</v>
      </c>
    </row>
    <row r="1634" spans="2:13" hidden="1">
      <c r="B1634">
        <v>1632</v>
      </c>
      <c r="C1634">
        <v>155</v>
      </c>
      <c r="D1634">
        <v>14</v>
      </c>
      <c r="E1634">
        <v>13</v>
      </c>
      <c r="F1634">
        <v>0</v>
      </c>
      <c r="G1634" t="s">
        <v>1242</v>
      </c>
      <c r="H1634" t="s">
        <v>52</v>
      </c>
      <c r="I1634" t="s">
        <v>1244</v>
      </c>
      <c r="J1634" t="s">
        <v>55</v>
      </c>
      <c r="K1634" t="s">
        <v>1257</v>
      </c>
      <c r="M1634" t="s">
        <v>6</v>
      </c>
    </row>
    <row r="1635" spans="2:13" hidden="1">
      <c r="B1635">
        <v>1633</v>
      </c>
      <c r="C1635">
        <v>155</v>
      </c>
      <c r="D1635">
        <v>14</v>
      </c>
      <c r="E1635">
        <v>14</v>
      </c>
      <c r="F1635">
        <v>0</v>
      </c>
      <c r="G1635" t="s">
        <v>1242</v>
      </c>
      <c r="H1635" t="s">
        <v>52</v>
      </c>
      <c r="I1635" t="s">
        <v>1244</v>
      </c>
      <c r="J1635" t="s">
        <v>64</v>
      </c>
      <c r="K1635" t="s">
        <v>65</v>
      </c>
      <c r="M1635" t="s">
        <v>6</v>
      </c>
    </row>
    <row r="1636" spans="2:13" hidden="1">
      <c r="B1636">
        <v>1634</v>
      </c>
      <c r="C1636">
        <v>156</v>
      </c>
      <c r="D1636">
        <v>14</v>
      </c>
      <c r="E1636">
        <v>0</v>
      </c>
      <c r="F1636">
        <v>0</v>
      </c>
      <c r="G1636" t="s">
        <v>1242</v>
      </c>
      <c r="H1636" t="s">
        <v>9</v>
      </c>
      <c r="I1636" t="s">
        <v>1258</v>
      </c>
      <c r="J1636" t="s">
        <v>54</v>
      </c>
      <c r="K1636" t="s">
        <v>1258</v>
      </c>
      <c r="M1636" t="s">
        <v>6</v>
      </c>
    </row>
    <row r="1637" spans="2:13" hidden="1">
      <c r="B1637">
        <v>1635</v>
      </c>
      <c r="C1637">
        <v>156</v>
      </c>
      <c r="D1637">
        <v>14</v>
      </c>
      <c r="E1637">
        <v>1</v>
      </c>
      <c r="F1637">
        <v>0</v>
      </c>
      <c r="G1637" t="s">
        <v>1242</v>
      </c>
      <c r="H1637" t="s">
        <v>9</v>
      </c>
      <c r="I1637" t="s">
        <v>1258</v>
      </c>
      <c r="J1637" t="s">
        <v>55</v>
      </c>
      <c r="K1637" t="s">
        <v>1259</v>
      </c>
      <c r="M1637" t="s">
        <v>6</v>
      </c>
    </row>
    <row r="1638" spans="2:13" hidden="1">
      <c r="B1638">
        <v>1636</v>
      </c>
      <c r="C1638">
        <v>156</v>
      </c>
      <c r="D1638">
        <v>14</v>
      </c>
      <c r="E1638">
        <v>2</v>
      </c>
      <c r="F1638">
        <v>0</v>
      </c>
      <c r="G1638" t="s">
        <v>1242</v>
      </c>
      <c r="H1638" t="s">
        <v>9</v>
      </c>
      <c r="I1638" t="s">
        <v>1258</v>
      </c>
      <c r="J1638" t="s">
        <v>218</v>
      </c>
      <c r="K1638" t="s">
        <v>1260</v>
      </c>
      <c r="L1638" t="s">
        <v>1261</v>
      </c>
      <c r="M1638" t="s">
        <v>6</v>
      </c>
    </row>
    <row r="1639" spans="2:13" hidden="1">
      <c r="B1639">
        <v>1637</v>
      </c>
      <c r="C1639">
        <v>156</v>
      </c>
      <c r="D1639">
        <v>14</v>
      </c>
      <c r="E1639">
        <v>3</v>
      </c>
      <c r="F1639">
        <v>0</v>
      </c>
      <c r="G1639" t="s">
        <v>1242</v>
      </c>
      <c r="H1639" t="s">
        <v>9</v>
      </c>
      <c r="I1639" t="s">
        <v>1258</v>
      </c>
      <c r="J1639" t="s">
        <v>218</v>
      </c>
      <c r="K1639" t="s">
        <v>1262</v>
      </c>
      <c r="L1639" t="s">
        <v>1263</v>
      </c>
      <c r="M1639" t="s">
        <v>6</v>
      </c>
    </row>
    <row r="1640" spans="2:13" hidden="1">
      <c r="B1640">
        <v>1638</v>
      </c>
      <c r="C1640">
        <v>156</v>
      </c>
      <c r="D1640">
        <v>14</v>
      </c>
      <c r="E1640">
        <v>4</v>
      </c>
      <c r="F1640">
        <v>0</v>
      </c>
      <c r="G1640" t="s">
        <v>1242</v>
      </c>
      <c r="H1640" t="s">
        <v>9</v>
      </c>
      <c r="I1640" t="s">
        <v>1258</v>
      </c>
      <c r="J1640" t="s">
        <v>724</v>
      </c>
      <c r="K1640" t="s">
        <v>1264</v>
      </c>
      <c r="M1640" t="s">
        <v>6</v>
      </c>
    </row>
    <row r="1641" spans="2:13" hidden="1">
      <c r="B1641">
        <v>1639</v>
      </c>
      <c r="C1641">
        <v>156</v>
      </c>
      <c r="D1641">
        <v>14</v>
      </c>
      <c r="E1641">
        <v>5</v>
      </c>
      <c r="F1641">
        <v>0</v>
      </c>
      <c r="G1641" t="s">
        <v>1242</v>
      </c>
      <c r="H1641" t="s">
        <v>9</v>
      </c>
      <c r="I1641" t="s">
        <v>1258</v>
      </c>
      <c r="J1641" t="s">
        <v>99</v>
      </c>
      <c r="K1641" t="s">
        <v>1265</v>
      </c>
      <c r="L1641" t="s">
        <v>1266</v>
      </c>
      <c r="M1641" t="s">
        <v>6</v>
      </c>
    </row>
    <row r="1642" spans="2:13" hidden="1">
      <c r="B1642">
        <v>1640</v>
      </c>
      <c r="C1642">
        <v>156</v>
      </c>
      <c r="D1642">
        <v>14</v>
      </c>
      <c r="E1642">
        <v>6</v>
      </c>
      <c r="F1642">
        <v>0</v>
      </c>
      <c r="G1642" t="s">
        <v>1242</v>
      </c>
      <c r="H1642" t="s">
        <v>9</v>
      </c>
      <c r="I1642" t="s">
        <v>1258</v>
      </c>
      <c r="J1642" t="s">
        <v>724</v>
      </c>
      <c r="K1642" t="s">
        <v>1264</v>
      </c>
      <c r="M1642" t="s">
        <v>6</v>
      </c>
    </row>
    <row r="1643" spans="2:13" hidden="1">
      <c r="B1643">
        <v>1641</v>
      </c>
      <c r="C1643">
        <v>156</v>
      </c>
      <c r="D1643">
        <v>14</v>
      </c>
      <c r="E1643">
        <v>7</v>
      </c>
      <c r="F1643">
        <v>0</v>
      </c>
      <c r="G1643" t="s">
        <v>1242</v>
      </c>
      <c r="H1643" t="s">
        <v>9</v>
      </c>
      <c r="I1643" t="s">
        <v>1258</v>
      </c>
      <c r="J1643" t="s">
        <v>99</v>
      </c>
      <c r="K1643" t="s">
        <v>1267</v>
      </c>
      <c r="L1643" t="s">
        <v>1268</v>
      </c>
      <c r="M1643" t="s">
        <v>6</v>
      </c>
    </row>
    <row r="1644" spans="2:13" hidden="1">
      <c r="B1644">
        <v>1642</v>
      </c>
      <c r="C1644">
        <v>156</v>
      </c>
      <c r="D1644">
        <v>14</v>
      </c>
      <c r="E1644">
        <v>8</v>
      </c>
      <c r="F1644">
        <v>0</v>
      </c>
      <c r="G1644" t="s">
        <v>1242</v>
      </c>
      <c r="H1644" t="s">
        <v>9</v>
      </c>
      <c r="I1644" t="s">
        <v>1258</v>
      </c>
      <c r="J1644" t="s">
        <v>724</v>
      </c>
      <c r="K1644" t="s">
        <v>1264</v>
      </c>
      <c r="M1644" t="s">
        <v>6</v>
      </c>
    </row>
    <row r="1645" spans="2:13" hidden="1">
      <c r="B1645">
        <v>1643</v>
      </c>
      <c r="C1645">
        <v>156</v>
      </c>
      <c r="D1645">
        <v>14</v>
      </c>
      <c r="E1645">
        <v>9</v>
      </c>
      <c r="F1645">
        <v>0</v>
      </c>
      <c r="G1645" t="s">
        <v>1242</v>
      </c>
      <c r="H1645" t="s">
        <v>9</v>
      </c>
      <c r="I1645" t="s">
        <v>1258</v>
      </c>
      <c r="J1645" t="s">
        <v>218</v>
      </c>
      <c r="K1645" t="s">
        <v>1269</v>
      </c>
      <c r="L1645" t="s">
        <v>1270</v>
      </c>
      <c r="M1645" t="s">
        <v>6</v>
      </c>
    </row>
    <row r="1646" spans="2:13" hidden="1">
      <c r="B1646">
        <v>1644</v>
      </c>
      <c r="C1646">
        <v>156</v>
      </c>
      <c r="D1646">
        <v>14</v>
      </c>
      <c r="E1646">
        <v>10</v>
      </c>
      <c r="F1646">
        <v>0</v>
      </c>
      <c r="G1646" t="s">
        <v>1242</v>
      </c>
      <c r="H1646" t="s">
        <v>9</v>
      </c>
      <c r="I1646" t="s">
        <v>1258</v>
      </c>
      <c r="J1646" t="s">
        <v>724</v>
      </c>
      <c r="K1646" t="s">
        <v>1264</v>
      </c>
      <c r="M1646" t="s">
        <v>6</v>
      </c>
    </row>
    <row r="1647" spans="2:13" hidden="1">
      <c r="B1647">
        <v>1645</v>
      </c>
      <c r="C1647">
        <v>156</v>
      </c>
      <c r="D1647">
        <v>14</v>
      </c>
      <c r="E1647">
        <v>11</v>
      </c>
      <c r="F1647">
        <v>0</v>
      </c>
      <c r="G1647" t="s">
        <v>1242</v>
      </c>
      <c r="H1647" t="s">
        <v>9</v>
      </c>
      <c r="I1647" t="s">
        <v>1258</v>
      </c>
      <c r="J1647" t="s">
        <v>218</v>
      </c>
      <c r="K1647" t="s">
        <v>1271</v>
      </c>
      <c r="L1647" t="s">
        <v>1272</v>
      </c>
      <c r="M1647" t="s">
        <v>6</v>
      </c>
    </row>
    <row r="1648" spans="2:13" hidden="1">
      <c r="B1648">
        <v>1646</v>
      </c>
      <c r="C1648">
        <v>156</v>
      </c>
      <c r="D1648">
        <v>14</v>
      </c>
      <c r="E1648">
        <v>12</v>
      </c>
      <c r="F1648">
        <v>0</v>
      </c>
      <c r="G1648" t="s">
        <v>1242</v>
      </c>
      <c r="H1648" t="s">
        <v>9</v>
      </c>
      <c r="I1648" t="s">
        <v>1258</v>
      </c>
      <c r="J1648" t="s">
        <v>64</v>
      </c>
      <c r="K1648" t="s">
        <v>1273</v>
      </c>
      <c r="M1648" t="s">
        <v>6</v>
      </c>
    </row>
    <row r="1649" spans="2:13" hidden="1">
      <c r="B1649">
        <v>1647</v>
      </c>
      <c r="C1649">
        <v>156</v>
      </c>
      <c r="D1649">
        <v>14</v>
      </c>
      <c r="E1649">
        <v>13</v>
      </c>
      <c r="F1649">
        <v>0</v>
      </c>
      <c r="G1649" t="s">
        <v>1242</v>
      </c>
      <c r="H1649" t="s">
        <v>9</v>
      </c>
      <c r="I1649" t="s">
        <v>1258</v>
      </c>
      <c r="J1649" t="s">
        <v>55</v>
      </c>
      <c r="K1649" t="s">
        <v>93</v>
      </c>
      <c r="M1649" t="s">
        <v>6</v>
      </c>
    </row>
    <row r="1650" spans="2:13" hidden="1">
      <c r="B1650">
        <v>1648</v>
      </c>
      <c r="C1650">
        <v>156</v>
      </c>
      <c r="D1650">
        <v>14</v>
      </c>
      <c r="E1650">
        <v>14</v>
      </c>
      <c r="F1650">
        <v>0</v>
      </c>
      <c r="G1650" t="s">
        <v>1242</v>
      </c>
      <c r="H1650" t="s">
        <v>9</v>
      </c>
      <c r="I1650" t="s">
        <v>1258</v>
      </c>
      <c r="J1650" t="s">
        <v>64</v>
      </c>
      <c r="K1650" t="s">
        <v>94</v>
      </c>
      <c r="M1650" t="s">
        <v>6</v>
      </c>
    </row>
    <row r="1651" spans="2:13" hidden="1">
      <c r="B1651">
        <v>1649</v>
      </c>
      <c r="C1651">
        <v>157</v>
      </c>
      <c r="D1651">
        <v>8</v>
      </c>
      <c r="E1651">
        <v>0</v>
      </c>
      <c r="F1651">
        <v>0</v>
      </c>
      <c r="G1651" t="s">
        <v>1242</v>
      </c>
      <c r="H1651" t="s">
        <v>9</v>
      </c>
      <c r="I1651" t="s">
        <v>1274</v>
      </c>
      <c r="J1651" t="s">
        <v>54</v>
      </c>
      <c r="K1651" t="s">
        <v>1274</v>
      </c>
      <c r="M1651" t="s">
        <v>6</v>
      </c>
    </row>
    <row r="1652" spans="2:13" hidden="1">
      <c r="B1652">
        <v>1650</v>
      </c>
      <c r="C1652">
        <v>157</v>
      </c>
      <c r="D1652">
        <v>8</v>
      </c>
      <c r="E1652">
        <v>1</v>
      </c>
      <c r="F1652">
        <v>0</v>
      </c>
      <c r="G1652" t="s">
        <v>1242</v>
      </c>
      <c r="H1652" t="s">
        <v>9</v>
      </c>
      <c r="I1652" t="s">
        <v>1274</v>
      </c>
      <c r="J1652" t="s">
        <v>55</v>
      </c>
      <c r="K1652" t="s">
        <v>1275</v>
      </c>
      <c r="M1652" t="s">
        <v>6</v>
      </c>
    </row>
    <row r="1653" spans="2:13" hidden="1">
      <c r="B1653">
        <v>1651</v>
      </c>
      <c r="C1653">
        <v>157</v>
      </c>
      <c r="D1653">
        <v>8</v>
      </c>
      <c r="E1653">
        <v>2</v>
      </c>
      <c r="F1653">
        <v>0</v>
      </c>
      <c r="G1653" t="s">
        <v>1242</v>
      </c>
      <c r="H1653" t="s">
        <v>9</v>
      </c>
      <c r="I1653" t="s">
        <v>1274</v>
      </c>
      <c r="J1653" t="s">
        <v>55</v>
      </c>
      <c r="K1653" t="s">
        <v>1276</v>
      </c>
      <c r="M1653" t="s">
        <v>6</v>
      </c>
    </row>
    <row r="1654" spans="2:13" hidden="1">
      <c r="B1654">
        <v>1652</v>
      </c>
      <c r="C1654">
        <v>157</v>
      </c>
      <c r="D1654">
        <v>8</v>
      </c>
      <c r="E1654">
        <v>3</v>
      </c>
      <c r="F1654">
        <v>0</v>
      </c>
      <c r="G1654" t="s">
        <v>1242</v>
      </c>
      <c r="H1654" t="s">
        <v>9</v>
      </c>
      <c r="I1654" t="s">
        <v>1274</v>
      </c>
      <c r="J1654" t="s">
        <v>55</v>
      </c>
      <c r="K1654" t="s">
        <v>1277</v>
      </c>
      <c r="M1654" t="s">
        <v>6</v>
      </c>
    </row>
    <row r="1655" spans="2:13" hidden="1">
      <c r="B1655">
        <v>1653</v>
      </c>
      <c r="C1655">
        <v>157</v>
      </c>
      <c r="D1655">
        <v>8</v>
      </c>
      <c r="E1655">
        <v>4</v>
      </c>
      <c r="F1655">
        <v>0</v>
      </c>
      <c r="G1655" t="s">
        <v>1242</v>
      </c>
      <c r="H1655" t="s">
        <v>9</v>
      </c>
      <c r="I1655" t="s">
        <v>1274</v>
      </c>
      <c r="J1655" t="s">
        <v>55</v>
      </c>
      <c r="K1655" t="s">
        <v>1278</v>
      </c>
      <c r="M1655" t="s">
        <v>6</v>
      </c>
    </row>
    <row r="1656" spans="2:13" hidden="1">
      <c r="B1656">
        <v>1654</v>
      </c>
      <c r="C1656">
        <v>157</v>
      </c>
      <c r="D1656">
        <v>8</v>
      </c>
      <c r="E1656">
        <v>5</v>
      </c>
      <c r="F1656">
        <v>0</v>
      </c>
      <c r="G1656" t="s">
        <v>1242</v>
      </c>
      <c r="H1656" t="s">
        <v>9</v>
      </c>
      <c r="I1656" t="s">
        <v>1274</v>
      </c>
      <c r="J1656" t="s">
        <v>55</v>
      </c>
      <c r="K1656" t="s">
        <v>1279</v>
      </c>
      <c r="M1656" t="s">
        <v>6</v>
      </c>
    </row>
    <row r="1657" spans="2:13" hidden="1">
      <c r="B1657">
        <v>1655</v>
      </c>
      <c r="C1657">
        <v>157</v>
      </c>
      <c r="D1657">
        <v>8</v>
      </c>
      <c r="E1657">
        <v>6</v>
      </c>
      <c r="F1657">
        <v>0</v>
      </c>
      <c r="G1657" t="s">
        <v>1242</v>
      </c>
      <c r="H1657" t="s">
        <v>9</v>
      </c>
      <c r="I1657" t="s">
        <v>1274</v>
      </c>
      <c r="J1657" t="s">
        <v>55</v>
      </c>
      <c r="K1657" t="s">
        <v>1280</v>
      </c>
      <c r="M1657" t="s">
        <v>6</v>
      </c>
    </row>
    <row r="1658" spans="2:13" hidden="1">
      <c r="B1658">
        <v>1656</v>
      </c>
      <c r="C1658">
        <v>157</v>
      </c>
      <c r="D1658">
        <v>8</v>
      </c>
      <c r="E1658">
        <v>7</v>
      </c>
      <c r="F1658">
        <v>0</v>
      </c>
      <c r="G1658" t="s">
        <v>1242</v>
      </c>
      <c r="H1658" t="s">
        <v>9</v>
      </c>
      <c r="I1658" t="s">
        <v>1274</v>
      </c>
      <c r="J1658" t="s">
        <v>55</v>
      </c>
      <c r="K1658" t="s">
        <v>93</v>
      </c>
      <c r="M1658" t="s">
        <v>6</v>
      </c>
    </row>
    <row r="1659" spans="2:13" hidden="1">
      <c r="B1659">
        <v>1657</v>
      </c>
      <c r="C1659">
        <v>157</v>
      </c>
      <c r="D1659">
        <v>8</v>
      </c>
      <c r="E1659">
        <v>8</v>
      </c>
      <c r="F1659">
        <v>0</v>
      </c>
      <c r="G1659" t="s">
        <v>1242</v>
      </c>
      <c r="H1659" t="s">
        <v>9</v>
      </c>
      <c r="I1659" t="s">
        <v>1274</v>
      </c>
      <c r="J1659" t="s">
        <v>64</v>
      </c>
      <c r="K1659" t="s">
        <v>94</v>
      </c>
      <c r="M1659" t="s">
        <v>6</v>
      </c>
    </row>
    <row r="1660" spans="2:13" hidden="1">
      <c r="B1660">
        <v>1658</v>
      </c>
      <c r="C1660">
        <v>158</v>
      </c>
      <c r="D1660">
        <v>12</v>
      </c>
      <c r="E1660">
        <v>0</v>
      </c>
      <c r="F1660">
        <v>0</v>
      </c>
      <c r="G1660" t="s">
        <v>1242</v>
      </c>
      <c r="H1660" t="s">
        <v>9</v>
      </c>
      <c r="I1660" t="s">
        <v>1281</v>
      </c>
      <c r="J1660" t="s">
        <v>54</v>
      </c>
      <c r="K1660" t="s">
        <v>1281</v>
      </c>
      <c r="M1660" t="s">
        <v>6</v>
      </c>
    </row>
    <row r="1661" spans="2:13" hidden="1">
      <c r="B1661">
        <v>1659</v>
      </c>
      <c r="C1661">
        <v>158</v>
      </c>
      <c r="D1661">
        <v>12</v>
      </c>
      <c r="E1661">
        <v>1</v>
      </c>
      <c r="F1661">
        <v>0</v>
      </c>
      <c r="G1661" t="s">
        <v>1242</v>
      </c>
      <c r="H1661" t="s">
        <v>9</v>
      </c>
      <c r="I1661" t="s">
        <v>1281</v>
      </c>
      <c r="J1661" t="s">
        <v>55</v>
      </c>
      <c r="K1661" t="s">
        <v>1282</v>
      </c>
      <c r="M1661" t="s">
        <v>6</v>
      </c>
    </row>
    <row r="1662" spans="2:13" hidden="1">
      <c r="B1662">
        <v>1660</v>
      </c>
      <c r="C1662">
        <v>158</v>
      </c>
      <c r="D1662">
        <v>12</v>
      </c>
      <c r="E1662">
        <v>2</v>
      </c>
      <c r="F1662">
        <v>0</v>
      </c>
      <c r="G1662" t="s">
        <v>1242</v>
      </c>
      <c r="H1662" t="s">
        <v>9</v>
      </c>
      <c r="I1662" t="s">
        <v>1281</v>
      </c>
      <c r="J1662" t="s">
        <v>55</v>
      </c>
      <c r="K1662" t="s">
        <v>1283</v>
      </c>
      <c r="M1662" t="s">
        <v>6</v>
      </c>
    </row>
    <row r="1663" spans="2:13" hidden="1">
      <c r="B1663">
        <v>1661</v>
      </c>
      <c r="C1663">
        <v>158</v>
      </c>
      <c r="D1663">
        <v>12</v>
      </c>
      <c r="E1663">
        <v>3</v>
      </c>
      <c r="F1663">
        <v>0</v>
      </c>
      <c r="G1663" t="s">
        <v>1242</v>
      </c>
      <c r="H1663" t="s">
        <v>9</v>
      </c>
      <c r="I1663" t="s">
        <v>1281</v>
      </c>
      <c r="J1663" t="s">
        <v>55</v>
      </c>
      <c r="K1663" t="s">
        <v>1284</v>
      </c>
      <c r="M1663" t="s">
        <v>6</v>
      </c>
    </row>
    <row r="1664" spans="2:13" hidden="1">
      <c r="B1664">
        <v>1662</v>
      </c>
      <c r="C1664">
        <v>158</v>
      </c>
      <c r="D1664">
        <v>12</v>
      </c>
      <c r="E1664">
        <v>4</v>
      </c>
      <c r="F1664">
        <v>0</v>
      </c>
      <c r="G1664" t="s">
        <v>1242</v>
      </c>
      <c r="H1664" t="s">
        <v>9</v>
      </c>
      <c r="I1664" t="s">
        <v>1281</v>
      </c>
      <c r="J1664" t="s">
        <v>55</v>
      </c>
      <c r="K1664" t="s">
        <v>1285</v>
      </c>
      <c r="M1664" t="s">
        <v>6</v>
      </c>
    </row>
    <row r="1665" spans="2:13" hidden="1">
      <c r="B1665">
        <v>1663</v>
      </c>
      <c r="C1665">
        <v>158</v>
      </c>
      <c r="D1665">
        <v>12</v>
      </c>
      <c r="E1665">
        <v>5</v>
      </c>
      <c r="F1665">
        <v>0</v>
      </c>
      <c r="G1665" t="s">
        <v>1242</v>
      </c>
      <c r="H1665" t="s">
        <v>9</v>
      </c>
      <c r="I1665" t="s">
        <v>1281</v>
      </c>
      <c r="J1665" t="s">
        <v>55</v>
      </c>
      <c r="K1665" t="s">
        <v>1286</v>
      </c>
      <c r="M1665" t="s">
        <v>6</v>
      </c>
    </row>
    <row r="1666" spans="2:13" hidden="1">
      <c r="B1666">
        <v>1664</v>
      </c>
      <c r="C1666">
        <v>158</v>
      </c>
      <c r="D1666">
        <v>12</v>
      </c>
      <c r="E1666">
        <v>6</v>
      </c>
      <c r="F1666">
        <v>0</v>
      </c>
      <c r="G1666" t="s">
        <v>1242</v>
      </c>
      <c r="H1666" t="s">
        <v>9</v>
      </c>
      <c r="I1666" t="s">
        <v>1281</v>
      </c>
      <c r="J1666" t="s">
        <v>55</v>
      </c>
      <c r="K1666" t="s">
        <v>1287</v>
      </c>
      <c r="M1666" t="s">
        <v>6</v>
      </c>
    </row>
    <row r="1667" spans="2:13" hidden="1">
      <c r="B1667">
        <v>1665</v>
      </c>
      <c r="C1667">
        <v>158</v>
      </c>
      <c r="D1667">
        <v>12</v>
      </c>
      <c r="E1667">
        <v>7</v>
      </c>
      <c r="F1667">
        <v>0</v>
      </c>
      <c r="G1667" t="s">
        <v>1242</v>
      </c>
      <c r="H1667" t="s">
        <v>9</v>
      </c>
      <c r="I1667" t="s">
        <v>1281</v>
      </c>
      <c r="J1667" t="s">
        <v>55</v>
      </c>
      <c r="K1667" t="s">
        <v>1288</v>
      </c>
      <c r="M1667" t="s">
        <v>6</v>
      </c>
    </row>
    <row r="1668" spans="2:13" hidden="1">
      <c r="B1668">
        <v>1666</v>
      </c>
      <c r="C1668">
        <v>158</v>
      </c>
      <c r="D1668">
        <v>12</v>
      </c>
      <c r="E1668">
        <v>8</v>
      </c>
      <c r="F1668">
        <v>0</v>
      </c>
      <c r="G1668" t="s">
        <v>1242</v>
      </c>
      <c r="H1668" t="s">
        <v>9</v>
      </c>
      <c r="I1668" t="s">
        <v>1281</v>
      </c>
      <c r="J1668" t="s">
        <v>55</v>
      </c>
      <c r="K1668" t="s">
        <v>1289</v>
      </c>
      <c r="M1668" t="s">
        <v>6</v>
      </c>
    </row>
    <row r="1669" spans="2:13" hidden="1">
      <c r="B1669">
        <v>1667</v>
      </c>
      <c r="C1669">
        <v>158</v>
      </c>
      <c r="D1669">
        <v>12</v>
      </c>
      <c r="E1669">
        <v>9</v>
      </c>
      <c r="F1669">
        <v>0</v>
      </c>
      <c r="G1669" t="s">
        <v>1242</v>
      </c>
      <c r="H1669" t="s">
        <v>9</v>
      </c>
      <c r="I1669" t="s">
        <v>1281</v>
      </c>
      <c r="J1669" t="s">
        <v>55</v>
      </c>
      <c r="K1669" t="s">
        <v>1290</v>
      </c>
      <c r="M1669" t="s">
        <v>6</v>
      </c>
    </row>
    <row r="1670" spans="2:13" hidden="1">
      <c r="B1670">
        <v>1668</v>
      </c>
      <c r="C1670">
        <v>158</v>
      </c>
      <c r="D1670">
        <v>12</v>
      </c>
      <c r="E1670">
        <v>10</v>
      </c>
      <c r="F1670">
        <v>0</v>
      </c>
      <c r="G1670" t="s">
        <v>1242</v>
      </c>
      <c r="H1670" t="s">
        <v>9</v>
      </c>
      <c r="I1670" t="s">
        <v>1281</v>
      </c>
      <c r="J1670" t="s">
        <v>55</v>
      </c>
      <c r="K1670" t="s">
        <v>1291</v>
      </c>
      <c r="M1670" t="s">
        <v>6</v>
      </c>
    </row>
    <row r="1671" spans="2:13" hidden="1">
      <c r="B1671">
        <v>1669</v>
      </c>
      <c r="C1671">
        <v>158</v>
      </c>
      <c r="D1671">
        <v>12</v>
      </c>
      <c r="E1671">
        <v>11</v>
      </c>
      <c r="F1671">
        <v>0</v>
      </c>
      <c r="G1671" t="s">
        <v>1242</v>
      </c>
      <c r="H1671" t="s">
        <v>9</v>
      </c>
      <c r="I1671" t="s">
        <v>1281</v>
      </c>
      <c r="J1671" t="s">
        <v>55</v>
      </c>
      <c r="K1671" t="s">
        <v>93</v>
      </c>
      <c r="M1671" t="s">
        <v>6</v>
      </c>
    </row>
    <row r="1672" spans="2:13" hidden="1">
      <c r="B1672">
        <v>1670</v>
      </c>
      <c r="C1672">
        <v>158</v>
      </c>
      <c r="D1672">
        <v>12</v>
      </c>
      <c r="E1672">
        <v>12</v>
      </c>
      <c r="F1672">
        <v>0</v>
      </c>
      <c r="G1672" t="s">
        <v>1242</v>
      </c>
      <c r="H1672" t="s">
        <v>9</v>
      </c>
      <c r="I1672" t="s">
        <v>1281</v>
      </c>
      <c r="J1672" t="s">
        <v>64</v>
      </c>
      <c r="K1672" t="s">
        <v>94</v>
      </c>
      <c r="M1672" t="s">
        <v>6</v>
      </c>
    </row>
    <row r="1673" spans="2:13" hidden="1">
      <c r="B1673">
        <v>1671</v>
      </c>
      <c r="C1673">
        <v>159</v>
      </c>
      <c r="D1673">
        <v>6</v>
      </c>
      <c r="E1673">
        <v>0</v>
      </c>
      <c r="F1673">
        <v>0</v>
      </c>
      <c r="G1673" t="s">
        <v>1242</v>
      </c>
      <c r="H1673" t="s">
        <v>9</v>
      </c>
      <c r="I1673" t="s">
        <v>1292</v>
      </c>
      <c r="J1673" t="s">
        <v>54</v>
      </c>
      <c r="K1673" t="s">
        <v>1292</v>
      </c>
      <c r="M1673" t="s">
        <v>6</v>
      </c>
    </row>
    <row r="1674" spans="2:13" hidden="1">
      <c r="B1674">
        <v>1672</v>
      </c>
      <c r="C1674">
        <v>159</v>
      </c>
      <c r="D1674">
        <v>6</v>
      </c>
      <c r="E1674">
        <v>1</v>
      </c>
      <c r="F1674">
        <v>0</v>
      </c>
      <c r="G1674" t="s">
        <v>1242</v>
      </c>
      <c r="H1674" t="s">
        <v>9</v>
      </c>
      <c r="I1674" t="s">
        <v>1292</v>
      </c>
      <c r="J1674" t="s">
        <v>55</v>
      </c>
      <c r="K1674" t="s">
        <v>1293</v>
      </c>
      <c r="M1674" t="s">
        <v>6</v>
      </c>
    </row>
    <row r="1675" spans="2:13" hidden="1">
      <c r="B1675">
        <v>1673</v>
      </c>
      <c r="C1675">
        <v>159</v>
      </c>
      <c r="D1675">
        <v>6</v>
      </c>
      <c r="E1675">
        <v>2</v>
      </c>
      <c r="F1675">
        <v>0</v>
      </c>
      <c r="G1675" t="s">
        <v>1242</v>
      </c>
      <c r="H1675" t="s">
        <v>9</v>
      </c>
      <c r="I1675" t="s">
        <v>1292</v>
      </c>
      <c r="J1675" t="s">
        <v>55</v>
      </c>
      <c r="K1675" t="s">
        <v>1294</v>
      </c>
      <c r="M1675" t="s">
        <v>6</v>
      </c>
    </row>
    <row r="1676" spans="2:13" hidden="1">
      <c r="B1676">
        <v>1674</v>
      </c>
      <c r="C1676">
        <v>159</v>
      </c>
      <c r="D1676">
        <v>6</v>
      </c>
      <c r="E1676">
        <v>3</v>
      </c>
      <c r="F1676">
        <v>0</v>
      </c>
      <c r="G1676" t="s">
        <v>1242</v>
      </c>
      <c r="H1676" t="s">
        <v>9</v>
      </c>
      <c r="I1676" t="s">
        <v>1292</v>
      </c>
      <c r="J1676" t="s">
        <v>55</v>
      </c>
      <c r="K1676" t="s">
        <v>1295</v>
      </c>
      <c r="M1676" t="s">
        <v>6</v>
      </c>
    </row>
    <row r="1677" spans="2:13" hidden="1">
      <c r="B1677">
        <v>1675</v>
      </c>
      <c r="C1677">
        <v>159</v>
      </c>
      <c r="D1677">
        <v>6</v>
      </c>
      <c r="E1677">
        <v>4</v>
      </c>
      <c r="F1677">
        <v>0</v>
      </c>
      <c r="G1677" t="s">
        <v>1242</v>
      </c>
      <c r="H1677" t="s">
        <v>9</v>
      </c>
      <c r="I1677" t="s">
        <v>1292</v>
      </c>
      <c r="J1677" t="s">
        <v>55</v>
      </c>
      <c r="K1677" t="s">
        <v>1296</v>
      </c>
      <c r="M1677" t="s">
        <v>6</v>
      </c>
    </row>
    <row r="1678" spans="2:13" hidden="1">
      <c r="B1678">
        <v>1676</v>
      </c>
      <c r="C1678">
        <v>159</v>
      </c>
      <c r="D1678">
        <v>6</v>
      </c>
      <c r="E1678">
        <v>5</v>
      </c>
      <c r="F1678">
        <v>0</v>
      </c>
      <c r="G1678" t="s">
        <v>1242</v>
      </c>
      <c r="H1678" t="s">
        <v>9</v>
      </c>
      <c r="I1678" t="s">
        <v>1292</v>
      </c>
      <c r="J1678" t="s">
        <v>55</v>
      </c>
      <c r="K1678" t="s">
        <v>93</v>
      </c>
      <c r="M1678" t="s">
        <v>6</v>
      </c>
    </row>
    <row r="1679" spans="2:13" hidden="1">
      <c r="B1679">
        <v>1677</v>
      </c>
      <c r="C1679">
        <v>159</v>
      </c>
      <c r="D1679">
        <v>6</v>
      </c>
      <c r="E1679">
        <v>6</v>
      </c>
      <c r="F1679">
        <v>0</v>
      </c>
      <c r="G1679" t="s">
        <v>1242</v>
      </c>
      <c r="H1679" t="s">
        <v>9</v>
      </c>
      <c r="I1679" t="s">
        <v>1292</v>
      </c>
      <c r="J1679" t="s">
        <v>64</v>
      </c>
      <c r="K1679" t="s">
        <v>94</v>
      </c>
      <c r="M1679" t="s">
        <v>6</v>
      </c>
    </row>
    <row r="1680" spans="2:13" hidden="1">
      <c r="B1680">
        <v>1678</v>
      </c>
      <c r="C1680">
        <v>160</v>
      </c>
      <c r="D1680">
        <v>9</v>
      </c>
      <c r="E1680">
        <v>0</v>
      </c>
      <c r="F1680">
        <v>0</v>
      </c>
      <c r="G1680" t="s">
        <v>1242</v>
      </c>
      <c r="H1680" t="s">
        <v>9</v>
      </c>
      <c r="I1680" t="s">
        <v>1297</v>
      </c>
      <c r="J1680" t="s">
        <v>54</v>
      </c>
      <c r="K1680" t="s">
        <v>1297</v>
      </c>
      <c r="M1680" t="s">
        <v>6</v>
      </c>
    </row>
    <row r="1681" spans="2:13" hidden="1">
      <c r="B1681">
        <v>1679</v>
      </c>
      <c r="C1681">
        <v>160</v>
      </c>
      <c r="D1681">
        <v>9</v>
      </c>
      <c r="E1681">
        <v>1</v>
      </c>
      <c r="F1681">
        <v>0</v>
      </c>
      <c r="G1681" t="s">
        <v>1242</v>
      </c>
      <c r="H1681" t="s">
        <v>9</v>
      </c>
      <c r="I1681" t="s">
        <v>1297</v>
      </c>
      <c r="J1681" t="s">
        <v>55</v>
      </c>
      <c r="K1681" t="s">
        <v>1298</v>
      </c>
      <c r="M1681" t="s">
        <v>6</v>
      </c>
    </row>
    <row r="1682" spans="2:13" hidden="1">
      <c r="B1682">
        <v>1680</v>
      </c>
      <c r="C1682">
        <v>160</v>
      </c>
      <c r="D1682">
        <v>9</v>
      </c>
      <c r="E1682">
        <v>2</v>
      </c>
      <c r="F1682">
        <v>0</v>
      </c>
      <c r="G1682" t="s">
        <v>1242</v>
      </c>
      <c r="H1682" t="s">
        <v>9</v>
      </c>
      <c r="I1682" t="s">
        <v>1297</v>
      </c>
      <c r="J1682" t="s">
        <v>55</v>
      </c>
      <c r="K1682" t="s">
        <v>1299</v>
      </c>
      <c r="M1682" t="s">
        <v>6</v>
      </c>
    </row>
    <row r="1683" spans="2:13" hidden="1">
      <c r="B1683">
        <v>1681</v>
      </c>
      <c r="C1683">
        <v>160</v>
      </c>
      <c r="D1683">
        <v>9</v>
      </c>
      <c r="E1683">
        <v>3</v>
      </c>
      <c r="F1683">
        <v>0</v>
      </c>
      <c r="G1683" t="s">
        <v>1242</v>
      </c>
      <c r="H1683" t="s">
        <v>9</v>
      </c>
      <c r="I1683" t="s">
        <v>1297</v>
      </c>
      <c r="J1683" t="s">
        <v>55</v>
      </c>
      <c r="K1683" t="s">
        <v>1300</v>
      </c>
      <c r="M1683" t="s">
        <v>6</v>
      </c>
    </row>
    <row r="1684" spans="2:13" hidden="1">
      <c r="B1684">
        <v>1682</v>
      </c>
      <c r="C1684">
        <v>160</v>
      </c>
      <c r="D1684">
        <v>9</v>
      </c>
      <c r="E1684">
        <v>4</v>
      </c>
      <c r="F1684">
        <v>0</v>
      </c>
      <c r="G1684" t="s">
        <v>1242</v>
      </c>
      <c r="H1684" t="s">
        <v>9</v>
      </c>
      <c r="I1684" t="s">
        <v>1297</v>
      </c>
      <c r="J1684" t="s">
        <v>55</v>
      </c>
      <c r="K1684" t="s">
        <v>1301</v>
      </c>
      <c r="M1684" t="s">
        <v>6</v>
      </c>
    </row>
    <row r="1685" spans="2:13" hidden="1">
      <c r="B1685">
        <v>1683</v>
      </c>
      <c r="C1685">
        <v>160</v>
      </c>
      <c r="D1685">
        <v>9</v>
      </c>
      <c r="E1685">
        <v>5</v>
      </c>
      <c r="F1685">
        <v>0</v>
      </c>
      <c r="G1685" t="s">
        <v>1242</v>
      </c>
      <c r="H1685" t="s">
        <v>9</v>
      </c>
      <c r="I1685" t="s">
        <v>1297</v>
      </c>
      <c r="J1685" t="s">
        <v>55</v>
      </c>
      <c r="K1685" t="s">
        <v>1302</v>
      </c>
      <c r="M1685" t="s">
        <v>6</v>
      </c>
    </row>
    <row r="1686" spans="2:13" hidden="1">
      <c r="B1686">
        <v>1684</v>
      </c>
      <c r="C1686">
        <v>160</v>
      </c>
      <c r="D1686">
        <v>9</v>
      </c>
      <c r="E1686">
        <v>6</v>
      </c>
      <c r="F1686">
        <v>0</v>
      </c>
      <c r="G1686" t="s">
        <v>1242</v>
      </c>
      <c r="H1686" t="s">
        <v>9</v>
      </c>
      <c r="I1686" t="s">
        <v>1297</v>
      </c>
      <c r="J1686" t="s">
        <v>55</v>
      </c>
      <c r="K1686" t="s">
        <v>1303</v>
      </c>
      <c r="M1686" t="s">
        <v>6</v>
      </c>
    </row>
    <row r="1687" spans="2:13" hidden="1">
      <c r="B1687">
        <v>1685</v>
      </c>
      <c r="C1687">
        <v>160</v>
      </c>
      <c r="D1687">
        <v>9</v>
      </c>
      <c r="E1687">
        <v>7</v>
      </c>
      <c r="F1687">
        <v>0</v>
      </c>
      <c r="G1687" t="s">
        <v>1242</v>
      </c>
      <c r="H1687" t="s">
        <v>9</v>
      </c>
      <c r="I1687" t="s">
        <v>1297</v>
      </c>
      <c r="J1687" t="s">
        <v>55</v>
      </c>
      <c r="K1687" t="s">
        <v>1296</v>
      </c>
      <c r="M1687" t="s">
        <v>6</v>
      </c>
    </row>
    <row r="1688" spans="2:13" hidden="1">
      <c r="B1688">
        <v>1686</v>
      </c>
      <c r="C1688">
        <v>160</v>
      </c>
      <c r="D1688">
        <v>9</v>
      </c>
      <c r="E1688">
        <v>8</v>
      </c>
      <c r="F1688">
        <v>0</v>
      </c>
      <c r="G1688" t="s">
        <v>1242</v>
      </c>
      <c r="H1688" t="s">
        <v>9</v>
      </c>
      <c r="I1688" t="s">
        <v>1297</v>
      </c>
      <c r="J1688" t="s">
        <v>55</v>
      </c>
      <c r="K1688" t="s">
        <v>93</v>
      </c>
      <c r="M1688" t="s">
        <v>6</v>
      </c>
    </row>
    <row r="1689" spans="2:13" hidden="1">
      <c r="B1689">
        <v>1687</v>
      </c>
      <c r="C1689">
        <v>160</v>
      </c>
      <c r="D1689">
        <v>9</v>
      </c>
      <c r="E1689">
        <v>9</v>
      </c>
      <c r="F1689">
        <v>0</v>
      </c>
      <c r="G1689" t="s">
        <v>1242</v>
      </c>
      <c r="H1689" t="s">
        <v>9</v>
      </c>
      <c r="I1689" t="s">
        <v>1297</v>
      </c>
      <c r="J1689" t="s">
        <v>64</v>
      </c>
      <c r="K1689" t="s">
        <v>94</v>
      </c>
      <c r="M1689" t="s">
        <v>6</v>
      </c>
    </row>
    <row r="1690" spans="2:13" hidden="1">
      <c r="B1690">
        <v>1688</v>
      </c>
      <c r="C1690">
        <v>161</v>
      </c>
      <c r="D1690">
        <v>19</v>
      </c>
      <c r="E1690">
        <v>0</v>
      </c>
      <c r="F1690">
        <v>0</v>
      </c>
      <c r="G1690" t="s">
        <v>1242</v>
      </c>
      <c r="H1690" t="s">
        <v>9</v>
      </c>
      <c r="I1690" t="s">
        <v>1304</v>
      </c>
      <c r="J1690" t="s">
        <v>54</v>
      </c>
      <c r="K1690" t="s">
        <v>1304</v>
      </c>
      <c r="M1690" t="s">
        <v>6</v>
      </c>
    </row>
    <row r="1691" spans="2:13" hidden="1">
      <c r="B1691">
        <v>1689</v>
      </c>
      <c r="C1691">
        <v>161</v>
      </c>
      <c r="D1691">
        <v>19</v>
      </c>
      <c r="E1691">
        <v>1</v>
      </c>
      <c r="F1691">
        <v>0</v>
      </c>
      <c r="G1691" t="s">
        <v>1242</v>
      </c>
      <c r="H1691" t="s">
        <v>9</v>
      </c>
      <c r="I1691" t="s">
        <v>1304</v>
      </c>
      <c r="J1691" t="s">
        <v>55</v>
      </c>
      <c r="K1691" t="s">
        <v>1305</v>
      </c>
      <c r="M1691" t="s">
        <v>6</v>
      </c>
    </row>
    <row r="1692" spans="2:13" hidden="1">
      <c r="B1692">
        <v>1690</v>
      </c>
      <c r="C1692">
        <v>161</v>
      </c>
      <c r="D1692">
        <v>19</v>
      </c>
      <c r="E1692">
        <v>2</v>
      </c>
      <c r="F1692">
        <v>0</v>
      </c>
      <c r="G1692" t="s">
        <v>1242</v>
      </c>
      <c r="H1692" t="s">
        <v>9</v>
      </c>
      <c r="I1692" t="s">
        <v>1304</v>
      </c>
      <c r="J1692" t="s">
        <v>55</v>
      </c>
      <c r="K1692" t="s">
        <v>1306</v>
      </c>
      <c r="M1692" t="s">
        <v>6</v>
      </c>
    </row>
    <row r="1693" spans="2:13" hidden="1">
      <c r="B1693">
        <v>1691</v>
      </c>
      <c r="C1693">
        <v>161</v>
      </c>
      <c r="D1693">
        <v>19</v>
      </c>
      <c r="E1693">
        <v>3</v>
      </c>
      <c r="F1693">
        <v>0</v>
      </c>
      <c r="G1693" t="s">
        <v>1242</v>
      </c>
      <c r="H1693" t="s">
        <v>9</v>
      </c>
      <c r="I1693" t="s">
        <v>1304</v>
      </c>
      <c r="J1693" t="s">
        <v>55</v>
      </c>
      <c r="K1693" t="s">
        <v>1307</v>
      </c>
      <c r="M1693" t="s">
        <v>6</v>
      </c>
    </row>
    <row r="1694" spans="2:13" hidden="1">
      <c r="B1694">
        <v>1692</v>
      </c>
      <c r="C1694">
        <v>161</v>
      </c>
      <c r="D1694">
        <v>19</v>
      </c>
      <c r="E1694">
        <v>4</v>
      </c>
      <c r="F1694">
        <v>0</v>
      </c>
      <c r="G1694" t="s">
        <v>1242</v>
      </c>
      <c r="H1694" t="s">
        <v>9</v>
      </c>
      <c r="I1694" t="s">
        <v>1304</v>
      </c>
      <c r="J1694" t="s">
        <v>55</v>
      </c>
      <c r="K1694" t="s">
        <v>1308</v>
      </c>
      <c r="M1694" t="s">
        <v>6</v>
      </c>
    </row>
    <row r="1695" spans="2:13" hidden="1">
      <c r="B1695">
        <v>1693</v>
      </c>
      <c r="C1695">
        <v>161</v>
      </c>
      <c r="D1695">
        <v>19</v>
      </c>
      <c r="E1695">
        <v>5</v>
      </c>
      <c r="F1695">
        <v>0</v>
      </c>
      <c r="G1695" t="s">
        <v>1242</v>
      </c>
      <c r="H1695" t="s">
        <v>9</v>
      </c>
      <c r="I1695" t="s">
        <v>1304</v>
      </c>
      <c r="J1695" t="s">
        <v>55</v>
      </c>
      <c r="K1695" t="s">
        <v>1309</v>
      </c>
      <c r="M1695" t="s">
        <v>6</v>
      </c>
    </row>
    <row r="1696" spans="2:13" hidden="1">
      <c r="B1696">
        <v>1694</v>
      </c>
      <c r="C1696">
        <v>161</v>
      </c>
      <c r="D1696">
        <v>19</v>
      </c>
      <c r="E1696">
        <v>6</v>
      </c>
      <c r="F1696">
        <v>0</v>
      </c>
      <c r="G1696" t="s">
        <v>1242</v>
      </c>
      <c r="H1696" t="s">
        <v>9</v>
      </c>
      <c r="I1696" t="s">
        <v>1304</v>
      </c>
      <c r="J1696" t="s">
        <v>55</v>
      </c>
      <c r="K1696" t="s">
        <v>1310</v>
      </c>
      <c r="M1696" t="s">
        <v>6</v>
      </c>
    </row>
    <row r="1697" spans="2:13" hidden="1">
      <c r="B1697">
        <v>1695</v>
      </c>
      <c r="C1697">
        <v>161</v>
      </c>
      <c r="D1697">
        <v>19</v>
      </c>
      <c r="E1697">
        <v>7</v>
      </c>
      <c r="F1697">
        <v>0</v>
      </c>
      <c r="G1697" t="s">
        <v>1242</v>
      </c>
      <c r="H1697" t="s">
        <v>9</v>
      </c>
      <c r="I1697" t="s">
        <v>1304</v>
      </c>
      <c r="J1697" t="s">
        <v>55</v>
      </c>
      <c r="K1697" t="s">
        <v>1311</v>
      </c>
      <c r="M1697" t="s">
        <v>6</v>
      </c>
    </row>
    <row r="1698" spans="2:13" hidden="1">
      <c r="B1698">
        <v>1696</v>
      </c>
      <c r="C1698">
        <v>161</v>
      </c>
      <c r="D1698">
        <v>19</v>
      </c>
      <c r="E1698">
        <v>8</v>
      </c>
      <c r="F1698">
        <v>0</v>
      </c>
      <c r="G1698" t="s">
        <v>1242</v>
      </c>
      <c r="H1698" t="s">
        <v>9</v>
      </c>
      <c r="I1698" t="s">
        <v>1304</v>
      </c>
      <c r="J1698" t="s">
        <v>55</v>
      </c>
      <c r="K1698" t="s">
        <v>1312</v>
      </c>
      <c r="M1698" t="s">
        <v>6</v>
      </c>
    </row>
    <row r="1699" spans="2:13" hidden="1">
      <c r="B1699">
        <v>1697</v>
      </c>
      <c r="C1699">
        <v>161</v>
      </c>
      <c r="D1699">
        <v>19</v>
      </c>
      <c r="E1699">
        <v>9</v>
      </c>
      <c r="F1699">
        <v>0</v>
      </c>
      <c r="G1699" t="s">
        <v>1242</v>
      </c>
      <c r="H1699" t="s">
        <v>9</v>
      </c>
      <c r="I1699" t="s">
        <v>1304</v>
      </c>
      <c r="J1699" t="s">
        <v>55</v>
      </c>
      <c r="K1699" t="s">
        <v>1313</v>
      </c>
      <c r="M1699" t="s">
        <v>6</v>
      </c>
    </row>
    <row r="1700" spans="2:13" hidden="1">
      <c r="B1700">
        <v>1698</v>
      </c>
      <c r="C1700">
        <v>161</v>
      </c>
      <c r="D1700">
        <v>19</v>
      </c>
      <c r="E1700">
        <v>10</v>
      </c>
      <c r="F1700">
        <v>0</v>
      </c>
      <c r="G1700" t="s">
        <v>1242</v>
      </c>
      <c r="H1700" t="s">
        <v>9</v>
      </c>
      <c r="I1700" t="s">
        <v>1304</v>
      </c>
      <c r="J1700" t="s">
        <v>55</v>
      </c>
      <c r="K1700" t="s">
        <v>1314</v>
      </c>
      <c r="M1700" t="s">
        <v>6</v>
      </c>
    </row>
    <row r="1701" spans="2:13" hidden="1">
      <c r="B1701">
        <v>1699</v>
      </c>
      <c r="C1701">
        <v>161</v>
      </c>
      <c r="D1701">
        <v>19</v>
      </c>
      <c r="E1701">
        <v>11</v>
      </c>
      <c r="F1701">
        <v>0</v>
      </c>
      <c r="G1701" t="s">
        <v>1242</v>
      </c>
      <c r="H1701" t="s">
        <v>9</v>
      </c>
      <c r="I1701" t="s">
        <v>1304</v>
      </c>
      <c r="J1701" t="s">
        <v>214</v>
      </c>
      <c r="K1701" t="s">
        <v>1315</v>
      </c>
      <c r="M1701" t="s">
        <v>6</v>
      </c>
    </row>
    <row r="1702" spans="2:13" hidden="1">
      <c r="B1702">
        <v>1700</v>
      </c>
      <c r="C1702">
        <v>161</v>
      </c>
      <c r="D1702">
        <v>19</v>
      </c>
      <c r="E1702">
        <v>12</v>
      </c>
      <c r="F1702">
        <v>0</v>
      </c>
      <c r="G1702" t="s">
        <v>1242</v>
      </c>
      <c r="H1702" t="s">
        <v>9</v>
      </c>
      <c r="I1702" t="s">
        <v>1304</v>
      </c>
      <c r="J1702" t="s">
        <v>55</v>
      </c>
      <c r="K1702" t="s">
        <v>1316</v>
      </c>
      <c r="M1702" t="s">
        <v>6</v>
      </c>
    </row>
    <row r="1703" spans="2:13" hidden="1">
      <c r="B1703">
        <v>1701</v>
      </c>
      <c r="C1703">
        <v>161</v>
      </c>
      <c r="D1703">
        <v>19</v>
      </c>
      <c r="E1703">
        <v>13</v>
      </c>
      <c r="F1703">
        <v>0</v>
      </c>
      <c r="G1703" t="s">
        <v>1242</v>
      </c>
      <c r="H1703" t="s">
        <v>9</v>
      </c>
      <c r="I1703" t="s">
        <v>1304</v>
      </c>
      <c r="J1703" t="s">
        <v>55</v>
      </c>
      <c r="K1703" t="s">
        <v>1317</v>
      </c>
      <c r="M1703" t="s">
        <v>6</v>
      </c>
    </row>
    <row r="1704" spans="2:13" hidden="1">
      <c r="B1704">
        <v>1702</v>
      </c>
      <c r="C1704">
        <v>161</v>
      </c>
      <c r="D1704">
        <v>19</v>
      </c>
      <c r="E1704">
        <v>14</v>
      </c>
      <c r="F1704">
        <v>0</v>
      </c>
      <c r="G1704" t="s">
        <v>1242</v>
      </c>
      <c r="H1704" t="s">
        <v>9</v>
      </c>
      <c r="I1704" t="s">
        <v>1304</v>
      </c>
      <c r="J1704" t="s">
        <v>55</v>
      </c>
      <c r="K1704" t="s">
        <v>1318</v>
      </c>
      <c r="M1704" t="s">
        <v>6</v>
      </c>
    </row>
    <row r="1705" spans="2:13" hidden="1">
      <c r="B1705">
        <v>1703</v>
      </c>
      <c r="C1705">
        <v>161</v>
      </c>
      <c r="D1705">
        <v>19</v>
      </c>
      <c r="E1705">
        <v>15</v>
      </c>
      <c r="F1705">
        <v>0</v>
      </c>
      <c r="G1705" t="s">
        <v>1242</v>
      </c>
      <c r="H1705" t="s">
        <v>9</v>
      </c>
      <c r="I1705" t="s">
        <v>1304</v>
      </c>
      <c r="J1705" t="s">
        <v>55</v>
      </c>
      <c r="K1705" t="s">
        <v>1319</v>
      </c>
      <c r="M1705" t="s">
        <v>6</v>
      </c>
    </row>
    <row r="1706" spans="2:13" hidden="1">
      <c r="B1706">
        <v>1704</v>
      </c>
      <c r="C1706">
        <v>161</v>
      </c>
      <c r="D1706">
        <v>19</v>
      </c>
      <c r="E1706">
        <v>16</v>
      </c>
      <c r="F1706">
        <v>0</v>
      </c>
      <c r="G1706" t="s">
        <v>1242</v>
      </c>
      <c r="H1706" t="s">
        <v>9</v>
      </c>
      <c r="I1706" t="s">
        <v>1304</v>
      </c>
      <c r="J1706" t="s">
        <v>55</v>
      </c>
      <c r="K1706" t="s">
        <v>1320</v>
      </c>
      <c r="M1706" t="s">
        <v>6</v>
      </c>
    </row>
    <row r="1707" spans="2:13" hidden="1">
      <c r="B1707">
        <v>1705</v>
      </c>
      <c r="C1707">
        <v>161</v>
      </c>
      <c r="D1707">
        <v>19</v>
      </c>
      <c r="E1707">
        <v>17</v>
      </c>
      <c r="F1707">
        <v>0</v>
      </c>
      <c r="G1707" t="s">
        <v>1242</v>
      </c>
      <c r="H1707" t="s">
        <v>9</v>
      </c>
      <c r="I1707" t="s">
        <v>1304</v>
      </c>
      <c r="J1707" t="s">
        <v>55</v>
      </c>
      <c r="K1707" t="s">
        <v>1321</v>
      </c>
      <c r="M1707" t="s">
        <v>6</v>
      </c>
    </row>
    <row r="1708" spans="2:13" hidden="1">
      <c r="B1708">
        <v>1706</v>
      </c>
      <c r="C1708">
        <v>161</v>
      </c>
      <c r="D1708">
        <v>19</v>
      </c>
      <c r="E1708">
        <v>18</v>
      </c>
      <c r="F1708">
        <v>0</v>
      </c>
      <c r="G1708" t="s">
        <v>1242</v>
      </c>
      <c r="H1708" t="s">
        <v>9</v>
      </c>
      <c r="I1708" t="s">
        <v>1304</v>
      </c>
      <c r="J1708" t="s">
        <v>55</v>
      </c>
      <c r="K1708" t="s">
        <v>93</v>
      </c>
      <c r="M1708" t="s">
        <v>6</v>
      </c>
    </row>
    <row r="1709" spans="2:13" hidden="1">
      <c r="B1709">
        <v>1707</v>
      </c>
      <c r="C1709">
        <v>161</v>
      </c>
      <c r="D1709">
        <v>19</v>
      </c>
      <c r="E1709">
        <v>19</v>
      </c>
      <c r="F1709">
        <v>0</v>
      </c>
      <c r="G1709" t="s">
        <v>1242</v>
      </c>
      <c r="H1709" t="s">
        <v>9</v>
      </c>
      <c r="I1709" t="s">
        <v>1304</v>
      </c>
      <c r="J1709" t="s">
        <v>64</v>
      </c>
      <c r="K1709" t="s">
        <v>94</v>
      </c>
      <c r="M1709" t="s">
        <v>6</v>
      </c>
    </row>
    <row r="1710" spans="2:13" hidden="1">
      <c r="B1710">
        <v>1708</v>
      </c>
      <c r="C1710">
        <v>162</v>
      </c>
      <c r="D1710">
        <v>6</v>
      </c>
      <c r="E1710">
        <v>0</v>
      </c>
      <c r="F1710">
        <v>0</v>
      </c>
      <c r="G1710" t="s">
        <v>1242</v>
      </c>
      <c r="H1710" t="s">
        <v>9</v>
      </c>
      <c r="I1710" t="s">
        <v>1322</v>
      </c>
      <c r="J1710" t="s">
        <v>54</v>
      </c>
      <c r="K1710" t="s">
        <v>1322</v>
      </c>
      <c r="M1710" t="s">
        <v>6</v>
      </c>
    </row>
    <row r="1711" spans="2:13" hidden="1">
      <c r="B1711">
        <v>1709</v>
      </c>
      <c r="C1711">
        <v>162</v>
      </c>
      <c r="D1711">
        <v>6</v>
      </c>
      <c r="E1711">
        <v>1</v>
      </c>
      <c r="F1711">
        <v>0</v>
      </c>
      <c r="G1711" t="s">
        <v>1242</v>
      </c>
      <c r="H1711" t="s">
        <v>9</v>
      </c>
      <c r="I1711" t="s">
        <v>1322</v>
      </c>
      <c r="J1711" t="s">
        <v>55</v>
      </c>
      <c r="K1711" t="s">
        <v>1293</v>
      </c>
      <c r="M1711" t="s">
        <v>6</v>
      </c>
    </row>
    <row r="1712" spans="2:13" hidden="1">
      <c r="B1712">
        <v>1710</v>
      </c>
      <c r="C1712">
        <v>162</v>
      </c>
      <c r="D1712">
        <v>6</v>
      </c>
      <c r="E1712">
        <v>2</v>
      </c>
      <c r="F1712">
        <v>0</v>
      </c>
      <c r="G1712" t="s">
        <v>1242</v>
      </c>
      <c r="H1712" t="s">
        <v>9</v>
      </c>
      <c r="I1712" t="s">
        <v>1322</v>
      </c>
      <c r="J1712" t="s">
        <v>55</v>
      </c>
      <c r="K1712" t="s">
        <v>1294</v>
      </c>
      <c r="M1712" t="s">
        <v>6</v>
      </c>
    </row>
    <row r="1713" spans="2:13" hidden="1">
      <c r="B1713">
        <v>1711</v>
      </c>
      <c r="C1713">
        <v>162</v>
      </c>
      <c r="D1713">
        <v>6</v>
      </c>
      <c r="E1713">
        <v>3</v>
      </c>
      <c r="F1713">
        <v>0</v>
      </c>
      <c r="G1713" t="s">
        <v>1242</v>
      </c>
      <c r="H1713" t="s">
        <v>9</v>
      </c>
      <c r="I1713" t="s">
        <v>1322</v>
      </c>
      <c r="J1713" t="s">
        <v>55</v>
      </c>
      <c r="K1713" t="s">
        <v>1295</v>
      </c>
      <c r="M1713" t="s">
        <v>6</v>
      </c>
    </row>
    <row r="1714" spans="2:13" hidden="1">
      <c r="B1714">
        <v>1712</v>
      </c>
      <c r="C1714">
        <v>162</v>
      </c>
      <c r="D1714">
        <v>6</v>
      </c>
      <c r="E1714">
        <v>4</v>
      </c>
      <c r="F1714">
        <v>0</v>
      </c>
      <c r="G1714" t="s">
        <v>1242</v>
      </c>
      <c r="H1714" t="s">
        <v>9</v>
      </c>
      <c r="I1714" t="s">
        <v>1322</v>
      </c>
      <c r="J1714" t="s">
        <v>55</v>
      </c>
      <c r="K1714" t="s">
        <v>1296</v>
      </c>
      <c r="M1714" t="s">
        <v>6</v>
      </c>
    </row>
    <row r="1715" spans="2:13" hidden="1">
      <c r="B1715">
        <v>1713</v>
      </c>
      <c r="C1715">
        <v>162</v>
      </c>
      <c r="D1715">
        <v>6</v>
      </c>
      <c r="E1715">
        <v>5</v>
      </c>
      <c r="F1715">
        <v>0</v>
      </c>
      <c r="G1715" t="s">
        <v>1242</v>
      </c>
      <c r="H1715" t="s">
        <v>9</v>
      </c>
      <c r="I1715" t="s">
        <v>1322</v>
      </c>
      <c r="J1715" t="s">
        <v>55</v>
      </c>
      <c r="K1715" t="s">
        <v>93</v>
      </c>
      <c r="M1715" t="s">
        <v>6</v>
      </c>
    </row>
    <row r="1716" spans="2:13" hidden="1">
      <c r="B1716">
        <v>1714</v>
      </c>
      <c r="C1716">
        <v>162</v>
      </c>
      <c r="D1716">
        <v>6</v>
      </c>
      <c r="E1716">
        <v>6</v>
      </c>
      <c r="F1716">
        <v>0</v>
      </c>
      <c r="G1716" t="s">
        <v>1242</v>
      </c>
      <c r="H1716" t="s">
        <v>9</v>
      </c>
      <c r="I1716" t="s">
        <v>1322</v>
      </c>
      <c r="J1716" t="s">
        <v>64</v>
      </c>
      <c r="K1716" t="s">
        <v>94</v>
      </c>
      <c r="M1716" t="s">
        <v>6</v>
      </c>
    </row>
    <row r="1717" spans="2:13" hidden="1">
      <c r="B1717">
        <v>1715</v>
      </c>
      <c r="C1717">
        <v>163</v>
      </c>
      <c r="D1717">
        <v>10</v>
      </c>
      <c r="E1717">
        <v>0</v>
      </c>
      <c r="F1717">
        <v>0</v>
      </c>
      <c r="G1717" t="s">
        <v>1242</v>
      </c>
      <c r="H1717" t="s">
        <v>9</v>
      </c>
      <c r="I1717" t="s">
        <v>1323</v>
      </c>
      <c r="J1717" t="s">
        <v>54</v>
      </c>
      <c r="K1717" t="s">
        <v>1323</v>
      </c>
      <c r="M1717" t="s">
        <v>6</v>
      </c>
    </row>
    <row r="1718" spans="2:13" hidden="1">
      <c r="B1718">
        <v>1716</v>
      </c>
      <c r="C1718">
        <v>163</v>
      </c>
      <c r="D1718">
        <v>10</v>
      </c>
      <c r="E1718">
        <v>1</v>
      </c>
      <c r="F1718">
        <v>0</v>
      </c>
      <c r="G1718" t="s">
        <v>1242</v>
      </c>
      <c r="H1718" t="s">
        <v>9</v>
      </c>
      <c r="I1718" t="s">
        <v>1323</v>
      </c>
      <c r="J1718" t="s">
        <v>55</v>
      </c>
      <c r="K1718" t="s">
        <v>1324</v>
      </c>
      <c r="M1718" t="s">
        <v>6</v>
      </c>
    </row>
    <row r="1719" spans="2:13" hidden="1">
      <c r="B1719">
        <v>1717</v>
      </c>
      <c r="C1719">
        <v>163</v>
      </c>
      <c r="D1719">
        <v>10</v>
      </c>
      <c r="E1719">
        <v>2</v>
      </c>
      <c r="F1719">
        <v>0</v>
      </c>
      <c r="G1719" t="s">
        <v>1242</v>
      </c>
      <c r="H1719" t="s">
        <v>9</v>
      </c>
      <c r="I1719" t="s">
        <v>1323</v>
      </c>
      <c r="J1719" t="s">
        <v>55</v>
      </c>
      <c r="K1719" t="s">
        <v>1325</v>
      </c>
      <c r="M1719" t="s">
        <v>6</v>
      </c>
    </row>
    <row r="1720" spans="2:13" hidden="1">
      <c r="B1720">
        <v>1718</v>
      </c>
      <c r="C1720">
        <v>163</v>
      </c>
      <c r="D1720">
        <v>10</v>
      </c>
      <c r="E1720">
        <v>3</v>
      </c>
      <c r="F1720">
        <v>0</v>
      </c>
      <c r="G1720" t="s">
        <v>1242</v>
      </c>
      <c r="H1720" t="s">
        <v>9</v>
      </c>
      <c r="I1720" t="s">
        <v>1323</v>
      </c>
      <c r="J1720" t="s">
        <v>55</v>
      </c>
      <c r="K1720" t="s">
        <v>1326</v>
      </c>
      <c r="M1720" t="s">
        <v>6</v>
      </c>
    </row>
    <row r="1721" spans="2:13" hidden="1">
      <c r="B1721">
        <v>1719</v>
      </c>
      <c r="C1721">
        <v>163</v>
      </c>
      <c r="D1721">
        <v>10</v>
      </c>
      <c r="E1721">
        <v>4</v>
      </c>
      <c r="F1721">
        <v>0</v>
      </c>
      <c r="G1721" t="s">
        <v>1242</v>
      </c>
      <c r="H1721" t="s">
        <v>9</v>
      </c>
      <c r="I1721" t="s">
        <v>1323</v>
      </c>
      <c r="J1721" t="s">
        <v>55</v>
      </c>
      <c r="K1721" t="s">
        <v>1327</v>
      </c>
      <c r="M1721" t="s">
        <v>6</v>
      </c>
    </row>
    <row r="1722" spans="2:13" hidden="1">
      <c r="B1722">
        <v>1720</v>
      </c>
      <c r="C1722">
        <v>163</v>
      </c>
      <c r="D1722">
        <v>10</v>
      </c>
      <c r="E1722">
        <v>5</v>
      </c>
      <c r="F1722">
        <v>0</v>
      </c>
      <c r="G1722" t="s">
        <v>1242</v>
      </c>
      <c r="H1722" t="s">
        <v>9</v>
      </c>
      <c r="I1722" t="s">
        <v>1323</v>
      </c>
      <c r="J1722" t="s">
        <v>55</v>
      </c>
      <c r="K1722" t="s">
        <v>1328</v>
      </c>
      <c r="M1722" t="s">
        <v>6</v>
      </c>
    </row>
    <row r="1723" spans="2:13" hidden="1">
      <c r="B1723">
        <v>1721</v>
      </c>
      <c r="C1723">
        <v>163</v>
      </c>
      <c r="D1723">
        <v>10</v>
      </c>
      <c r="E1723">
        <v>6</v>
      </c>
      <c r="F1723">
        <v>0</v>
      </c>
      <c r="G1723" t="s">
        <v>1242</v>
      </c>
      <c r="H1723" t="s">
        <v>9</v>
      </c>
      <c r="I1723" t="s">
        <v>1323</v>
      </c>
      <c r="J1723" t="s">
        <v>55</v>
      </c>
      <c r="K1723" t="s">
        <v>1329</v>
      </c>
      <c r="M1723" t="s">
        <v>6</v>
      </c>
    </row>
    <row r="1724" spans="2:13" hidden="1">
      <c r="B1724">
        <v>1722</v>
      </c>
      <c r="C1724">
        <v>163</v>
      </c>
      <c r="D1724">
        <v>10</v>
      </c>
      <c r="E1724">
        <v>7</v>
      </c>
      <c r="F1724">
        <v>0</v>
      </c>
      <c r="G1724" t="s">
        <v>1242</v>
      </c>
      <c r="H1724" t="s">
        <v>9</v>
      </c>
      <c r="I1724" t="s">
        <v>1323</v>
      </c>
      <c r="J1724" t="s">
        <v>55</v>
      </c>
      <c r="K1724" t="s">
        <v>1330</v>
      </c>
      <c r="M1724" t="s">
        <v>6</v>
      </c>
    </row>
    <row r="1725" spans="2:13" hidden="1">
      <c r="B1725">
        <v>1723</v>
      </c>
      <c r="C1725">
        <v>163</v>
      </c>
      <c r="D1725">
        <v>10</v>
      </c>
      <c r="E1725">
        <v>8</v>
      </c>
      <c r="F1725">
        <v>0</v>
      </c>
      <c r="G1725" t="s">
        <v>1242</v>
      </c>
      <c r="H1725" t="s">
        <v>9</v>
      </c>
      <c r="I1725" t="s">
        <v>1323</v>
      </c>
      <c r="J1725" t="s">
        <v>55</v>
      </c>
      <c r="K1725" t="s">
        <v>1280</v>
      </c>
      <c r="M1725" t="s">
        <v>6</v>
      </c>
    </row>
    <row r="1726" spans="2:13" hidden="1">
      <c r="B1726">
        <v>1724</v>
      </c>
      <c r="C1726">
        <v>163</v>
      </c>
      <c r="D1726">
        <v>10</v>
      </c>
      <c r="E1726">
        <v>9</v>
      </c>
      <c r="F1726">
        <v>0</v>
      </c>
      <c r="G1726" t="s">
        <v>1242</v>
      </c>
      <c r="H1726" t="s">
        <v>9</v>
      </c>
      <c r="I1726" t="s">
        <v>1323</v>
      </c>
      <c r="J1726" t="s">
        <v>55</v>
      </c>
      <c r="K1726" t="s">
        <v>93</v>
      </c>
      <c r="M1726" t="s">
        <v>6</v>
      </c>
    </row>
    <row r="1727" spans="2:13" hidden="1">
      <c r="B1727">
        <v>1725</v>
      </c>
      <c r="C1727">
        <v>163</v>
      </c>
      <c r="D1727">
        <v>10</v>
      </c>
      <c r="E1727">
        <v>10</v>
      </c>
      <c r="F1727">
        <v>0</v>
      </c>
      <c r="G1727" t="s">
        <v>1242</v>
      </c>
      <c r="H1727" t="s">
        <v>9</v>
      </c>
      <c r="I1727" t="s">
        <v>1323</v>
      </c>
      <c r="J1727" t="s">
        <v>64</v>
      </c>
      <c r="K1727" t="s">
        <v>94</v>
      </c>
      <c r="M1727" t="s">
        <v>6</v>
      </c>
    </row>
    <row r="1728" spans="2:13" hidden="1">
      <c r="B1728">
        <v>1726</v>
      </c>
      <c r="C1728">
        <v>164</v>
      </c>
      <c r="D1728">
        <v>5</v>
      </c>
      <c r="E1728">
        <v>0</v>
      </c>
      <c r="F1728">
        <v>0</v>
      </c>
      <c r="G1728" t="s">
        <v>1242</v>
      </c>
      <c r="H1728" t="s">
        <v>9</v>
      </c>
      <c r="I1728" t="s">
        <v>1331</v>
      </c>
      <c r="J1728" t="s">
        <v>54</v>
      </c>
      <c r="K1728" t="s">
        <v>1331</v>
      </c>
      <c r="M1728" t="s">
        <v>6</v>
      </c>
    </row>
    <row r="1729" spans="2:13" hidden="1">
      <c r="B1729">
        <v>1727</v>
      </c>
      <c r="C1729">
        <v>164</v>
      </c>
      <c r="D1729">
        <v>5</v>
      </c>
      <c r="E1729">
        <v>1</v>
      </c>
      <c r="F1729">
        <v>0</v>
      </c>
      <c r="G1729" t="s">
        <v>1242</v>
      </c>
      <c r="H1729" t="s">
        <v>9</v>
      </c>
      <c r="I1729" t="s">
        <v>1331</v>
      </c>
      <c r="J1729" t="s">
        <v>55</v>
      </c>
      <c r="K1729" t="s">
        <v>1332</v>
      </c>
      <c r="M1729" t="s">
        <v>6</v>
      </c>
    </row>
    <row r="1730" spans="2:13" hidden="1">
      <c r="B1730">
        <v>1728</v>
      </c>
      <c r="C1730">
        <v>164</v>
      </c>
      <c r="D1730">
        <v>5</v>
      </c>
      <c r="E1730">
        <v>2</v>
      </c>
      <c r="F1730">
        <v>0</v>
      </c>
      <c r="G1730" t="s">
        <v>1242</v>
      </c>
      <c r="H1730" t="s">
        <v>9</v>
      </c>
      <c r="I1730" t="s">
        <v>1331</v>
      </c>
      <c r="J1730" t="s">
        <v>55</v>
      </c>
      <c r="K1730" t="s">
        <v>1333</v>
      </c>
      <c r="M1730" t="s">
        <v>6</v>
      </c>
    </row>
    <row r="1731" spans="2:13" hidden="1">
      <c r="B1731">
        <v>1729</v>
      </c>
      <c r="C1731">
        <v>164</v>
      </c>
      <c r="D1731">
        <v>5</v>
      </c>
      <c r="E1731">
        <v>3</v>
      </c>
      <c r="F1731">
        <v>0</v>
      </c>
      <c r="G1731" t="s">
        <v>1242</v>
      </c>
      <c r="H1731" t="s">
        <v>9</v>
      </c>
      <c r="I1731" t="s">
        <v>1331</v>
      </c>
      <c r="J1731" t="s">
        <v>55</v>
      </c>
      <c r="K1731" t="s">
        <v>1334</v>
      </c>
      <c r="M1731" t="s">
        <v>6</v>
      </c>
    </row>
    <row r="1732" spans="2:13" hidden="1">
      <c r="B1732">
        <v>1730</v>
      </c>
      <c r="C1732">
        <v>164</v>
      </c>
      <c r="D1732">
        <v>5</v>
      </c>
      <c r="E1732">
        <v>4</v>
      </c>
      <c r="F1732">
        <v>0</v>
      </c>
      <c r="G1732" t="s">
        <v>1242</v>
      </c>
      <c r="H1732" t="s">
        <v>9</v>
      </c>
      <c r="I1732" t="s">
        <v>1331</v>
      </c>
      <c r="J1732" t="s">
        <v>55</v>
      </c>
      <c r="K1732" t="s">
        <v>93</v>
      </c>
      <c r="M1732" t="s">
        <v>6</v>
      </c>
    </row>
    <row r="1733" spans="2:13" hidden="1">
      <c r="B1733">
        <v>1731</v>
      </c>
      <c r="C1733">
        <v>164</v>
      </c>
      <c r="D1733">
        <v>5</v>
      </c>
      <c r="E1733">
        <v>5</v>
      </c>
      <c r="F1733">
        <v>0</v>
      </c>
      <c r="G1733" t="s">
        <v>1242</v>
      </c>
      <c r="H1733" t="s">
        <v>9</v>
      </c>
      <c r="I1733" t="s">
        <v>1331</v>
      </c>
      <c r="J1733" t="s">
        <v>64</v>
      </c>
      <c r="K1733" t="s">
        <v>94</v>
      </c>
      <c r="M1733" t="s">
        <v>6</v>
      </c>
    </row>
    <row r="1734" spans="2:13" hidden="1">
      <c r="B1734">
        <v>1732</v>
      </c>
      <c r="C1734">
        <v>165</v>
      </c>
      <c r="D1734">
        <v>19</v>
      </c>
      <c r="E1734">
        <v>0</v>
      </c>
      <c r="F1734">
        <v>0</v>
      </c>
      <c r="G1734" t="s">
        <v>1242</v>
      </c>
      <c r="H1734" t="s">
        <v>9</v>
      </c>
      <c r="I1734" t="s">
        <v>1335</v>
      </c>
      <c r="J1734" t="s">
        <v>47</v>
      </c>
      <c r="K1734" t="s">
        <v>1335</v>
      </c>
      <c r="M1734" t="s">
        <v>6</v>
      </c>
    </row>
    <row r="1735" spans="2:13" hidden="1">
      <c r="B1735">
        <v>1733</v>
      </c>
      <c r="C1735">
        <v>165</v>
      </c>
      <c r="D1735">
        <v>19</v>
      </c>
      <c r="E1735">
        <v>1</v>
      </c>
      <c r="F1735">
        <v>0</v>
      </c>
      <c r="G1735" t="s">
        <v>1242</v>
      </c>
      <c r="H1735" t="s">
        <v>9</v>
      </c>
      <c r="I1735" t="s">
        <v>1335</v>
      </c>
      <c r="J1735" t="s">
        <v>1184</v>
      </c>
      <c r="K1735" t="s">
        <v>1336</v>
      </c>
      <c r="M1735" t="s">
        <v>6</v>
      </c>
    </row>
    <row r="1736" spans="2:13" hidden="1">
      <c r="B1736">
        <v>1734</v>
      </c>
      <c r="C1736">
        <v>165</v>
      </c>
      <c r="D1736">
        <v>19</v>
      </c>
      <c r="E1736">
        <v>2</v>
      </c>
      <c r="F1736">
        <v>0</v>
      </c>
      <c r="G1736" t="s">
        <v>1242</v>
      </c>
      <c r="H1736" t="s">
        <v>9</v>
      </c>
      <c r="I1736" t="s">
        <v>1335</v>
      </c>
      <c r="J1736" t="s">
        <v>55</v>
      </c>
      <c r="K1736" t="s">
        <v>1337</v>
      </c>
      <c r="M1736" t="s">
        <v>6</v>
      </c>
    </row>
    <row r="1737" spans="2:13" hidden="1">
      <c r="B1737">
        <v>1735</v>
      </c>
      <c r="C1737">
        <v>165</v>
      </c>
      <c r="D1737">
        <v>19</v>
      </c>
      <c r="E1737">
        <v>3</v>
      </c>
      <c r="F1737">
        <v>0</v>
      </c>
      <c r="G1737" t="s">
        <v>1242</v>
      </c>
      <c r="H1737" t="s">
        <v>9</v>
      </c>
      <c r="I1737" t="s">
        <v>1335</v>
      </c>
      <c r="J1737" t="s">
        <v>55</v>
      </c>
      <c r="K1737" t="s">
        <v>1338</v>
      </c>
      <c r="M1737" t="s">
        <v>6</v>
      </c>
    </row>
    <row r="1738" spans="2:13" hidden="1">
      <c r="B1738">
        <v>1736</v>
      </c>
      <c r="C1738">
        <v>165</v>
      </c>
      <c r="D1738">
        <v>19</v>
      </c>
      <c r="E1738">
        <v>4</v>
      </c>
      <c r="F1738">
        <v>0</v>
      </c>
      <c r="G1738" t="s">
        <v>1242</v>
      </c>
      <c r="H1738" t="s">
        <v>9</v>
      </c>
      <c r="I1738" t="s">
        <v>1335</v>
      </c>
      <c r="J1738" t="s">
        <v>1184</v>
      </c>
      <c r="K1738" t="s">
        <v>1339</v>
      </c>
      <c r="M1738" t="s">
        <v>6</v>
      </c>
    </row>
    <row r="1739" spans="2:13" hidden="1">
      <c r="B1739">
        <v>1737</v>
      </c>
      <c r="C1739">
        <v>165</v>
      </c>
      <c r="D1739">
        <v>19</v>
      </c>
      <c r="E1739">
        <v>5</v>
      </c>
      <c r="F1739">
        <v>0</v>
      </c>
      <c r="G1739" t="s">
        <v>1242</v>
      </c>
      <c r="H1739" t="s">
        <v>9</v>
      </c>
      <c r="I1739" t="s">
        <v>1335</v>
      </c>
      <c r="J1739" t="s">
        <v>55</v>
      </c>
      <c r="K1739" t="s">
        <v>1340</v>
      </c>
      <c r="M1739" t="s">
        <v>6</v>
      </c>
    </row>
    <row r="1740" spans="2:13" hidden="1">
      <c r="B1740">
        <v>1738</v>
      </c>
      <c r="C1740">
        <v>165</v>
      </c>
      <c r="D1740">
        <v>19</v>
      </c>
      <c r="E1740">
        <v>6</v>
      </c>
      <c r="F1740">
        <v>0</v>
      </c>
      <c r="G1740" t="s">
        <v>1242</v>
      </c>
      <c r="H1740" t="s">
        <v>9</v>
      </c>
      <c r="I1740" t="s">
        <v>1335</v>
      </c>
      <c r="J1740" t="s">
        <v>55</v>
      </c>
      <c r="K1740" t="s">
        <v>1337</v>
      </c>
      <c r="M1740" t="s">
        <v>6</v>
      </c>
    </row>
    <row r="1741" spans="2:13" hidden="1">
      <c r="B1741">
        <v>1739</v>
      </c>
      <c r="C1741">
        <v>165</v>
      </c>
      <c r="D1741">
        <v>19</v>
      </c>
      <c r="E1741">
        <v>7</v>
      </c>
      <c r="F1741">
        <v>0</v>
      </c>
      <c r="G1741" t="s">
        <v>1242</v>
      </c>
      <c r="H1741" t="s">
        <v>9</v>
      </c>
      <c r="I1741" t="s">
        <v>1335</v>
      </c>
      <c r="J1741" t="s">
        <v>55</v>
      </c>
      <c r="K1741" t="s">
        <v>1341</v>
      </c>
      <c r="M1741" t="s">
        <v>6</v>
      </c>
    </row>
    <row r="1742" spans="2:13" hidden="1">
      <c r="B1742">
        <v>1740</v>
      </c>
      <c r="C1742">
        <v>165</v>
      </c>
      <c r="D1742">
        <v>19</v>
      </c>
      <c r="E1742">
        <v>8</v>
      </c>
      <c r="F1742">
        <v>0</v>
      </c>
      <c r="G1742" t="s">
        <v>1242</v>
      </c>
      <c r="H1742" t="s">
        <v>9</v>
      </c>
      <c r="I1742" t="s">
        <v>1335</v>
      </c>
      <c r="J1742" t="s">
        <v>55</v>
      </c>
      <c r="K1742" t="s">
        <v>1342</v>
      </c>
      <c r="M1742" t="s">
        <v>6</v>
      </c>
    </row>
    <row r="1743" spans="2:13" hidden="1">
      <c r="B1743">
        <v>1741</v>
      </c>
      <c r="C1743">
        <v>165</v>
      </c>
      <c r="D1743">
        <v>19</v>
      </c>
      <c r="E1743">
        <v>9</v>
      </c>
      <c r="F1743">
        <v>0</v>
      </c>
      <c r="G1743" t="s">
        <v>1242</v>
      </c>
      <c r="H1743" t="s">
        <v>9</v>
      </c>
      <c r="I1743" t="s">
        <v>1335</v>
      </c>
      <c r="J1743" t="s">
        <v>55</v>
      </c>
      <c r="K1743" t="s">
        <v>1343</v>
      </c>
      <c r="M1743" t="s">
        <v>6</v>
      </c>
    </row>
    <row r="1744" spans="2:13" hidden="1">
      <c r="B1744">
        <v>1742</v>
      </c>
      <c r="C1744">
        <v>165</v>
      </c>
      <c r="D1744">
        <v>19</v>
      </c>
      <c r="E1744">
        <v>10</v>
      </c>
      <c r="F1744">
        <v>0</v>
      </c>
      <c r="G1744" t="s">
        <v>1242</v>
      </c>
      <c r="H1744" t="s">
        <v>9</v>
      </c>
      <c r="I1744" t="s">
        <v>1335</v>
      </c>
      <c r="J1744" t="s">
        <v>55</v>
      </c>
      <c r="K1744" t="s">
        <v>1344</v>
      </c>
      <c r="M1744" t="s">
        <v>6</v>
      </c>
    </row>
    <row r="1745" spans="2:13" hidden="1">
      <c r="B1745">
        <v>1743</v>
      </c>
      <c r="C1745">
        <v>165</v>
      </c>
      <c r="D1745">
        <v>19</v>
      </c>
      <c r="E1745">
        <v>11</v>
      </c>
      <c r="F1745">
        <v>0</v>
      </c>
      <c r="G1745" t="s">
        <v>1242</v>
      </c>
      <c r="H1745" t="s">
        <v>9</v>
      </c>
      <c r="I1745" t="s">
        <v>1335</v>
      </c>
      <c r="J1745" t="s">
        <v>55</v>
      </c>
      <c r="K1745" t="s">
        <v>1345</v>
      </c>
      <c r="M1745" t="s">
        <v>6</v>
      </c>
    </row>
    <row r="1746" spans="2:13" hidden="1">
      <c r="B1746">
        <v>1744</v>
      </c>
      <c r="C1746">
        <v>165</v>
      </c>
      <c r="D1746">
        <v>19</v>
      </c>
      <c r="E1746">
        <v>12</v>
      </c>
      <c r="F1746">
        <v>0</v>
      </c>
      <c r="G1746" t="s">
        <v>1242</v>
      </c>
      <c r="H1746" t="s">
        <v>9</v>
      </c>
      <c r="I1746" t="s">
        <v>1335</v>
      </c>
      <c r="J1746" t="s">
        <v>55</v>
      </c>
      <c r="K1746" t="s">
        <v>1346</v>
      </c>
      <c r="M1746" t="s">
        <v>6</v>
      </c>
    </row>
    <row r="1747" spans="2:13" hidden="1">
      <c r="B1747">
        <v>1745</v>
      </c>
      <c r="C1747">
        <v>165</v>
      </c>
      <c r="D1747">
        <v>19</v>
      </c>
      <c r="E1747">
        <v>13</v>
      </c>
      <c r="F1747">
        <v>0</v>
      </c>
      <c r="G1747" t="s">
        <v>1242</v>
      </c>
      <c r="H1747" t="s">
        <v>9</v>
      </c>
      <c r="I1747" t="s">
        <v>1335</v>
      </c>
      <c r="J1747" t="s">
        <v>1184</v>
      </c>
      <c r="K1747" t="s">
        <v>1347</v>
      </c>
      <c r="M1747" t="s">
        <v>6</v>
      </c>
    </row>
    <row r="1748" spans="2:13" hidden="1">
      <c r="B1748">
        <v>1746</v>
      </c>
      <c r="C1748">
        <v>165</v>
      </c>
      <c r="D1748">
        <v>19</v>
      </c>
      <c r="E1748">
        <v>14</v>
      </c>
      <c r="F1748">
        <v>0</v>
      </c>
      <c r="G1748" t="s">
        <v>1242</v>
      </c>
      <c r="H1748" t="s">
        <v>9</v>
      </c>
      <c r="I1748" t="s">
        <v>1335</v>
      </c>
      <c r="J1748" t="s">
        <v>55</v>
      </c>
      <c r="K1748" t="s">
        <v>1348</v>
      </c>
      <c r="M1748" t="s">
        <v>6</v>
      </c>
    </row>
    <row r="1749" spans="2:13" hidden="1">
      <c r="B1749">
        <v>1747</v>
      </c>
      <c r="C1749">
        <v>165</v>
      </c>
      <c r="D1749">
        <v>19</v>
      </c>
      <c r="E1749">
        <v>15</v>
      </c>
      <c r="F1749">
        <v>0</v>
      </c>
      <c r="G1749" t="s">
        <v>1242</v>
      </c>
      <c r="H1749" t="s">
        <v>9</v>
      </c>
      <c r="I1749" t="s">
        <v>1335</v>
      </c>
      <c r="J1749" t="s">
        <v>55</v>
      </c>
      <c r="K1749" t="s">
        <v>1349</v>
      </c>
      <c r="M1749" t="s">
        <v>6</v>
      </c>
    </row>
    <row r="1750" spans="2:13" hidden="1">
      <c r="B1750">
        <v>1748</v>
      </c>
      <c r="C1750">
        <v>165</v>
      </c>
      <c r="D1750">
        <v>19</v>
      </c>
      <c r="E1750">
        <v>16</v>
      </c>
      <c r="F1750">
        <v>0</v>
      </c>
      <c r="G1750" t="s">
        <v>1242</v>
      </c>
      <c r="H1750" t="s">
        <v>9</v>
      </c>
      <c r="I1750" t="s">
        <v>1335</v>
      </c>
      <c r="J1750" t="s">
        <v>1184</v>
      </c>
      <c r="K1750" t="s">
        <v>1350</v>
      </c>
      <c r="M1750" t="s">
        <v>6</v>
      </c>
    </row>
    <row r="1751" spans="2:13" hidden="1">
      <c r="B1751">
        <v>1749</v>
      </c>
      <c r="C1751">
        <v>165</v>
      </c>
      <c r="D1751">
        <v>19</v>
      </c>
      <c r="E1751">
        <v>17</v>
      </c>
      <c r="F1751">
        <v>0</v>
      </c>
      <c r="G1751" t="s">
        <v>1242</v>
      </c>
      <c r="H1751" t="s">
        <v>9</v>
      </c>
      <c r="I1751" t="s">
        <v>1335</v>
      </c>
      <c r="J1751" t="s">
        <v>55</v>
      </c>
      <c r="K1751" t="s">
        <v>1351</v>
      </c>
      <c r="M1751" t="s">
        <v>6</v>
      </c>
    </row>
    <row r="1752" spans="2:13" hidden="1">
      <c r="B1752">
        <v>1750</v>
      </c>
      <c r="C1752">
        <v>165</v>
      </c>
      <c r="D1752">
        <v>19</v>
      </c>
      <c r="E1752">
        <v>18</v>
      </c>
      <c r="F1752">
        <v>0</v>
      </c>
      <c r="G1752" t="s">
        <v>1242</v>
      </c>
      <c r="H1752" t="s">
        <v>9</v>
      </c>
      <c r="I1752" t="s">
        <v>1335</v>
      </c>
      <c r="J1752" t="s">
        <v>55</v>
      </c>
      <c r="K1752" t="s">
        <v>93</v>
      </c>
      <c r="M1752" t="s">
        <v>6</v>
      </c>
    </row>
    <row r="1753" spans="2:13" hidden="1">
      <c r="B1753">
        <v>1751</v>
      </c>
      <c r="C1753">
        <v>165</v>
      </c>
      <c r="D1753">
        <v>19</v>
      </c>
      <c r="E1753">
        <v>19</v>
      </c>
      <c r="F1753">
        <v>0</v>
      </c>
      <c r="G1753" t="s">
        <v>1242</v>
      </c>
      <c r="H1753" t="s">
        <v>9</v>
      </c>
      <c r="I1753" t="s">
        <v>1335</v>
      </c>
      <c r="J1753" t="s">
        <v>64</v>
      </c>
      <c r="K1753" t="s">
        <v>94</v>
      </c>
      <c r="M1753" t="s">
        <v>6</v>
      </c>
    </row>
    <row r="1754" spans="2:13" hidden="1">
      <c r="B1754">
        <v>1752</v>
      </c>
      <c r="C1754">
        <v>166</v>
      </c>
      <c r="D1754">
        <v>9</v>
      </c>
      <c r="E1754">
        <v>0</v>
      </c>
      <c r="F1754">
        <v>0</v>
      </c>
      <c r="G1754" t="s">
        <v>1242</v>
      </c>
      <c r="H1754" t="s">
        <v>9</v>
      </c>
      <c r="I1754" t="s">
        <v>1352</v>
      </c>
      <c r="J1754" t="s">
        <v>54</v>
      </c>
      <c r="K1754" t="s">
        <v>1352</v>
      </c>
      <c r="M1754" t="s">
        <v>6</v>
      </c>
    </row>
    <row r="1755" spans="2:13" hidden="1">
      <c r="B1755">
        <v>1753</v>
      </c>
      <c r="C1755">
        <v>166</v>
      </c>
      <c r="D1755">
        <v>9</v>
      </c>
      <c r="E1755">
        <v>1</v>
      </c>
      <c r="F1755">
        <v>0</v>
      </c>
      <c r="G1755" t="s">
        <v>1242</v>
      </c>
      <c r="H1755" t="s">
        <v>9</v>
      </c>
      <c r="I1755" t="s">
        <v>1352</v>
      </c>
      <c r="J1755" t="s">
        <v>55</v>
      </c>
      <c r="K1755" t="s">
        <v>1353</v>
      </c>
      <c r="M1755" t="s">
        <v>6</v>
      </c>
    </row>
    <row r="1756" spans="2:13" hidden="1">
      <c r="B1756">
        <v>1754</v>
      </c>
      <c r="C1756">
        <v>166</v>
      </c>
      <c r="D1756">
        <v>9</v>
      </c>
      <c r="E1756">
        <v>2</v>
      </c>
      <c r="F1756">
        <v>0</v>
      </c>
      <c r="G1756" t="s">
        <v>1242</v>
      </c>
      <c r="H1756" t="s">
        <v>9</v>
      </c>
      <c r="I1756" t="s">
        <v>1352</v>
      </c>
      <c r="J1756" t="s">
        <v>55</v>
      </c>
      <c r="K1756" t="s">
        <v>1354</v>
      </c>
      <c r="M1756" t="s">
        <v>6</v>
      </c>
    </row>
    <row r="1757" spans="2:13" hidden="1">
      <c r="B1757">
        <v>1755</v>
      </c>
      <c r="C1757">
        <v>166</v>
      </c>
      <c r="D1757">
        <v>9</v>
      </c>
      <c r="E1757">
        <v>3</v>
      </c>
      <c r="F1757">
        <v>0</v>
      </c>
      <c r="G1757" t="s">
        <v>1242</v>
      </c>
      <c r="H1757" t="s">
        <v>9</v>
      </c>
      <c r="I1757" t="s">
        <v>1352</v>
      </c>
      <c r="J1757" t="s">
        <v>55</v>
      </c>
      <c r="K1757" t="s">
        <v>1355</v>
      </c>
      <c r="M1757" t="s">
        <v>6</v>
      </c>
    </row>
    <row r="1758" spans="2:13" hidden="1">
      <c r="B1758">
        <v>1756</v>
      </c>
      <c r="C1758">
        <v>166</v>
      </c>
      <c r="D1758">
        <v>9</v>
      </c>
      <c r="E1758">
        <v>4</v>
      </c>
      <c r="F1758">
        <v>0</v>
      </c>
      <c r="G1758" t="s">
        <v>1242</v>
      </c>
      <c r="H1758" t="s">
        <v>9</v>
      </c>
      <c r="I1758" t="s">
        <v>1352</v>
      </c>
      <c r="J1758" t="s">
        <v>55</v>
      </c>
      <c r="K1758" t="s">
        <v>1356</v>
      </c>
      <c r="M1758" t="s">
        <v>6</v>
      </c>
    </row>
    <row r="1759" spans="2:13" hidden="1">
      <c r="B1759">
        <v>1757</v>
      </c>
      <c r="C1759">
        <v>166</v>
      </c>
      <c r="D1759">
        <v>9</v>
      </c>
      <c r="E1759">
        <v>5</v>
      </c>
      <c r="F1759">
        <v>0</v>
      </c>
      <c r="G1759" t="s">
        <v>1242</v>
      </c>
      <c r="H1759" t="s">
        <v>9</v>
      </c>
      <c r="I1759" t="s">
        <v>1352</v>
      </c>
      <c r="J1759" t="s">
        <v>55</v>
      </c>
      <c r="K1759" t="s">
        <v>1357</v>
      </c>
      <c r="M1759" t="s">
        <v>6</v>
      </c>
    </row>
    <row r="1760" spans="2:13" hidden="1">
      <c r="B1760">
        <v>1758</v>
      </c>
      <c r="C1760">
        <v>166</v>
      </c>
      <c r="D1760">
        <v>9</v>
      </c>
      <c r="E1760">
        <v>6</v>
      </c>
      <c r="F1760">
        <v>0</v>
      </c>
      <c r="G1760" t="s">
        <v>1242</v>
      </c>
      <c r="H1760" t="s">
        <v>9</v>
      </c>
      <c r="I1760" t="s">
        <v>1352</v>
      </c>
      <c r="J1760" t="s">
        <v>55</v>
      </c>
      <c r="K1760" t="s">
        <v>1358</v>
      </c>
      <c r="M1760" t="s">
        <v>6</v>
      </c>
    </row>
    <row r="1761" spans="2:13" hidden="1">
      <c r="B1761">
        <v>1759</v>
      </c>
      <c r="C1761">
        <v>166</v>
      </c>
      <c r="D1761">
        <v>9</v>
      </c>
      <c r="E1761">
        <v>7</v>
      </c>
      <c r="F1761">
        <v>0</v>
      </c>
      <c r="G1761" t="s">
        <v>1242</v>
      </c>
      <c r="H1761" t="s">
        <v>9</v>
      </c>
      <c r="I1761" t="s">
        <v>1352</v>
      </c>
      <c r="J1761" t="s">
        <v>55</v>
      </c>
      <c r="K1761" t="s">
        <v>1359</v>
      </c>
      <c r="M1761" t="s">
        <v>6</v>
      </c>
    </row>
    <row r="1762" spans="2:13" hidden="1">
      <c r="B1762">
        <v>1760</v>
      </c>
      <c r="C1762">
        <v>166</v>
      </c>
      <c r="D1762">
        <v>9</v>
      </c>
      <c r="E1762">
        <v>8</v>
      </c>
      <c r="F1762">
        <v>0</v>
      </c>
      <c r="G1762" t="s">
        <v>1242</v>
      </c>
      <c r="H1762" t="s">
        <v>9</v>
      </c>
      <c r="I1762" t="s">
        <v>1352</v>
      </c>
      <c r="J1762" t="s">
        <v>55</v>
      </c>
      <c r="K1762" t="s">
        <v>93</v>
      </c>
      <c r="M1762" t="s">
        <v>6</v>
      </c>
    </row>
    <row r="1763" spans="2:13" hidden="1">
      <c r="B1763">
        <v>1761</v>
      </c>
      <c r="C1763">
        <v>166</v>
      </c>
      <c r="D1763">
        <v>9</v>
      </c>
      <c r="E1763">
        <v>9</v>
      </c>
      <c r="F1763">
        <v>0</v>
      </c>
      <c r="G1763" t="s">
        <v>1242</v>
      </c>
      <c r="H1763" t="s">
        <v>9</v>
      </c>
      <c r="I1763" t="s">
        <v>1352</v>
      </c>
      <c r="J1763" t="s">
        <v>64</v>
      </c>
      <c r="K1763" t="s">
        <v>94</v>
      </c>
      <c r="M1763" t="s">
        <v>6</v>
      </c>
    </row>
    <row r="1764" spans="2:13" hidden="1">
      <c r="B1764">
        <v>1762</v>
      </c>
      <c r="C1764">
        <v>167</v>
      </c>
      <c r="D1764">
        <v>13</v>
      </c>
      <c r="E1764">
        <v>0</v>
      </c>
      <c r="F1764">
        <v>0</v>
      </c>
      <c r="G1764" t="s">
        <v>1242</v>
      </c>
      <c r="H1764" t="s">
        <v>9</v>
      </c>
      <c r="I1764" t="s">
        <v>1360</v>
      </c>
      <c r="J1764" t="s">
        <v>54</v>
      </c>
      <c r="K1764" t="s">
        <v>1360</v>
      </c>
      <c r="M1764" t="s">
        <v>6</v>
      </c>
    </row>
    <row r="1765" spans="2:13" hidden="1">
      <c r="B1765">
        <v>1763</v>
      </c>
      <c r="C1765">
        <v>167</v>
      </c>
      <c r="D1765">
        <v>13</v>
      </c>
      <c r="E1765">
        <v>1</v>
      </c>
      <c r="F1765">
        <v>0</v>
      </c>
      <c r="G1765" t="s">
        <v>1242</v>
      </c>
      <c r="H1765" t="s">
        <v>9</v>
      </c>
      <c r="I1765" t="s">
        <v>1360</v>
      </c>
      <c r="J1765" t="s">
        <v>55</v>
      </c>
      <c r="K1765" t="s">
        <v>1361</v>
      </c>
      <c r="M1765" t="s">
        <v>6</v>
      </c>
    </row>
    <row r="1766" spans="2:13" hidden="1">
      <c r="B1766">
        <v>1764</v>
      </c>
      <c r="C1766">
        <v>167</v>
      </c>
      <c r="D1766">
        <v>13</v>
      </c>
      <c r="E1766">
        <v>2</v>
      </c>
      <c r="F1766">
        <v>0</v>
      </c>
      <c r="G1766" t="s">
        <v>1242</v>
      </c>
      <c r="H1766" t="s">
        <v>9</v>
      </c>
      <c r="I1766" t="s">
        <v>1360</v>
      </c>
      <c r="J1766" t="s">
        <v>55</v>
      </c>
      <c r="K1766" t="s">
        <v>1362</v>
      </c>
      <c r="M1766" t="s">
        <v>6</v>
      </c>
    </row>
    <row r="1767" spans="2:13" hidden="1">
      <c r="B1767">
        <v>1765</v>
      </c>
      <c r="C1767">
        <v>167</v>
      </c>
      <c r="D1767">
        <v>13</v>
      </c>
      <c r="E1767">
        <v>3</v>
      </c>
      <c r="F1767">
        <v>0</v>
      </c>
      <c r="G1767" t="s">
        <v>1242</v>
      </c>
      <c r="H1767" t="s">
        <v>9</v>
      </c>
      <c r="I1767" t="s">
        <v>1360</v>
      </c>
      <c r="J1767" t="s">
        <v>55</v>
      </c>
      <c r="K1767" t="s">
        <v>1363</v>
      </c>
      <c r="M1767" t="s">
        <v>6</v>
      </c>
    </row>
    <row r="1768" spans="2:13" hidden="1">
      <c r="B1768">
        <v>1766</v>
      </c>
      <c r="C1768">
        <v>167</v>
      </c>
      <c r="D1768">
        <v>13</v>
      </c>
      <c r="E1768">
        <v>4</v>
      </c>
      <c r="F1768">
        <v>0</v>
      </c>
      <c r="G1768" t="s">
        <v>1242</v>
      </c>
      <c r="H1768" t="s">
        <v>9</v>
      </c>
      <c r="I1768" t="s">
        <v>1360</v>
      </c>
      <c r="J1768" t="s">
        <v>55</v>
      </c>
      <c r="K1768" t="s">
        <v>1364</v>
      </c>
      <c r="M1768" t="s">
        <v>6</v>
      </c>
    </row>
    <row r="1769" spans="2:13" hidden="1">
      <c r="B1769">
        <v>1767</v>
      </c>
      <c r="C1769">
        <v>167</v>
      </c>
      <c r="D1769">
        <v>13</v>
      </c>
      <c r="E1769">
        <v>5</v>
      </c>
      <c r="F1769">
        <v>0</v>
      </c>
      <c r="G1769" t="s">
        <v>1242</v>
      </c>
      <c r="H1769" t="s">
        <v>9</v>
      </c>
      <c r="I1769" t="s">
        <v>1360</v>
      </c>
      <c r="J1769" t="s">
        <v>55</v>
      </c>
      <c r="K1769" t="s">
        <v>1365</v>
      </c>
      <c r="M1769" t="s">
        <v>6</v>
      </c>
    </row>
    <row r="1770" spans="2:13" hidden="1">
      <c r="B1770">
        <v>1768</v>
      </c>
      <c r="C1770">
        <v>167</v>
      </c>
      <c r="D1770">
        <v>13</v>
      </c>
      <c r="E1770">
        <v>6</v>
      </c>
      <c r="F1770">
        <v>0</v>
      </c>
      <c r="G1770" t="s">
        <v>1242</v>
      </c>
      <c r="H1770" t="s">
        <v>9</v>
      </c>
      <c r="I1770" t="s">
        <v>1360</v>
      </c>
      <c r="J1770" t="s">
        <v>55</v>
      </c>
      <c r="K1770" t="s">
        <v>1366</v>
      </c>
      <c r="M1770" t="s">
        <v>6</v>
      </c>
    </row>
    <row r="1771" spans="2:13" hidden="1">
      <c r="B1771">
        <v>1769</v>
      </c>
      <c r="C1771">
        <v>167</v>
      </c>
      <c r="D1771">
        <v>13</v>
      </c>
      <c r="E1771">
        <v>7</v>
      </c>
      <c r="F1771">
        <v>0</v>
      </c>
      <c r="G1771" t="s">
        <v>1242</v>
      </c>
      <c r="H1771" t="s">
        <v>9</v>
      </c>
      <c r="I1771" t="s">
        <v>1360</v>
      </c>
      <c r="J1771" t="s">
        <v>55</v>
      </c>
      <c r="K1771" t="s">
        <v>1367</v>
      </c>
      <c r="M1771" t="s">
        <v>6</v>
      </c>
    </row>
    <row r="1772" spans="2:13" hidden="1">
      <c r="B1772">
        <v>1770</v>
      </c>
      <c r="C1772">
        <v>167</v>
      </c>
      <c r="D1772">
        <v>13</v>
      </c>
      <c r="E1772">
        <v>8</v>
      </c>
      <c r="F1772">
        <v>0</v>
      </c>
      <c r="G1772" t="s">
        <v>1242</v>
      </c>
      <c r="H1772" t="s">
        <v>9</v>
      </c>
      <c r="I1772" t="s">
        <v>1360</v>
      </c>
      <c r="J1772" t="s">
        <v>55</v>
      </c>
      <c r="K1772" t="s">
        <v>1368</v>
      </c>
      <c r="M1772" t="s">
        <v>6</v>
      </c>
    </row>
    <row r="1773" spans="2:13" hidden="1">
      <c r="B1773">
        <v>1771</v>
      </c>
      <c r="C1773">
        <v>167</v>
      </c>
      <c r="D1773">
        <v>13</v>
      </c>
      <c r="E1773">
        <v>9</v>
      </c>
      <c r="F1773">
        <v>0</v>
      </c>
      <c r="G1773" t="s">
        <v>1242</v>
      </c>
      <c r="H1773" t="s">
        <v>9</v>
      </c>
      <c r="I1773" t="s">
        <v>1360</v>
      </c>
      <c r="J1773" t="s">
        <v>55</v>
      </c>
      <c r="K1773" t="s">
        <v>1369</v>
      </c>
      <c r="M1773" t="s">
        <v>6</v>
      </c>
    </row>
    <row r="1774" spans="2:13" hidden="1">
      <c r="B1774">
        <v>1772</v>
      </c>
      <c r="C1774">
        <v>167</v>
      </c>
      <c r="D1774">
        <v>13</v>
      </c>
      <c r="E1774">
        <v>10</v>
      </c>
      <c r="F1774">
        <v>0</v>
      </c>
      <c r="G1774" t="s">
        <v>1242</v>
      </c>
      <c r="H1774" t="s">
        <v>9</v>
      </c>
      <c r="I1774" t="s">
        <v>1360</v>
      </c>
      <c r="J1774" t="s">
        <v>55</v>
      </c>
      <c r="K1774" t="s">
        <v>1370</v>
      </c>
      <c r="M1774" t="s">
        <v>6</v>
      </c>
    </row>
    <row r="1775" spans="2:13" hidden="1">
      <c r="B1775">
        <v>1773</v>
      </c>
      <c r="C1775">
        <v>167</v>
      </c>
      <c r="D1775">
        <v>13</v>
      </c>
      <c r="E1775">
        <v>11</v>
      </c>
      <c r="F1775">
        <v>0</v>
      </c>
      <c r="G1775" t="s">
        <v>1242</v>
      </c>
      <c r="H1775" t="s">
        <v>9</v>
      </c>
      <c r="I1775" t="s">
        <v>1360</v>
      </c>
      <c r="J1775" t="s">
        <v>55</v>
      </c>
      <c r="K1775" t="s">
        <v>1371</v>
      </c>
      <c r="M1775" t="s">
        <v>6</v>
      </c>
    </row>
    <row r="1776" spans="2:13" hidden="1">
      <c r="B1776">
        <v>1774</v>
      </c>
      <c r="C1776">
        <v>167</v>
      </c>
      <c r="D1776">
        <v>13</v>
      </c>
      <c r="E1776">
        <v>12</v>
      </c>
      <c r="F1776">
        <v>0</v>
      </c>
      <c r="G1776" t="s">
        <v>1242</v>
      </c>
      <c r="H1776" t="s">
        <v>9</v>
      </c>
      <c r="I1776" t="s">
        <v>1360</v>
      </c>
      <c r="J1776" t="s">
        <v>55</v>
      </c>
      <c r="K1776" t="s">
        <v>93</v>
      </c>
      <c r="M1776" t="s">
        <v>6</v>
      </c>
    </row>
    <row r="1777" spans="2:13" hidden="1">
      <c r="B1777">
        <v>1775</v>
      </c>
      <c r="C1777">
        <v>167</v>
      </c>
      <c r="D1777">
        <v>13</v>
      </c>
      <c r="E1777">
        <v>13</v>
      </c>
      <c r="F1777">
        <v>0</v>
      </c>
      <c r="G1777" t="s">
        <v>1242</v>
      </c>
      <c r="H1777" t="s">
        <v>9</v>
      </c>
      <c r="I1777" t="s">
        <v>1360</v>
      </c>
      <c r="J1777" t="s">
        <v>64</v>
      </c>
      <c r="K1777" t="s">
        <v>94</v>
      </c>
      <c r="M1777" t="s">
        <v>6</v>
      </c>
    </row>
    <row r="1778" spans="2:13" hidden="1">
      <c r="B1778">
        <v>1776</v>
      </c>
      <c r="C1778">
        <v>168</v>
      </c>
      <c r="D1778">
        <v>10</v>
      </c>
      <c r="E1778">
        <v>0</v>
      </c>
      <c r="F1778">
        <v>0</v>
      </c>
      <c r="G1778" t="s">
        <v>1242</v>
      </c>
      <c r="H1778" t="s">
        <v>9</v>
      </c>
      <c r="I1778" t="s">
        <v>1372</v>
      </c>
      <c r="J1778" t="s">
        <v>54</v>
      </c>
      <c r="K1778" t="s">
        <v>1372</v>
      </c>
      <c r="M1778" t="s">
        <v>6</v>
      </c>
    </row>
    <row r="1779" spans="2:13" hidden="1">
      <c r="B1779">
        <v>1777</v>
      </c>
      <c r="C1779">
        <v>168</v>
      </c>
      <c r="D1779">
        <v>10</v>
      </c>
      <c r="E1779">
        <v>1</v>
      </c>
      <c r="F1779">
        <v>0</v>
      </c>
      <c r="G1779" t="s">
        <v>1242</v>
      </c>
      <c r="H1779" t="s">
        <v>9</v>
      </c>
      <c r="I1779" t="s">
        <v>1372</v>
      </c>
      <c r="J1779" t="s">
        <v>55</v>
      </c>
      <c r="K1779" t="s">
        <v>1373</v>
      </c>
      <c r="M1779" t="s">
        <v>6</v>
      </c>
    </row>
    <row r="1780" spans="2:13" hidden="1">
      <c r="B1780">
        <v>1778</v>
      </c>
      <c r="C1780">
        <v>168</v>
      </c>
      <c r="D1780">
        <v>10</v>
      </c>
      <c r="E1780">
        <v>2</v>
      </c>
      <c r="F1780">
        <v>0</v>
      </c>
      <c r="G1780" t="s">
        <v>1242</v>
      </c>
      <c r="H1780" t="s">
        <v>9</v>
      </c>
      <c r="I1780" t="s">
        <v>1372</v>
      </c>
      <c r="J1780" t="s">
        <v>55</v>
      </c>
      <c r="K1780" t="s">
        <v>1374</v>
      </c>
      <c r="M1780" t="s">
        <v>6</v>
      </c>
    </row>
    <row r="1781" spans="2:13" hidden="1">
      <c r="B1781">
        <v>1779</v>
      </c>
      <c r="C1781">
        <v>168</v>
      </c>
      <c r="D1781">
        <v>10</v>
      </c>
      <c r="E1781">
        <v>3</v>
      </c>
      <c r="F1781">
        <v>0</v>
      </c>
      <c r="G1781" t="s">
        <v>1242</v>
      </c>
      <c r="H1781" t="s">
        <v>9</v>
      </c>
      <c r="I1781" t="s">
        <v>1372</v>
      </c>
      <c r="J1781" t="s">
        <v>55</v>
      </c>
      <c r="K1781" t="s">
        <v>1375</v>
      </c>
      <c r="M1781" t="s">
        <v>6</v>
      </c>
    </row>
    <row r="1782" spans="2:13" hidden="1">
      <c r="B1782">
        <v>1780</v>
      </c>
      <c r="C1782">
        <v>168</v>
      </c>
      <c r="D1782">
        <v>10</v>
      </c>
      <c r="E1782">
        <v>4</v>
      </c>
      <c r="F1782">
        <v>0</v>
      </c>
      <c r="G1782" t="s">
        <v>1242</v>
      </c>
      <c r="H1782" t="s">
        <v>9</v>
      </c>
      <c r="I1782" t="s">
        <v>1372</v>
      </c>
      <c r="J1782" t="s">
        <v>55</v>
      </c>
      <c r="K1782" t="s">
        <v>1376</v>
      </c>
      <c r="M1782" t="s">
        <v>6</v>
      </c>
    </row>
    <row r="1783" spans="2:13" hidden="1">
      <c r="B1783">
        <v>1781</v>
      </c>
      <c r="C1783">
        <v>168</v>
      </c>
      <c r="D1783">
        <v>10</v>
      </c>
      <c r="E1783">
        <v>5</v>
      </c>
      <c r="F1783">
        <v>0</v>
      </c>
      <c r="G1783" t="s">
        <v>1242</v>
      </c>
      <c r="H1783" t="s">
        <v>9</v>
      </c>
      <c r="I1783" t="s">
        <v>1372</v>
      </c>
      <c r="J1783" t="s">
        <v>55</v>
      </c>
      <c r="K1783" t="s">
        <v>1377</v>
      </c>
      <c r="M1783" t="s">
        <v>6</v>
      </c>
    </row>
    <row r="1784" spans="2:13" hidden="1">
      <c r="B1784">
        <v>1782</v>
      </c>
      <c r="C1784">
        <v>168</v>
      </c>
      <c r="D1784">
        <v>10</v>
      </c>
      <c r="E1784">
        <v>6</v>
      </c>
      <c r="F1784">
        <v>0</v>
      </c>
      <c r="G1784" t="s">
        <v>1242</v>
      </c>
      <c r="H1784" t="s">
        <v>9</v>
      </c>
      <c r="I1784" t="s">
        <v>1372</v>
      </c>
      <c r="J1784" t="s">
        <v>55</v>
      </c>
      <c r="K1784" t="s">
        <v>1378</v>
      </c>
      <c r="M1784" t="s">
        <v>6</v>
      </c>
    </row>
    <row r="1785" spans="2:13" hidden="1">
      <c r="B1785">
        <v>1783</v>
      </c>
      <c r="C1785">
        <v>168</v>
      </c>
      <c r="D1785">
        <v>10</v>
      </c>
      <c r="E1785">
        <v>7</v>
      </c>
      <c r="F1785">
        <v>0</v>
      </c>
      <c r="G1785" t="s">
        <v>1242</v>
      </c>
      <c r="H1785" t="s">
        <v>9</v>
      </c>
      <c r="I1785" t="s">
        <v>1372</v>
      </c>
      <c r="J1785" t="s">
        <v>55</v>
      </c>
      <c r="K1785" t="s">
        <v>1379</v>
      </c>
      <c r="M1785" t="s">
        <v>6</v>
      </c>
    </row>
    <row r="1786" spans="2:13" hidden="1">
      <c r="B1786">
        <v>1784</v>
      </c>
      <c r="C1786">
        <v>168</v>
      </c>
      <c r="D1786">
        <v>10</v>
      </c>
      <c r="E1786">
        <v>8</v>
      </c>
      <c r="F1786">
        <v>0</v>
      </c>
      <c r="G1786" t="s">
        <v>1242</v>
      </c>
      <c r="H1786" t="s">
        <v>9</v>
      </c>
      <c r="I1786" t="s">
        <v>1372</v>
      </c>
      <c r="J1786" t="s">
        <v>55</v>
      </c>
      <c r="K1786" t="s">
        <v>1246</v>
      </c>
      <c r="M1786" t="s">
        <v>6</v>
      </c>
    </row>
    <row r="1787" spans="2:13" hidden="1">
      <c r="B1787">
        <v>1785</v>
      </c>
      <c r="C1787">
        <v>168</v>
      </c>
      <c r="D1787">
        <v>10</v>
      </c>
      <c r="E1787">
        <v>9</v>
      </c>
      <c r="F1787">
        <v>0</v>
      </c>
      <c r="G1787" t="s">
        <v>1242</v>
      </c>
      <c r="H1787" t="s">
        <v>9</v>
      </c>
      <c r="I1787" t="s">
        <v>1372</v>
      </c>
      <c r="J1787" t="s">
        <v>55</v>
      </c>
      <c r="K1787" t="s">
        <v>93</v>
      </c>
      <c r="M1787" t="s">
        <v>6</v>
      </c>
    </row>
    <row r="1788" spans="2:13" hidden="1">
      <c r="B1788">
        <v>1786</v>
      </c>
      <c r="C1788">
        <v>168</v>
      </c>
      <c r="D1788">
        <v>10</v>
      </c>
      <c r="E1788">
        <v>10</v>
      </c>
      <c r="F1788">
        <v>0</v>
      </c>
      <c r="G1788" t="s">
        <v>1242</v>
      </c>
      <c r="H1788" t="s">
        <v>9</v>
      </c>
      <c r="I1788" t="s">
        <v>1372</v>
      </c>
      <c r="J1788" t="s">
        <v>64</v>
      </c>
      <c r="K1788" t="s">
        <v>94</v>
      </c>
      <c r="M1788" t="s">
        <v>6</v>
      </c>
    </row>
    <row r="1789" spans="2:13" hidden="1">
      <c r="B1789">
        <v>1787</v>
      </c>
      <c r="C1789">
        <v>169</v>
      </c>
      <c r="D1789">
        <v>18</v>
      </c>
      <c r="E1789">
        <v>0</v>
      </c>
      <c r="F1789">
        <v>0</v>
      </c>
      <c r="G1789" t="s">
        <v>1242</v>
      </c>
      <c r="H1789" t="s">
        <v>9</v>
      </c>
      <c r="I1789" t="s">
        <v>1380</v>
      </c>
      <c r="J1789" t="s">
        <v>478</v>
      </c>
      <c r="K1789" t="s">
        <v>1380</v>
      </c>
      <c r="M1789" t="s">
        <v>6</v>
      </c>
    </row>
    <row r="1790" spans="2:13" hidden="1">
      <c r="B1790">
        <v>1788</v>
      </c>
      <c r="C1790">
        <v>169</v>
      </c>
      <c r="D1790">
        <v>18</v>
      </c>
      <c r="E1790">
        <v>1</v>
      </c>
      <c r="F1790">
        <v>0</v>
      </c>
      <c r="G1790" t="s">
        <v>1242</v>
      </c>
      <c r="H1790" t="s">
        <v>9</v>
      </c>
      <c r="I1790" t="s">
        <v>1380</v>
      </c>
      <c r="J1790" t="s">
        <v>479</v>
      </c>
      <c r="K1790" t="s">
        <v>1381</v>
      </c>
      <c r="M1790" t="s">
        <v>6</v>
      </c>
    </row>
    <row r="1791" spans="2:13" hidden="1">
      <c r="B1791">
        <v>1789</v>
      </c>
      <c r="C1791">
        <v>169</v>
      </c>
      <c r="D1791">
        <v>18</v>
      </c>
      <c r="E1791">
        <v>2</v>
      </c>
      <c r="F1791">
        <v>0</v>
      </c>
      <c r="G1791" t="s">
        <v>1242</v>
      </c>
      <c r="H1791" t="s">
        <v>9</v>
      </c>
      <c r="I1791" t="s">
        <v>1380</v>
      </c>
      <c r="J1791" t="s">
        <v>55</v>
      </c>
      <c r="K1791" t="s">
        <v>1382</v>
      </c>
      <c r="M1791" t="s">
        <v>6</v>
      </c>
    </row>
    <row r="1792" spans="2:13" hidden="1">
      <c r="B1792">
        <v>1790</v>
      </c>
      <c r="C1792">
        <v>169</v>
      </c>
      <c r="D1792">
        <v>18</v>
      </c>
      <c r="E1792">
        <v>3</v>
      </c>
      <c r="F1792">
        <v>0</v>
      </c>
      <c r="G1792" t="s">
        <v>1242</v>
      </c>
      <c r="H1792" t="s">
        <v>9</v>
      </c>
      <c r="I1792" t="s">
        <v>1380</v>
      </c>
      <c r="J1792" t="s">
        <v>214</v>
      </c>
      <c r="K1792" t="s">
        <v>853</v>
      </c>
      <c r="M1792" t="s">
        <v>6</v>
      </c>
    </row>
    <row r="1793" spans="2:13" hidden="1">
      <c r="B1793">
        <v>1791</v>
      </c>
      <c r="C1793">
        <v>169</v>
      </c>
      <c r="D1793">
        <v>18</v>
      </c>
      <c r="E1793">
        <v>4</v>
      </c>
      <c r="F1793">
        <v>0</v>
      </c>
      <c r="G1793" t="s">
        <v>1242</v>
      </c>
      <c r="H1793" t="s">
        <v>9</v>
      </c>
      <c r="I1793" t="s">
        <v>1380</v>
      </c>
      <c r="J1793" t="s">
        <v>55</v>
      </c>
      <c r="K1793" t="s">
        <v>854</v>
      </c>
      <c r="M1793" t="s">
        <v>6</v>
      </c>
    </row>
    <row r="1794" spans="2:13" hidden="1">
      <c r="B1794">
        <v>1792</v>
      </c>
      <c r="C1794">
        <v>169</v>
      </c>
      <c r="D1794">
        <v>18</v>
      </c>
      <c r="E1794">
        <v>5</v>
      </c>
      <c r="F1794">
        <v>0</v>
      </c>
      <c r="G1794" t="s">
        <v>1242</v>
      </c>
      <c r="H1794" t="s">
        <v>9</v>
      </c>
      <c r="I1794" t="s">
        <v>1380</v>
      </c>
      <c r="J1794" t="s">
        <v>479</v>
      </c>
      <c r="K1794" t="s">
        <v>1383</v>
      </c>
      <c r="M1794" t="s">
        <v>6</v>
      </c>
    </row>
    <row r="1795" spans="2:13" hidden="1">
      <c r="B1795">
        <v>1793</v>
      </c>
      <c r="C1795">
        <v>169</v>
      </c>
      <c r="D1795">
        <v>18</v>
      </c>
      <c r="E1795">
        <v>6</v>
      </c>
      <c r="F1795">
        <v>0</v>
      </c>
      <c r="G1795" t="s">
        <v>1242</v>
      </c>
      <c r="H1795" t="s">
        <v>9</v>
      </c>
      <c r="I1795" t="s">
        <v>1380</v>
      </c>
      <c r="J1795" t="s">
        <v>55</v>
      </c>
      <c r="K1795" t="s">
        <v>1384</v>
      </c>
      <c r="M1795" t="s">
        <v>6</v>
      </c>
    </row>
    <row r="1796" spans="2:13" hidden="1">
      <c r="B1796">
        <v>1794</v>
      </c>
      <c r="C1796">
        <v>169</v>
      </c>
      <c r="D1796">
        <v>18</v>
      </c>
      <c r="E1796">
        <v>7</v>
      </c>
      <c r="F1796">
        <v>0</v>
      </c>
      <c r="G1796" t="s">
        <v>1242</v>
      </c>
      <c r="H1796" t="s">
        <v>9</v>
      </c>
      <c r="I1796" t="s">
        <v>1380</v>
      </c>
      <c r="J1796" t="s">
        <v>55</v>
      </c>
      <c r="K1796" t="s">
        <v>1385</v>
      </c>
      <c r="M1796" t="s">
        <v>6</v>
      </c>
    </row>
    <row r="1797" spans="2:13" hidden="1">
      <c r="B1797">
        <v>1795</v>
      </c>
      <c r="C1797">
        <v>169</v>
      </c>
      <c r="D1797">
        <v>18</v>
      </c>
      <c r="E1797">
        <v>8</v>
      </c>
      <c r="F1797">
        <v>0</v>
      </c>
      <c r="G1797" t="s">
        <v>1242</v>
      </c>
      <c r="H1797" t="s">
        <v>9</v>
      </c>
      <c r="I1797" t="s">
        <v>1380</v>
      </c>
      <c r="J1797" t="s">
        <v>55</v>
      </c>
      <c r="K1797" t="s">
        <v>1386</v>
      </c>
      <c r="M1797" t="s">
        <v>6</v>
      </c>
    </row>
    <row r="1798" spans="2:13" hidden="1">
      <c r="B1798">
        <v>1796</v>
      </c>
      <c r="C1798">
        <v>169</v>
      </c>
      <c r="D1798">
        <v>18</v>
      </c>
      <c r="E1798">
        <v>9</v>
      </c>
      <c r="F1798">
        <v>0</v>
      </c>
      <c r="G1798" t="s">
        <v>1242</v>
      </c>
      <c r="H1798" t="s">
        <v>9</v>
      </c>
      <c r="I1798" t="s">
        <v>1380</v>
      </c>
      <c r="J1798" t="s">
        <v>55</v>
      </c>
      <c r="K1798" t="s">
        <v>1387</v>
      </c>
      <c r="M1798" t="s">
        <v>6</v>
      </c>
    </row>
    <row r="1799" spans="2:13" hidden="1">
      <c r="B1799">
        <v>1797</v>
      </c>
      <c r="C1799">
        <v>169</v>
      </c>
      <c r="D1799">
        <v>18</v>
      </c>
      <c r="E1799">
        <v>10</v>
      </c>
      <c r="F1799">
        <v>0</v>
      </c>
      <c r="G1799" t="s">
        <v>1242</v>
      </c>
      <c r="H1799" t="s">
        <v>9</v>
      </c>
      <c r="I1799" t="s">
        <v>1380</v>
      </c>
      <c r="J1799" t="s">
        <v>55</v>
      </c>
      <c r="K1799" t="s">
        <v>1388</v>
      </c>
      <c r="M1799" t="s">
        <v>6</v>
      </c>
    </row>
    <row r="1800" spans="2:13" hidden="1">
      <c r="B1800">
        <v>1798</v>
      </c>
      <c r="C1800">
        <v>169</v>
      </c>
      <c r="D1800">
        <v>18</v>
      </c>
      <c r="E1800">
        <v>11</v>
      </c>
      <c r="F1800">
        <v>0</v>
      </c>
      <c r="G1800" t="s">
        <v>1242</v>
      </c>
      <c r="H1800" t="s">
        <v>9</v>
      </c>
      <c r="I1800" t="s">
        <v>1380</v>
      </c>
      <c r="J1800" t="s">
        <v>55</v>
      </c>
      <c r="K1800" t="s">
        <v>1389</v>
      </c>
      <c r="M1800" t="s">
        <v>6</v>
      </c>
    </row>
    <row r="1801" spans="2:13" hidden="1">
      <c r="B1801">
        <v>1799</v>
      </c>
      <c r="C1801">
        <v>169</v>
      </c>
      <c r="D1801">
        <v>18</v>
      </c>
      <c r="E1801">
        <v>12</v>
      </c>
      <c r="F1801">
        <v>0</v>
      </c>
      <c r="G1801" t="s">
        <v>1242</v>
      </c>
      <c r="H1801" t="s">
        <v>9</v>
      </c>
      <c r="I1801" t="s">
        <v>1380</v>
      </c>
      <c r="J1801" t="s">
        <v>1390</v>
      </c>
      <c r="K1801" t="s">
        <v>1391</v>
      </c>
      <c r="M1801" t="s">
        <v>6</v>
      </c>
    </row>
    <row r="1802" spans="2:13" hidden="1">
      <c r="B1802">
        <v>1800</v>
      </c>
      <c r="C1802">
        <v>169</v>
      </c>
      <c r="D1802">
        <v>18</v>
      </c>
      <c r="E1802">
        <v>13</v>
      </c>
      <c r="F1802">
        <v>0</v>
      </c>
      <c r="G1802" t="s">
        <v>1242</v>
      </c>
      <c r="H1802" t="s">
        <v>9</v>
      </c>
      <c r="I1802" t="s">
        <v>1380</v>
      </c>
      <c r="J1802" t="s">
        <v>55</v>
      </c>
      <c r="K1802" t="s">
        <v>1392</v>
      </c>
      <c r="M1802" t="s">
        <v>6</v>
      </c>
    </row>
    <row r="1803" spans="2:13" hidden="1">
      <c r="B1803">
        <v>1801</v>
      </c>
      <c r="C1803">
        <v>169</v>
      </c>
      <c r="D1803">
        <v>18</v>
      </c>
      <c r="E1803">
        <v>14</v>
      </c>
      <c r="F1803">
        <v>0</v>
      </c>
      <c r="G1803" t="s">
        <v>1242</v>
      </c>
      <c r="H1803" t="s">
        <v>9</v>
      </c>
      <c r="I1803" t="s">
        <v>1380</v>
      </c>
      <c r="J1803" t="s">
        <v>55</v>
      </c>
      <c r="K1803" t="s">
        <v>1393</v>
      </c>
      <c r="M1803" t="s">
        <v>6</v>
      </c>
    </row>
    <row r="1804" spans="2:13" hidden="1">
      <c r="B1804">
        <v>1802</v>
      </c>
      <c r="C1804">
        <v>169</v>
      </c>
      <c r="D1804">
        <v>18</v>
      </c>
      <c r="E1804">
        <v>15</v>
      </c>
      <c r="F1804">
        <v>0</v>
      </c>
      <c r="G1804" t="s">
        <v>1242</v>
      </c>
      <c r="H1804" t="s">
        <v>9</v>
      </c>
      <c r="I1804" t="s">
        <v>1380</v>
      </c>
      <c r="J1804" t="s">
        <v>55</v>
      </c>
      <c r="K1804" t="s">
        <v>1394</v>
      </c>
      <c r="M1804" t="s">
        <v>6</v>
      </c>
    </row>
    <row r="1805" spans="2:13" hidden="1">
      <c r="B1805">
        <v>1803</v>
      </c>
      <c r="C1805">
        <v>169</v>
      </c>
      <c r="D1805">
        <v>18</v>
      </c>
      <c r="E1805">
        <v>16</v>
      </c>
      <c r="F1805">
        <v>0</v>
      </c>
      <c r="G1805" t="s">
        <v>1242</v>
      </c>
      <c r="H1805" t="s">
        <v>9</v>
      </c>
      <c r="I1805" t="s">
        <v>1380</v>
      </c>
      <c r="J1805" t="s">
        <v>64</v>
      </c>
      <c r="K1805" t="s">
        <v>772</v>
      </c>
      <c r="M1805" t="s">
        <v>6</v>
      </c>
    </row>
    <row r="1806" spans="2:13" hidden="1">
      <c r="B1806">
        <v>1804</v>
      </c>
      <c r="C1806">
        <v>169</v>
      </c>
      <c r="D1806">
        <v>18</v>
      </c>
      <c r="E1806">
        <v>17</v>
      </c>
      <c r="F1806">
        <v>0</v>
      </c>
      <c r="G1806" t="s">
        <v>1242</v>
      </c>
      <c r="H1806" t="s">
        <v>9</v>
      </c>
      <c r="I1806" t="s">
        <v>1380</v>
      </c>
      <c r="J1806" t="s">
        <v>55</v>
      </c>
      <c r="K1806" t="s">
        <v>93</v>
      </c>
      <c r="M1806" t="s">
        <v>6</v>
      </c>
    </row>
    <row r="1807" spans="2:13" hidden="1">
      <c r="B1807">
        <v>1805</v>
      </c>
      <c r="C1807">
        <v>169</v>
      </c>
      <c r="D1807">
        <v>18</v>
      </c>
      <c r="E1807">
        <v>18</v>
      </c>
      <c r="F1807">
        <v>0</v>
      </c>
      <c r="G1807" t="s">
        <v>1242</v>
      </c>
      <c r="H1807" t="s">
        <v>9</v>
      </c>
      <c r="I1807" t="s">
        <v>1380</v>
      </c>
      <c r="J1807" t="s">
        <v>64</v>
      </c>
      <c r="K1807" t="s">
        <v>94</v>
      </c>
      <c r="M1807" t="s">
        <v>6</v>
      </c>
    </row>
    <row r="1808" spans="2:13" hidden="1">
      <c r="B1808">
        <v>1806</v>
      </c>
      <c r="C1808">
        <v>170</v>
      </c>
      <c r="D1808">
        <v>4</v>
      </c>
      <c r="E1808">
        <v>0</v>
      </c>
      <c r="F1808">
        <v>0</v>
      </c>
      <c r="G1808" t="s">
        <v>32</v>
      </c>
      <c r="H1808" t="s">
        <v>52</v>
      </c>
      <c r="I1808" t="s">
        <v>1395</v>
      </c>
      <c r="J1808" t="s">
        <v>54</v>
      </c>
      <c r="K1808" t="s">
        <v>1395</v>
      </c>
      <c r="M1808" t="s">
        <v>6</v>
      </c>
    </row>
    <row r="1809" spans="2:13" hidden="1">
      <c r="B1809">
        <v>1807</v>
      </c>
      <c r="C1809">
        <v>170</v>
      </c>
      <c r="D1809">
        <v>4</v>
      </c>
      <c r="E1809">
        <v>1</v>
      </c>
      <c r="F1809">
        <v>0</v>
      </c>
      <c r="G1809" t="s">
        <v>32</v>
      </c>
      <c r="H1809" t="s">
        <v>52</v>
      </c>
      <c r="I1809" t="s">
        <v>1395</v>
      </c>
      <c r="J1809" t="s">
        <v>55</v>
      </c>
      <c r="K1809" t="s">
        <v>62</v>
      </c>
      <c r="M1809" t="s">
        <v>6</v>
      </c>
    </row>
    <row r="1810" spans="2:13" hidden="1">
      <c r="B1810">
        <v>1808</v>
      </c>
      <c r="C1810">
        <v>170</v>
      </c>
      <c r="D1810">
        <v>4</v>
      </c>
      <c r="E1810">
        <v>2</v>
      </c>
      <c r="F1810">
        <v>0</v>
      </c>
      <c r="G1810" t="s">
        <v>32</v>
      </c>
      <c r="H1810" t="s">
        <v>52</v>
      </c>
      <c r="I1810" t="s">
        <v>1395</v>
      </c>
      <c r="J1810" t="s">
        <v>55</v>
      </c>
      <c r="K1810" t="s">
        <v>63</v>
      </c>
      <c r="M1810" t="s">
        <v>6</v>
      </c>
    </row>
    <row r="1811" spans="2:13" hidden="1">
      <c r="B1811">
        <v>1809</v>
      </c>
      <c r="C1811">
        <v>170</v>
      </c>
      <c r="D1811">
        <v>4</v>
      </c>
      <c r="E1811">
        <v>3</v>
      </c>
      <c r="F1811">
        <v>0</v>
      </c>
      <c r="G1811" t="s">
        <v>32</v>
      </c>
      <c r="H1811" t="s">
        <v>52</v>
      </c>
      <c r="I1811" t="s">
        <v>1395</v>
      </c>
      <c r="J1811" t="s">
        <v>64</v>
      </c>
      <c r="K1811" t="s">
        <v>65</v>
      </c>
      <c r="M1811" t="s">
        <v>6</v>
      </c>
    </row>
    <row r="1812" spans="2:13" hidden="1">
      <c r="B1812">
        <v>1810</v>
      </c>
      <c r="C1812">
        <v>170</v>
      </c>
      <c r="D1812">
        <v>4</v>
      </c>
      <c r="E1812">
        <v>4</v>
      </c>
      <c r="F1812">
        <v>0</v>
      </c>
      <c r="G1812" t="s">
        <v>32</v>
      </c>
      <c r="H1812" t="s">
        <v>52</v>
      </c>
      <c r="I1812" t="s">
        <v>1395</v>
      </c>
      <c r="J1812" t="s">
        <v>55</v>
      </c>
      <c r="K1812" t="s">
        <v>660</v>
      </c>
      <c r="M1812" t="s">
        <v>6</v>
      </c>
    </row>
    <row r="1813" spans="2:13" hidden="1">
      <c r="B1813">
        <v>1811</v>
      </c>
      <c r="C1813">
        <v>171</v>
      </c>
      <c r="D1813">
        <v>27</v>
      </c>
      <c r="E1813">
        <v>0</v>
      </c>
      <c r="F1813">
        <v>0</v>
      </c>
      <c r="G1813" t="s">
        <v>32</v>
      </c>
      <c r="H1813" t="s">
        <v>9</v>
      </c>
      <c r="I1813" t="s">
        <v>1396</v>
      </c>
      <c r="J1813" t="s">
        <v>478</v>
      </c>
      <c r="K1813" t="s">
        <v>1396</v>
      </c>
      <c r="M1813" t="s">
        <v>6</v>
      </c>
    </row>
    <row r="1814" spans="2:13" hidden="1">
      <c r="B1814">
        <v>1812</v>
      </c>
      <c r="C1814">
        <v>171</v>
      </c>
      <c r="D1814">
        <v>27</v>
      </c>
      <c r="E1814">
        <v>1</v>
      </c>
      <c r="F1814">
        <v>0</v>
      </c>
      <c r="G1814" t="s">
        <v>32</v>
      </c>
      <c r="H1814" t="s">
        <v>9</v>
      </c>
      <c r="I1814" t="s">
        <v>1396</v>
      </c>
      <c r="J1814" t="s">
        <v>479</v>
      </c>
      <c r="K1814" t="s">
        <v>1397</v>
      </c>
      <c r="M1814" t="s">
        <v>6</v>
      </c>
    </row>
    <row r="1815" spans="2:13" hidden="1">
      <c r="B1815">
        <v>1813</v>
      </c>
      <c r="C1815">
        <v>171</v>
      </c>
      <c r="D1815">
        <v>27</v>
      </c>
      <c r="E1815">
        <v>2</v>
      </c>
      <c r="F1815">
        <v>0</v>
      </c>
      <c r="G1815" t="s">
        <v>32</v>
      </c>
      <c r="H1815" t="s">
        <v>9</v>
      </c>
      <c r="I1815" t="s">
        <v>1396</v>
      </c>
      <c r="J1815" t="s">
        <v>55</v>
      </c>
      <c r="K1815" t="s">
        <v>1398</v>
      </c>
      <c r="M1815" t="s">
        <v>6</v>
      </c>
    </row>
    <row r="1816" spans="2:13" hidden="1">
      <c r="B1816">
        <v>1814</v>
      </c>
      <c r="C1816">
        <v>171</v>
      </c>
      <c r="D1816">
        <v>27</v>
      </c>
      <c r="E1816">
        <v>3</v>
      </c>
      <c r="F1816">
        <v>0</v>
      </c>
      <c r="G1816" t="s">
        <v>32</v>
      </c>
      <c r="H1816" t="s">
        <v>9</v>
      </c>
      <c r="I1816" t="s">
        <v>1396</v>
      </c>
      <c r="J1816" t="s">
        <v>55</v>
      </c>
      <c r="K1816" t="s">
        <v>1399</v>
      </c>
      <c r="M1816" t="s">
        <v>6</v>
      </c>
    </row>
    <row r="1817" spans="2:13" hidden="1">
      <c r="B1817">
        <v>1815</v>
      </c>
      <c r="C1817">
        <v>171</v>
      </c>
      <c r="D1817">
        <v>27</v>
      </c>
      <c r="E1817">
        <v>4</v>
      </c>
      <c r="F1817">
        <v>0</v>
      </c>
      <c r="G1817" t="s">
        <v>32</v>
      </c>
      <c r="H1817" t="s">
        <v>9</v>
      </c>
      <c r="I1817" t="s">
        <v>1396</v>
      </c>
      <c r="J1817" t="s">
        <v>55</v>
      </c>
      <c r="K1817" t="s">
        <v>1400</v>
      </c>
      <c r="M1817" t="s">
        <v>6</v>
      </c>
    </row>
    <row r="1818" spans="2:13" hidden="1">
      <c r="B1818">
        <v>1816</v>
      </c>
      <c r="C1818">
        <v>171</v>
      </c>
      <c r="D1818">
        <v>27</v>
      </c>
      <c r="E1818">
        <v>5</v>
      </c>
      <c r="F1818">
        <v>0</v>
      </c>
      <c r="G1818" t="s">
        <v>32</v>
      </c>
      <c r="H1818" t="s">
        <v>9</v>
      </c>
      <c r="I1818" t="s">
        <v>1396</v>
      </c>
      <c r="J1818" t="s">
        <v>55</v>
      </c>
      <c r="K1818" t="s">
        <v>1401</v>
      </c>
      <c r="M1818" t="s">
        <v>6</v>
      </c>
    </row>
    <row r="1819" spans="2:13" hidden="1">
      <c r="B1819">
        <v>1817</v>
      </c>
      <c r="C1819">
        <v>171</v>
      </c>
      <c r="D1819">
        <v>27</v>
      </c>
      <c r="E1819">
        <v>6</v>
      </c>
      <c r="F1819">
        <v>0</v>
      </c>
      <c r="G1819" t="s">
        <v>32</v>
      </c>
      <c r="H1819" t="s">
        <v>9</v>
      </c>
      <c r="I1819" t="s">
        <v>1396</v>
      </c>
      <c r="J1819" t="s">
        <v>479</v>
      </c>
      <c r="K1819" t="s">
        <v>1402</v>
      </c>
      <c r="M1819" t="s">
        <v>6</v>
      </c>
    </row>
    <row r="1820" spans="2:13" hidden="1">
      <c r="B1820">
        <v>1818</v>
      </c>
      <c r="C1820">
        <v>171</v>
      </c>
      <c r="D1820">
        <v>27</v>
      </c>
      <c r="E1820">
        <v>7</v>
      </c>
      <c r="F1820">
        <v>0</v>
      </c>
      <c r="G1820" t="s">
        <v>32</v>
      </c>
      <c r="H1820" t="s">
        <v>9</v>
      </c>
      <c r="I1820" t="s">
        <v>1396</v>
      </c>
      <c r="J1820" t="s">
        <v>55</v>
      </c>
      <c r="K1820" t="s">
        <v>1403</v>
      </c>
      <c r="M1820" t="s">
        <v>6</v>
      </c>
    </row>
    <row r="1821" spans="2:13" hidden="1">
      <c r="B1821">
        <v>1819</v>
      </c>
      <c r="C1821">
        <v>171</v>
      </c>
      <c r="D1821">
        <v>27</v>
      </c>
      <c r="E1821">
        <v>8</v>
      </c>
      <c r="F1821">
        <v>0</v>
      </c>
      <c r="G1821" t="s">
        <v>32</v>
      </c>
      <c r="H1821" t="s">
        <v>9</v>
      </c>
      <c r="I1821" t="s">
        <v>1396</v>
      </c>
      <c r="J1821" t="s">
        <v>55</v>
      </c>
      <c r="K1821" t="s">
        <v>1404</v>
      </c>
      <c r="M1821" t="s">
        <v>6</v>
      </c>
    </row>
    <row r="1822" spans="2:13" hidden="1">
      <c r="B1822">
        <v>1820</v>
      </c>
      <c r="C1822">
        <v>171</v>
      </c>
      <c r="D1822">
        <v>27</v>
      </c>
      <c r="E1822">
        <v>9</v>
      </c>
      <c r="F1822">
        <v>0</v>
      </c>
      <c r="G1822" t="s">
        <v>32</v>
      </c>
      <c r="H1822" t="s">
        <v>9</v>
      </c>
      <c r="I1822" t="s">
        <v>1396</v>
      </c>
      <c r="J1822" t="s">
        <v>55</v>
      </c>
      <c r="K1822" t="s">
        <v>1277</v>
      </c>
      <c r="M1822" t="s">
        <v>6</v>
      </c>
    </row>
    <row r="1823" spans="2:13" hidden="1">
      <c r="B1823">
        <v>1821</v>
      </c>
      <c r="C1823">
        <v>171</v>
      </c>
      <c r="D1823">
        <v>27</v>
      </c>
      <c r="E1823">
        <v>10</v>
      </c>
      <c r="F1823">
        <v>0</v>
      </c>
      <c r="G1823" t="s">
        <v>32</v>
      </c>
      <c r="H1823" t="s">
        <v>9</v>
      </c>
      <c r="I1823" t="s">
        <v>1396</v>
      </c>
      <c r="J1823" t="s">
        <v>55</v>
      </c>
      <c r="K1823" t="s">
        <v>1405</v>
      </c>
      <c r="M1823" t="s">
        <v>6</v>
      </c>
    </row>
    <row r="1824" spans="2:13" hidden="1">
      <c r="B1824">
        <v>1822</v>
      </c>
      <c r="C1824">
        <v>171</v>
      </c>
      <c r="D1824">
        <v>27</v>
      </c>
      <c r="E1824">
        <v>11</v>
      </c>
      <c r="F1824">
        <v>0</v>
      </c>
      <c r="G1824" t="s">
        <v>32</v>
      </c>
      <c r="H1824" t="s">
        <v>9</v>
      </c>
      <c r="I1824" t="s">
        <v>1396</v>
      </c>
      <c r="J1824" t="s">
        <v>55</v>
      </c>
      <c r="K1824" t="s">
        <v>1406</v>
      </c>
      <c r="M1824" t="s">
        <v>6</v>
      </c>
    </row>
    <row r="1825" spans="2:13" hidden="1">
      <c r="B1825">
        <v>1823</v>
      </c>
      <c r="C1825">
        <v>171</v>
      </c>
      <c r="D1825">
        <v>27</v>
      </c>
      <c r="E1825">
        <v>12</v>
      </c>
      <c r="F1825">
        <v>0</v>
      </c>
      <c r="G1825" t="s">
        <v>32</v>
      </c>
      <c r="H1825" t="s">
        <v>9</v>
      </c>
      <c r="I1825" t="s">
        <v>1396</v>
      </c>
      <c r="J1825" t="s">
        <v>55</v>
      </c>
      <c r="K1825" t="s">
        <v>1407</v>
      </c>
      <c r="M1825" t="s">
        <v>6</v>
      </c>
    </row>
    <row r="1826" spans="2:13" hidden="1">
      <c r="B1826">
        <v>1824</v>
      </c>
      <c r="C1826">
        <v>171</v>
      </c>
      <c r="D1826">
        <v>27</v>
      </c>
      <c r="E1826">
        <v>13</v>
      </c>
      <c r="F1826">
        <v>0</v>
      </c>
      <c r="G1826" t="s">
        <v>32</v>
      </c>
      <c r="H1826" t="s">
        <v>9</v>
      </c>
      <c r="I1826" t="s">
        <v>1396</v>
      </c>
      <c r="J1826" t="s">
        <v>479</v>
      </c>
      <c r="K1826" t="s">
        <v>1408</v>
      </c>
      <c r="M1826" t="s">
        <v>6</v>
      </c>
    </row>
    <row r="1827" spans="2:13" hidden="1">
      <c r="B1827">
        <v>1825</v>
      </c>
      <c r="C1827">
        <v>171</v>
      </c>
      <c r="D1827">
        <v>27</v>
      </c>
      <c r="E1827">
        <v>14</v>
      </c>
      <c r="F1827">
        <v>0</v>
      </c>
      <c r="G1827" t="s">
        <v>32</v>
      </c>
      <c r="H1827" t="s">
        <v>9</v>
      </c>
      <c r="I1827" t="s">
        <v>1396</v>
      </c>
      <c r="J1827" t="s">
        <v>55</v>
      </c>
      <c r="K1827" t="s">
        <v>1409</v>
      </c>
      <c r="M1827" t="s">
        <v>6</v>
      </c>
    </row>
    <row r="1828" spans="2:13" hidden="1">
      <c r="B1828">
        <v>1826</v>
      </c>
      <c r="C1828">
        <v>171</v>
      </c>
      <c r="D1828">
        <v>27</v>
      </c>
      <c r="E1828">
        <v>15</v>
      </c>
      <c r="F1828">
        <v>0</v>
      </c>
      <c r="G1828" t="s">
        <v>32</v>
      </c>
      <c r="H1828" t="s">
        <v>9</v>
      </c>
      <c r="I1828" t="s">
        <v>1396</v>
      </c>
      <c r="J1828" t="s">
        <v>55</v>
      </c>
      <c r="K1828" t="s">
        <v>1410</v>
      </c>
      <c r="M1828" t="s">
        <v>6</v>
      </c>
    </row>
    <row r="1829" spans="2:13" hidden="1">
      <c r="B1829">
        <v>1827</v>
      </c>
      <c r="C1829">
        <v>171</v>
      </c>
      <c r="D1829">
        <v>27</v>
      </c>
      <c r="E1829">
        <v>16</v>
      </c>
      <c r="F1829">
        <v>0</v>
      </c>
      <c r="G1829" t="s">
        <v>32</v>
      </c>
      <c r="H1829" t="s">
        <v>9</v>
      </c>
      <c r="I1829" t="s">
        <v>1396</v>
      </c>
      <c r="J1829" t="s">
        <v>55</v>
      </c>
      <c r="K1829" t="s">
        <v>1411</v>
      </c>
      <c r="M1829" t="s">
        <v>6</v>
      </c>
    </row>
    <row r="1830" spans="2:13" hidden="1">
      <c r="B1830">
        <v>1828</v>
      </c>
      <c r="C1830">
        <v>171</v>
      </c>
      <c r="D1830">
        <v>27</v>
      </c>
      <c r="E1830">
        <v>17</v>
      </c>
      <c r="F1830">
        <v>0</v>
      </c>
      <c r="G1830" t="s">
        <v>32</v>
      </c>
      <c r="H1830" t="s">
        <v>9</v>
      </c>
      <c r="I1830" t="s">
        <v>1396</v>
      </c>
      <c r="J1830" t="s">
        <v>55</v>
      </c>
      <c r="K1830" t="s">
        <v>1412</v>
      </c>
      <c r="M1830" t="s">
        <v>6</v>
      </c>
    </row>
    <row r="1831" spans="2:13" hidden="1">
      <c r="B1831">
        <v>1829</v>
      </c>
      <c r="C1831">
        <v>171</v>
      </c>
      <c r="D1831">
        <v>27</v>
      </c>
      <c r="E1831">
        <v>18</v>
      </c>
      <c r="F1831">
        <v>0</v>
      </c>
      <c r="G1831" t="s">
        <v>32</v>
      </c>
      <c r="H1831" t="s">
        <v>9</v>
      </c>
      <c r="I1831" t="s">
        <v>1396</v>
      </c>
      <c r="J1831" t="s">
        <v>55</v>
      </c>
      <c r="K1831" t="s">
        <v>1413</v>
      </c>
      <c r="M1831" t="s">
        <v>6</v>
      </c>
    </row>
    <row r="1832" spans="2:13" hidden="1">
      <c r="B1832">
        <v>1830</v>
      </c>
      <c r="C1832">
        <v>171</v>
      </c>
      <c r="D1832">
        <v>27</v>
      </c>
      <c r="E1832">
        <v>19</v>
      </c>
      <c r="F1832">
        <v>0</v>
      </c>
      <c r="G1832" t="s">
        <v>32</v>
      </c>
      <c r="H1832" t="s">
        <v>9</v>
      </c>
      <c r="I1832" t="s">
        <v>1396</v>
      </c>
      <c r="J1832" t="s">
        <v>55</v>
      </c>
      <c r="K1832" t="s">
        <v>1414</v>
      </c>
      <c r="M1832" t="s">
        <v>6</v>
      </c>
    </row>
    <row r="1833" spans="2:13" hidden="1">
      <c r="B1833">
        <v>1831</v>
      </c>
      <c r="C1833">
        <v>171</v>
      </c>
      <c r="D1833">
        <v>27</v>
      </c>
      <c r="E1833">
        <v>20</v>
      </c>
      <c r="F1833">
        <v>0</v>
      </c>
      <c r="G1833" t="s">
        <v>32</v>
      </c>
      <c r="H1833" t="s">
        <v>9</v>
      </c>
      <c r="I1833" t="s">
        <v>1396</v>
      </c>
      <c r="J1833" t="s">
        <v>55</v>
      </c>
      <c r="K1833" t="s">
        <v>1415</v>
      </c>
      <c r="M1833" t="s">
        <v>6</v>
      </c>
    </row>
    <row r="1834" spans="2:13" hidden="1">
      <c r="B1834">
        <v>1832</v>
      </c>
      <c r="C1834">
        <v>171</v>
      </c>
      <c r="D1834">
        <v>27</v>
      </c>
      <c r="E1834">
        <v>21</v>
      </c>
      <c r="F1834">
        <v>0</v>
      </c>
      <c r="G1834" t="s">
        <v>32</v>
      </c>
      <c r="H1834" t="s">
        <v>9</v>
      </c>
      <c r="I1834" t="s">
        <v>1396</v>
      </c>
      <c r="J1834" t="s">
        <v>479</v>
      </c>
      <c r="K1834" t="s">
        <v>1416</v>
      </c>
      <c r="M1834" t="s">
        <v>6</v>
      </c>
    </row>
    <row r="1835" spans="2:13" hidden="1">
      <c r="B1835">
        <v>1833</v>
      </c>
      <c r="C1835">
        <v>171</v>
      </c>
      <c r="D1835">
        <v>27</v>
      </c>
      <c r="E1835">
        <v>22</v>
      </c>
      <c r="F1835">
        <v>0</v>
      </c>
      <c r="G1835" t="s">
        <v>32</v>
      </c>
      <c r="H1835" t="s">
        <v>9</v>
      </c>
      <c r="I1835" t="s">
        <v>1396</v>
      </c>
      <c r="J1835" t="s">
        <v>55</v>
      </c>
      <c r="K1835" t="s">
        <v>1417</v>
      </c>
      <c r="M1835" t="s">
        <v>6</v>
      </c>
    </row>
    <row r="1836" spans="2:13" hidden="1">
      <c r="B1836">
        <v>1834</v>
      </c>
      <c r="C1836">
        <v>171</v>
      </c>
      <c r="D1836">
        <v>27</v>
      </c>
      <c r="E1836">
        <v>23</v>
      </c>
      <c r="F1836">
        <v>0</v>
      </c>
      <c r="G1836" t="s">
        <v>32</v>
      </c>
      <c r="H1836" t="s">
        <v>9</v>
      </c>
      <c r="I1836" t="s">
        <v>1396</v>
      </c>
      <c r="J1836" t="s">
        <v>55</v>
      </c>
      <c r="K1836" t="s">
        <v>1418</v>
      </c>
      <c r="M1836" t="s">
        <v>6</v>
      </c>
    </row>
    <row r="1837" spans="2:13" hidden="1">
      <c r="B1837">
        <v>1835</v>
      </c>
      <c r="C1837">
        <v>171</v>
      </c>
      <c r="D1837">
        <v>27</v>
      </c>
      <c r="E1837">
        <v>24</v>
      </c>
      <c r="F1837">
        <v>0</v>
      </c>
      <c r="G1837" t="s">
        <v>32</v>
      </c>
      <c r="H1837" t="s">
        <v>9</v>
      </c>
      <c r="I1837" t="s">
        <v>1396</v>
      </c>
      <c r="J1837" t="s">
        <v>55</v>
      </c>
      <c r="K1837" t="s">
        <v>1419</v>
      </c>
      <c r="M1837" t="s">
        <v>6</v>
      </c>
    </row>
    <row r="1838" spans="2:13" hidden="1">
      <c r="B1838">
        <v>1836</v>
      </c>
      <c r="C1838">
        <v>171</v>
      </c>
      <c r="D1838">
        <v>27</v>
      </c>
      <c r="E1838">
        <v>25</v>
      </c>
      <c r="F1838">
        <v>0</v>
      </c>
      <c r="G1838" t="s">
        <v>32</v>
      </c>
      <c r="H1838" t="s">
        <v>9</v>
      </c>
      <c r="I1838" t="s">
        <v>1396</v>
      </c>
      <c r="J1838" t="s">
        <v>55</v>
      </c>
      <c r="K1838" t="s">
        <v>1420</v>
      </c>
      <c r="M1838" t="s">
        <v>6</v>
      </c>
    </row>
    <row r="1839" spans="2:13" hidden="1">
      <c r="B1839">
        <v>1837</v>
      </c>
      <c r="C1839">
        <v>171</v>
      </c>
      <c r="D1839">
        <v>27</v>
      </c>
      <c r="E1839">
        <v>26</v>
      </c>
      <c r="F1839">
        <v>0</v>
      </c>
      <c r="G1839" t="s">
        <v>32</v>
      </c>
      <c r="H1839" t="s">
        <v>9</v>
      </c>
      <c r="I1839" t="s">
        <v>1396</v>
      </c>
      <c r="J1839" t="s">
        <v>55</v>
      </c>
      <c r="K1839" t="s">
        <v>93</v>
      </c>
      <c r="M1839" t="s">
        <v>6</v>
      </c>
    </row>
    <row r="1840" spans="2:13" hidden="1">
      <c r="B1840">
        <v>1838</v>
      </c>
      <c r="C1840">
        <v>171</v>
      </c>
      <c r="D1840">
        <v>27</v>
      </c>
      <c r="E1840">
        <v>27</v>
      </c>
      <c r="F1840">
        <v>0</v>
      </c>
      <c r="G1840" t="s">
        <v>32</v>
      </c>
      <c r="H1840" t="s">
        <v>9</v>
      </c>
      <c r="I1840" t="s">
        <v>1396</v>
      </c>
      <c r="J1840" t="s">
        <v>64</v>
      </c>
      <c r="K1840" t="s">
        <v>94</v>
      </c>
      <c r="M1840" t="s">
        <v>6</v>
      </c>
    </row>
    <row r="1841" spans="2:13" hidden="1">
      <c r="B1841">
        <v>1839</v>
      </c>
      <c r="C1841">
        <v>172</v>
      </c>
      <c r="D1841">
        <v>21</v>
      </c>
      <c r="E1841">
        <v>0</v>
      </c>
      <c r="F1841">
        <v>0</v>
      </c>
      <c r="G1841" t="s">
        <v>32</v>
      </c>
      <c r="H1841" t="s">
        <v>9</v>
      </c>
      <c r="I1841" t="s">
        <v>1421</v>
      </c>
      <c r="J1841" t="s">
        <v>478</v>
      </c>
      <c r="K1841" t="s">
        <v>1421</v>
      </c>
      <c r="M1841" t="s">
        <v>6</v>
      </c>
    </row>
    <row r="1842" spans="2:13" hidden="1">
      <c r="B1842">
        <v>1840</v>
      </c>
      <c r="C1842">
        <v>172</v>
      </c>
      <c r="D1842">
        <v>21</v>
      </c>
      <c r="E1842">
        <v>1</v>
      </c>
      <c r="F1842">
        <v>0</v>
      </c>
      <c r="G1842" t="s">
        <v>32</v>
      </c>
      <c r="H1842" t="s">
        <v>9</v>
      </c>
      <c r="I1842" t="s">
        <v>1421</v>
      </c>
      <c r="J1842" t="s">
        <v>479</v>
      </c>
      <c r="K1842" t="s">
        <v>1402</v>
      </c>
      <c r="M1842" t="s">
        <v>6</v>
      </c>
    </row>
    <row r="1843" spans="2:13" hidden="1">
      <c r="B1843">
        <v>1841</v>
      </c>
      <c r="C1843">
        <v>172</v>
      </c>
      <c r="D1843">
        <v>21</v>
      </c>
      <c r="E1843">
        <v>2</v>
      </c>
      <c r="F1843">
        <v>0</v>
      </c>
      <c r="G1843" t="s">
        <v>32</v>
      </c>
      <c r="H1843" t="s">
        <v>9</v>
      </c>
      <c r="I1843" t="s">
        <v>1421</v>
      </c>
      <c r="J1843" t="s">
        <v>55</v>
      </c>
      <c r="K1843" t="s">
        <v>1422</v>
      </c>
      <c r="M1843" t="s">
        <v>6</v>
      </c>
    </row>
    <row r="1844" spans="2:13" hidden="1">
      <c r="B1844">
        <v>1842</v>
      </c>
      <c r="C1844">
        <v>172</v>
      </c>
      <c r="D1844">
        <v>21</v>
      </c>
      <c r="E1844">
        <v>3</v>
      </c>
      <c r="F1844">
        <v>0</v>
      </c>
      <c r="G1844" t="s">
        <v>32</v>
      </c>
      <c r="H1844" t="s">
        <v>9</v>
      </c>
      <c r="I1844" t="s">
        <v>1421</v>
      </c>
      <c r="J1844" t="s">
        <v>55</v>
      </c>
      <c r="K1844" t="s">
        <v>1282</v>
      </c>
      <c r="M1844" t="s">
        <v>6</v>
      </c>
    </row>
    <row r="1845" spans="2:13" hidden="1">
      <c r="B1845">
        <v>1843</v>
      </c>
      <c r="C1845">
        <v>172</v>
      </c>
      <c r="D1845">
        <v>21</v>
      </c>
      <c r="E1845">
        <v>4</v>
      </c>
      <c r="F1845">
        <v>0</v>
      </c>
      <c r="G1845" t="s">
        <v>32</v>
      </c>
      <c r="H1845" t="s">
        <v>9</v>
      </c>
      <c r="I1845" t="s">
        <v>1421</v>
      </c>
      <c r="J1845" t="s">
        <v>55</v>
      </c>
      <c r="K1845" t="s">
        <v>1283</v>
      </c>
      <c r="M1845" t="s">
        <v>6</v>
      </c>
    </row>
    <row r="1846" spans="2:13" hidden="1">
      <c r="B1846">
        <v>1844</v>
      </c>
      <c r="C1846">
        <v>172</v>
      </c>
      <c r="D1846">
        <v>21</v>
      </c>
      <c r="E1846">
        <v>5</v>
      </c>
      <c r="F1846">
        <v>0</v>
      </c>
      <c r="G1846" t="s">
        <v>32</v>
      </c>
      <c r="H1846" t="s">
        <v>9</v>
      </c>
      <c r="I1846" t="s">
        <v>1421</v>
      </c>
      <c r="J1846" t="s">
        <v>55</v>
      </c>
      <c r="K1846" t="s">
        <v>1423</v>
      </c>
      <c r="M1846" t="s">
        <v>6</v>
      </c>
    </row>
    <row r="1847" spans="2:13" hidden="1">
      <c r="B1847">
        <v>1845</v>
      </c>
      <c r="C1847">
        <v>172</v>
      </c>
      <c r="D1847">
        <v>21</v>
      </c>
      <c r="E1847">
        <v>6</v>
      </c>
      <c r="F1847">
        <v>0</v>
      </c>
      <c r="G1847" t="s">
        <v>32</v>
      </c>
      <c r="H1847" t="s">
        <v>9</v>
      </c>
      <c r="I1847" t="s">
        <v>1421</v>
      </c>
      <c r="J1847" t="s">
        <v>55</v>
      </c>
      <c r="K1847" t="s">
        <v>1285</v>
      </c>
      <c r="M1847" t="s">
        <v>6</v>
      </c>
    </row>
    <row r="1848" spans="2:13" hidden="1">
      <c r="B1848">
        <v>1846</v>
      </c>
      <c r="C1848">
        <v>172</v>
      </c>
      <c r="D1848">
        <v>21</v>
      </c>
      <c r="E1848">
        <v>7</v>
      </c>
      <c r="F1848">
        <v>0</v>
      </c>
      <c r="G1848" t="s">
        <v>32</v>
      </c>
      <c r="H1848" t="s">
        <v>9</v>
      </c>
      <c r="I1848" t="s">
        <v>1421</v>
      </c>
      <c r="J1848" t="s">
        <v>55</v>
      </c>
      <c r="K1848" t="s">
        <v>1424</v>
      </c>
      <c r="M1848" t="s">
        <v>6</v>
      </c>
    </row>
    <row r="1849" spans="2:13" hidden="1">
      <c r="B1849">
        <v>1847</v>
      </c>
      <c r="C1849">
        <v>172</v>
      </c>
      <c r="D1849">
        <v>21</v>
      </c>
      <c r="E1849">
        <v>8</v>
      </c>
      <c r="F1849">
        <v>0</v>
      </c>
      <c r="G1849" t="s">
        <v>32</v>
      </c>
      <c r="H1849" t="s">
        <v>9</v>
      </c>
      <c r="I1849" t="s">
        <v>1421</v>
      </c>
      <c r="J1849" t="s">
        <v>55</v>
      </c>
      <c r="K1849" t="s">
        <v>1425</v>
      </c>
      <c r="M1849" t="s">
        <v>6</v>
      </c>
    </row>
    <row r="1850" spans="2:13" hidden="1">
      <c r="B1850">
        <v>1848</v>
      </c>
      <c r="C1850">
        <v>172</v>
      </c>
      <c r="D1850">
        <v>21</v>
      </c>
      <c r="E1850">
        <v>9</v>
      </c>
      <c r="F1850">
        <v>0</v>
      </c>
      <c r="G1850" t="s">
        <v>32</v>
      </c>
      <c r="H1850" t="s">
        <v>9</v>
      </c>
      <c r="I1850" t="s">
        <v>1421</v>
      </c>
      <c r="J1850" t="s">
        <v>55</v>
      </c>
      <c r="K1850" t="s">
        <v>1426</v>
      </c>
      <c r="M1850" t="s">
        <v>6</v>
      </c>
    </row>
    <row r="1851" spans="2:13" hidden="1">
      <c r="B1851">
        <v>1849</v>
      </c>
      <c r="C1851">
        <v>172</v>
      </c>
      <c r="D1851">
        <v>21</v>
      </c>
      <c r="E1851">
        <v>10</v>
      </c>
      <c r="F1851">
        <v>0</v>
      </c>
      <c r="G1851" t="s">
        <v>32</v>
      </c>
      <c r="H1851" t="s">
        <v>9</v>
      </c>
      <c r="I1851" t="s">
        <v>1421</v>
      </c>
      <c r="J1851" t="s">
        <v>55</v>
      </c>
      <c r="K1851" t="s">
        <v>1427</v>
      </c>
      <c r="M1851" t="s">
        <v>6</v>
      </c>
    </row>
    <row r="1852" spans="2:13" hidden="1">
      <c r="B1852">
        <v>1850</v>
      </c>
      <c r="C1852">
        <v>172</v>
      </c>
      <c r="D1852">
        <v>21</v>
      </c>
      <c r="E1852">
        <v>11</v>
      </c>
      <c r="F1852">
        <v>0</v>
      </c>
      <c r="G1852" t="s">
        <v>32</v>
      </c>
      <c r="H1852" t="s">
        <v>9</v>
      </c>
      <c r="I1852" t="s">
        <v>1421</v>
      </c>
      <c r="J1852" t="s">
        <v>55</v>
      </c>
      <c r="K1852" t="s">
        <v>1428</v>
      </c>
      <c r="M1852" t="s">
        <v>6</v>
      </c>
    </row>
    <row r="1853" spans="2:13" hidden="1">
      <c r="B1853">
        <v>1851</v>
      </c>
      <c r="C1853">
        <v>172</v>
      </c>
      <c r="D1853">
        <v>21</v>
      </c>
      <c r="E1853">
        <v>12</v>
      </c>
      <c r="F1853">
        <v>0</v>
      </c>
      <c r="G1853" t="s">
        <v>32</v>
      </c>
      <c r="H1853" t="s">
        <v>9</v>
      </c>
      <c r="I1853" t="s">
        <v>1421</v>
      </c>
      <c r="J1853" t="s">
        <v>55</v>
      </c>
      <c r="K1853" t="s">
        <v>1291</v>
      </c>
      <c r="M1853" t="s">
        <v>6</v>
      </c>
    </row>
    <row r="1854" spans="2:13" hidden="1">
      <c r="B1854">
        <v>1852</v>
      </c>
      <c r="C1854">
        <v>172</v>
      </c>
      <c r="D1854">
        <v>21</v>
      </c>
      <c r="E1854">
        <v>13</v>
      </c>
      <c r="F1854">
        <v>0</v>
      </c>
      <c r="G1854" t="s">
        <v>32</v>
      </c>
      <c r="H1854" t="s">
        <v>9</v>
      </c>
      <c r="I1854" t="s">
        <v>1421</v>
      </c>
      <c r="J1854" t="s">
        <v>479</v>
      </c>
      <c r="K1854" t="s">
        <v>1408</v>
      </c>
      <c r="M1854" t="s">
        <v>6</v>
      </c>
    </row>
    <row r="1855" spans="2:13" hidden="1">
      <c r="B1855">
        <v>1853</v>
      </c>
      <c r="C1855">
        <v>172</v>
      </c>
      <c r="D1855">
        <v>21</v>
      </c>
      <c r="E1855">
        <v>14</v>
      </c>
      <c r="F1855">
        <v>0</v>
      </c>
      <c r="G1855" t="s">
        <v>32</v>
      </c>
      <c r="H1855" t="s">
        <v>9</v>
      </c>
      <c r="I1855" t="s">
        <v>1421</v>
      </c>
      <c r="J1855" t="s">
        <v>55</v>
      </c>
      <c r="K1855" t="s">
        <v>1158</v>
      </c>
      <c r="M1855" t="s">
        <v>6</v>
      </c>
    </row>
    <row r="1856" spans="2:13" hidden="1">
      <c r="B1856">
        <v>1854</v>
      </c>
      <c r="C1856">
        <v>172</v>
      </c>
      <c r="D1856">
        <v>21</v>
      </c>
      <c r="E1856">
        <v>15</v>
      </c>
      <c r="F1856">
        <v>0</v>
      </c>
      <c r="G1856" t="s">
        <v>32</v>
      </c>
      <c r="H1856" t="s">
        <v>9</v>
      </c>
      <c r="I1856" t="s">
        <v>1421</v>
      </c>
      <c r="J1856" t="s">
        <v>55</v>
      </c>
      <c r="K1856" t="s">
        <v>1159</v>
      </c>
      <c r="M1856" t="s">
        <v>6</v>
      </c>
    </row>
    <row r="1857" spans="2:13" hidden="1">
      <c r="B1857">
        <v>1855</v>
      </c>
      <c r="C1857">
        <v>172</v>
      </c>
      <c r="D1857">
        <v>21</v>
      </c>
      <c r="E1857">
        <v>16</v>
      </c>
      <c r="F1857">
        <v>0</v>
      </c>
      <c r="G1857" t="s">
        <v>32</v>
      </c>
      <c r="H1857" t="s">
        <v>9</v>
      </c>
      <c r="I1857" t="s">
        <v>1421</v>
      </c>
      <c r="J1857" t="s">
        <v>55</v>
      </c>
      <c r="K1857" t="s">
        <v>1429</v>
      </c>
      <c r="M1857" t="s">
        <v>6</v>
      </c>
    </row>
    <row r="1858" spans="2:13" hidden="1">
      <c r="B1858">
        <v>1856</v>
      </c>
      <c r="C1858">
        <v>172</v>
      </c>
      <c r="D1858">
        <v>21</v>
      </c>
      <c r="E1858">
        <v>17</v>
      </c>
      <c r="F1858">
        <v>0</v>
      </c>
      <c r="G1858" t="s">
        <v>32</v>
      </c>
      <c r="H1858" t="s">
        <v>9</v>
      </c>
      <c r="I1858" t="s">
        <v>1421</v>
      </c>
      <c r="J1858" t="s">
        <v>55</v>
      </c>
      <c r="K1858" t="s">
        <v>1430</v>
      </c>
      <c r="M1858" t="s">
        <v>6</v>
      </c>
    </row>
    <row r="1859" spans="2:13" hidden="1">
      <c r="B1859">
        <v>1857</v>
      </c>
      <c r="C1859">
        <v>172</v>
      </c>
      <c r="D1859">
        <v>21</v>
      </c>
      <c r="E1859">
        <v>18</v>
      </c>
      <c r="F1859">
        <v>0</v>
      </c>
      <c r="G1859" t="s">
        <v>32</v>
      </c>
      <c r="H1859" t="s">
        <v>9</v>
      </c>
      <c r="I1859" t="s">
        <v>1421</v>
      </c>
      <c r="J1859" t="s">
        <v>55</v>
      </c>
      <c r="K1859" t="s">
        <v>1431</v>
      </c>
      <c r="M1859" t="s">
        <v>6</v>
      </c>
    </row>
    <row r="1860" spans="2:13" hidden="1">
      <c r="B1860">
        <v>1858</v>
      </c>
      <c r="C1860">
        <v>172</v>
      </c>
      <c r="D1860">
        <v>21</v>
      </c>
      <c r="E1860">
        <v>19</v>
      </c>
      <c r="F1860">
        <v>0</v>
      </c>
      <c r="G1860" t="s">
        <v>32</v>
      </c>
      <c r="H1860" t="s">
        <v>9</v>
      </c>
      <c r="I1860" t="s">
        <v>1421</v>
      </c>
      <c r="J1860" t="s">
        <v>55</v>
      </c>
      <c r="K1860" t="s">
        <v>1432</v>
      </c>
      <c r="M1860" t="s">
        <v>6</v>
      </c>
    </row>
    <row r="1861" spans="2:13" hidden="1">
      <c r="B1861">
        <v>1859</v>
      </c>
      <c r="C1861">
        <v>172</v>
      </c>
      <c r="D1861">
        <v>21</v>
      </c>
      <c r="E1861">
        <v>20</v>
      </c>
      <c r="F1861">
        <v>0</v>
      </c>
      <c r="G1861" t="s">
        <v>32</v>
      </c>
      <c r="H1861" t="s">
        <v>9</v>
      </c>
      <c r="I1861" t="s">
        <v>1421</v>
      </c>
      <c r="J1861" t="s">
        <v>55</v>
      </c>
      <c r="K1861" t="s">
        <v>93</v>
      </c>
      <c r="M1861" t="s">
        <v>6</v>
      </c>
    </row>
    <row r="1862" spans="2:13" hidden="1">
      <c r="B1862">
        <v>1860</v>
      </c>
      <c r="C1862">
        <v>172</v>
      </c>
      <c r="D1862">
        <v>21</v>
      </c>
      <c r="E1862">
        <v>21</v>
      </c>
      <c r="F1862">
        <v>0</v>
      </c>
      <c r="G1862" t="s">
        <v>32</v>
      </c>
      <c r="H1862" t="s">
        <v>9</v>
      </c>
      <c r="I1862" t="s">
        <v>1421</v>
      </c>
      <c r="J1862" t="s">
        <v>64</v>
      </c>
      <c r="K1862" t="s">
        <v>94</v>
      </c>
      <c r="M1862" t="s">
        <v>6</v>
      </c>
    </row>
    <row r="1863" spans="2:13" hidden="1">
      <c r="B1863">
        <v>1861</v>
      </c>
      <c r="C1863">
        <v>173</v>
      </c>
      <c r="D1863">
        <v>9</v>
      </c>
      <c r="E1863">
        <v>0</v>
      </c>
      <c r="F1863">
        <v>0</v>
      </c>
      <c r="G1863" t="s">
        <v>32</v>
      </c>
      <c r="H1863" t="s">
        <v>9</v>
      </c>
      <c r="I1863" t="s">
        <v>1433</v>
      </c>
      <c r="J1863" t="s">
        <v>54</v>
      </c>
      <c r="K1863" t="s">
        <v>1433</v>
      </c>
      <c r="M1863" t="s">
        <v>6</v>
      </c>
    </row>
    <row r="1864" spans="2:13" hidden="1">
      <c r="B1864">
        <v>1862</v>
      </c>
      <c r="C1864">
        <v>173</v>
      </c>
      <c r="D1864">
        <v>9</v>
      </c>
      <c r="E1864">
        <v>1</v>
      </c>
      <c r="F1864">
        <v>0</v>
      </c>
      <c r="G1864" t="s">
        <v>32</v>
      </c>
      <c r="H1864" t="s">
        <v>9</v>
      </c>
      <c r="I1864" t="s">
        <v>1433</v>
      </c>
      <c r="J1864" t="s">
        <v>55</v>
      </c>
      <c r="K1864" t="s">
        <v>1434</v>
      </c>
      <c r="M1864" t="s">
        <v>6</v>
      </c>
    </row>
    <row r="1865" spans="2:13" hidden="1">
      <c r="B1865">
        <v>1863</v>
      </c>
      <c r="C1865">
        <v>173</v>
      </c>
      <c r="D1865">
        <v>9</v>
      </c>
      <c r="E1865">
        <v>2</v>
      </c>
      <c r="F1865">
        <v>0</v>
      </c>
      <c r="G1865" t="s">
        <v>32</v>
      </c>
      <c r="H1865" t="s">
        <v>9</v>
      </c>
      <c r="I1865" t="s">
        <v>1433</v>
      </c>
      <c r="J1865" t="s">
        <v>55</v>
      </c>
      <c r="K1865" t="s">
        <v>1435</v>
      </c>
      <c r="M1865" t="s">
        <v>6</v>
      </c>
    </row>
    <row r="1866" spans="2:13" hidden="1">
      <c r="B1866">
        <v>1864</v>
      </c>
      <c r="C1866">
        <v>173</v>
      </c>
      <c r="D1866">
        <v>9</v>
      </c>
      <c r="E1866">
        <v>3</v>
      </c>
      <c r="F1866">
        <v>0</v>
      </c>
      <c r="G1866" t="s">
        <v>32</v>
      </c>
      <c r="H1866" t="s">
        <v>9</v>
      </c>
      <c r="I1866" t="s">
        <v>1433</v>
      </c>
      <c r="J1866" t="s">
        <v>55</v>
      </c>
      <c r="K1866" t="s">
        <v>1436</v>
      </c>
      <c r="M1866" t="s">
        <v>6</v>
      </c>
    </row>
    <row r="1867" spans="2:13" hidden="1">
      <c r="B1867">
        <v>1865</v>
      </c>
      <c r="C1867">
        <v>173</v>
      </c>
      <c r="D1867">
        <v>9</v>
      </c>
      <c r="E1867">
        <v>4</v>
      </c>
      <c r="F1867">
        <v>0</v>
      </c>
      <c r="G1867" t="s">
        <v>32</v>
      </c>
      <c r="H1867" t="s">
        <v>9</v>
      </c>
      <c r="I1867" t="s">
        <v>1433</v>
      </c>
      <c r="J1867" t="s">
        <v>55</v>
      </c>
      <c r="K1867" t="s">
        <v>1437</v>
      </c>
      <c r="M1867" t="s">
        <v>6</v>
      </c>
    </row>
    <row r="1868" spans="2:13" hidden="1">
      <c r="B1868">
        <v>1866</v>
      </c>
      <c r="C1868">
        <v>173</v>
      </c>
      <c r="D1868">
        <v>9</v>
      </c>
      <c r="E1868">
        <v>5</v>
      </c>
      <c r="F1868">
        <v>0</v>
      </c>
      <c r="G1868" t="s">
        <v>32</v>
      </c>
      <c r="H1868" t="s">
        <v>9</v>
      </c>
      <c r="I1868" t="s">
        <v>1433</v>
      </c>
      <c r="J1868" t="s">
        <v>55</v>
      </c>
      <c r="K1868" t="s">
        <v>1438</v>
      </c>
      <c r="M1868" t="s">
        <v>6</v>
      </c>
    </row>
    <row r="1869" spans="2:13" hidden="1">
      <c r="B1869">
        <v>1867</v>
      </c>
      <c r="C1869">
        <v>173</v>
      </c>
      <c r="D1869">
        <v>9</v>
      </c>
      <c r="E1869">
        <v>6</v>
      </c>
      <c r="F1869">
        <v>0</v>
      </c>
      <c r="G1869" t="s">
        <v>32</v>
      </c>
      <c r="H1869" t="s">
        <v>9</v>
      </c>
      <c r="I1869" t="s">
        <v>1433</v>
      </c>
      <c r="J1869" t="s">
        <v>55</v>
      </c>
      <c r="K1869" t="s">
        <v>1439</v>
      </c>
      <c r="M1869" t="s">
        <v>6</v>
      </c>
    </row>
    <row r="1870" spans="2:13" hidden="1">
      <c r="B1870">
        <v>1868</v>
      </c>
      <c r="C1870">
        <v>173</v>
      </c>
      <c r="D1870">
        <v>9</v>
      </c>
      <c r="E1870">
        <v>7</v>
      </c>
      <c r="F1870">
        <v>0</v>
      </c>
      <c r="G1870" t="s">
        <v>32</v>
      </c>
      <c r="H1870" t="s">
        <v>9</v>
      </c>
      <c r="I1870" t="s">
        <v>1433</v>
      </c>
      <c r="J1870" t="s">
        <v>55</v>
      </c>
      <c r="K1870" t="s">
        <v>1440</v>
      </c>
      <c r="M1870" t="s">
        <v>6</v>
      </c>
    </row>
    <row r="1871" spans="2:13" hidden="1">
      <c r="B1871">
        <v>1869</v>
      </c>
      <c r="C1871">
        <v>173</v>
      </c>
      <c r="D1871">
        <v>9</v>
      </c>
      <c r="E1871">
        <v>8</v>
      </c>
      <c r="F1871">
        <v>0</v>
      </c>
      <c r="G1871" t="s">
        <v>32</v>
      </c>
      <c r="H1871" t="s">
        <v>9</v>
      </c>
      <c r="I1871" t="s">
        <v>1433</v>
      </c>
      <c r="J1871" t="s">
        <v>55</v>
      </c>
      <c r="K1871" t="s">
        <v>93</v>
      </c>
      <c r="M1871" t="s">
        <v>6</v>
      </c>
    </row>
    <row r="1872" spans="2:13" hidden="1">
      <c r="B1872">
        <v>1870</v>
      </c>
      <c r="C1872">
        <v>173</v>
      </c>
      <c r="D1872">
        <v>9</v>
      </c>
      <c r="E1872">
        <v>9</v>
      </c>
      <c r="F1872">
        <v>0</v>
      </c>
      <c r="G1872" t="s">
        <v>32</v>
      </c>
      <c r="H1872" t="s">
        <v>9</v>
      </c>
      <c r="I1872" t="s">
        <v>1433</v>
      </c>
      <c r="J1872" t="s">
        <v>64</v>
      </c>
      <c r="K1872" t="s">
        <v>94</v>
      </c>
      <c r="M1872" t="s">
        <v>6</v>
      </c>
    </row>
    <row r="1873" spans="2:13" hidden="1">
      <c r="B1873">
        <v>1871</v>
      </c>
      <c r="C1873">
        <v>174</v>
      </c>
      <c r="D1873">
        <v>13</v>
      </c>
      <c r="E1873">
        <v>0</v>
      </c>
      <c r="F1873">
        <v>0</v>
      </c>
      <c r="G1873" t="s">
        <v>32</v>
      </c>
      <c r="H1873" t="s">
        <v>9</v>
      </c>
      <c r="I1873" t="s">
        <v>1441</v>
      </c>
      <c r="J1873" t="s">
        <v>54</v>
      </c>
      <c r="K1873" t="s">
        <v>1441</v>
      </c>
      <c r="M1873" t="s">
        <v>6</v>
      </c>
    </row>
    <row r="1874" spans="2:13" hidden="1">
      <c r="B1874">
        <v>1872</v>
      </c>
      <c r="C1874">
        <v>174</v>
      </c>
      <c r="D1874">
        <v>13</v>
      </c>
      <c r="E1874">
        <v>1</v>
      </c>
      <c r="F1874">
        <v>0</v>
      </c>
      <c r="G1874" t="s">
        <v>32</v>
      </c>
      <c r="H1874" t="s">
        <v>9</v>
      </c>
      <c r="I1874" t="s">
        <v>1441</v>
      </c>
      <c r="J1874" t="s">
        <v>55</v>
      </c>
      <c r="K1874" t="s">
        <v>1442</v>
      </c>
      <c r="M1874" t="s">
        <v>6</v>
      </c>
    </row>
    <row r="1875" spans="2:13" hidden="1">
      <c r="B1875">
        <v>1873</v>
      </c>
      <c r="C1875">
        <v>174</v>
      </c>
      <c r="D1875">
        <v>13</v>
      </c>
      <c r="E1875">
        <v>2</v>
      </c>
      <c r="F1875">
        <v>0</v>
      </c>
      <c r="G1875" t="s">
        <v>32</v>
      </c>
      <c r="H1875" t="s">
        <v>9</v>
      </c>
      <c r="I1875" t="s">
        <v>1441</v>
      </c>
      <c r="J1875" t="s">
        <v>214</v>
      </c>
      <c r="K1875" t="s">
        <v>1443</v>
      </c>
      <c r="M1875" t="s">
        <v>6</v>
      </c>
    </row>
    <row r="1876" spans="2:13" hidden="1">
      <c r="B1876">
        <v>1874</v>
      </c>
      <c r="C1876">
        <v>174</v>
      </c>
      <c r="D1876">
        <v>13</v>
      </c>
      <c r="E1876">
        <v>3</v>
      </c>
      <c r="F1876">
        <v>0</v>
      </c>
      <c r="G1876" t="s">
        <v>32</v>
      </c>
      <c r="H1876" t="s">
        <v>9</v>
      </c>
      <c r="I1876" t="s">
        <v>1441</v>
      </c>
      <c r="J1876" t="s">
        <v>214</v>
      </c>
      <c r="K1876" t="s">
        <v>1444</v>
      </c>
      <c r="M1876" t="s">
        <v>6</v>
      </c>
    </row>
    <row r="1877" spans="2:13" hidden="1">
      <c r="B1877">
        <v>1875</v>
      </c>
      <c r="C1877">
        <v>174</v>
      </c>
      <c r="D1877">
        <v>13</v>
      </c>
      <c r="E1877">
        <v>4</v>
      </c>
      <c r="F1877">
        <v>0</v>
      </c>
      <c r="G1877" t="s">
        <v>32</v>
      </c>
      <c r="H1877" t="s">
        <v>9</v>
      </c>
      <c r="I1877" t="s">
        <v>1441</v>
      </c>
      <c r="J1877" t="s">
        <v>214</v>
      </c>
      <c r="K1877" t="s">
        <v>1445</v>
      </c>
      <c r="M1877" t="s">
        <v>6</v>
      </c>
    </row>
    <row r="1878" spans="2:13" hidden="1">
      <c r="B1878">
        <v>1876</v>
      </c>
      <c r="C1878">
        <v>174</v>
      </c>
      <c r="D1878">
        <v>13</v>
      </c>
      <c r="E1878">
        <v>5</v>
      </c>
      <c r="F1878">
        <v>0</v>
      </c>
      <c r="G1878" t="s">
        <v>32</v>
      </c>
      <c r="H1878" t="s">
        <v>9</v>
      </c>
      <c r="I1878" t="s">
        <v>1441</v>
      </c>
      <c r="J1878" t="s">
        <v>214</v>
      </c>
      <c r="K1878" t="s">
        <v>1446</v>
      </c>
      <c r="M1878" t="s">
        <v>6</v>
      </c>
    </row>
    <row r="1879" spans="2:13" hidden="1">
      <c r="B1879">
        <v>1877</v>
      </c>
      <c r="C1879">
        <v>174</v>
      </c>
      <c r="D1879">
        <v>13</v>
      </c>
      <c r="E1879">
        <v>6</v>
      </c>
      <c r="F1879">
        <v>0</v>
      </c>
      <c r="G1879" t="s">
        <v>32</v>
      </c>
      <c r="H1879" t="s">
        <v>9</v>
      </c>
      <c r="I1879" t="s">
        <v>1441</v>
      </c>
      <c r="J1879" t="s">
        <v>214</v>
      </c>
      <c r="K1879" t="s">
        <v>1447</v>
      </c>
      <c r="M1879" t="s">
        <v>6</v>
      </c>
    </row>
    <row r="1880" spans="2:13" hidden="1">
      <c r="B1880">
        <v>1878</v>
      </c>
      <c r="C1880">
        <v>174</v>
      </c>
      <c r="D1880">
        <v>13</v>
      </c>
      <c r="E1880">
        <v>7</v>
      </c>
      <c r="F1880">
        <v>0</v>
      </c>
      <c r="G1880" t="s">
        <v>32</v>
      </c>
      <c r="H1880" t="s">
        <v>9</v>
      </c>
      <c r="I1880" t="s">
        <v>1441</v>
      </c>
      <c r="J1880" t="s">
        <v>1448</v>
      </c>
      <c r="K1880" t="s">
        <v>1449</v>
      </c>
      <c r="M1880" t="s">
        <v>6</v>
      </c>
    </row>
    <row r="1881" spans="2:13" hidden="1">
      <c r="B1881">
        <v>1879</v>
      </c>
      <c r="C1881">
        <v>174</v>
      </c>
      <c r="D1881">
        <v>13</v>
      </c>
      <c r="E1881">
        <v>8</v>
      </c>
      <c r="F1881">
        <v>0</v>
      </c>
      <c r="G1881" t="s">
        <v>32</v>
      </c>
      <c r="H1881" t="s">
        <v>9</v>
      </c>
      <c r="I1881" t="s">
        <v>1441</v>
      </c>
      <c r="J1881" t="s">
        <v>214</v>
      </c>
      <c r="K1881" t="s">
        <v>1450</v>
      </c>
      <c r="M1881" t="s">
        <v>6</v>
      </c>
    </row>
    <row r="1882" spans="2:13" hidden="1">
      <c r="B1882">
        <v>1880</v>
      </c>
      <c r="C1882">
        <v>174</v>
      </c>
      <c r="D1882">
        <v>13</v>
      </c>
      <c r="E1882">
        <v>9</v>
      </c>
      <c r="F1882">
        <v>0</v>
      </c>
      <c r="G1882" t="s">
        <v>32</v>
      </c>
      <c r="H1882" t="s">
        <v>9</v>
      </c>
      <c r="I1882" t="s">
        <v>1441</v>
      </c>
      <c r="J1882" t="s">
        <v>214</v>
      </c>
      <c r="K1882" t="s">
        <v>1451</v>
      </c>
      <c r="M1882" t="s">
        <v>6</v>
      </c>
    </row>
    <row r="1883" spans="2:13" hidden="1">
      <c r="B1883">
        <v>1881</v>
      </c>
      <c r="C1883">
        <v>174</v>
      </c>
      <c r="D1883">
        <v>13</v>
      </c>
      <c r="E1883">
        <v>10</v>
      </c>
      <c r="F1883">
        <v>0</v>
      </c>
      <c r="G1883" t="s">
        <v>32</v>
      </c>
      <c r="H1883" t="s">
        <v>9</v>
      </c>
      <c r="I1883" t="s">
        <v>1441</v>
      </c>
      <c r="J1883" t="s">
        <v>214</v>
      </c>
      <c r="K1883" t="s">
        <v>1452</v>
      </c>
      <c r="M1883" t="s">
        <v>6</v>
      </c>
    </row>
    <row r="1884" spans="2:13" hidden="1">
      <c r="B1884">
        <v>1882</v>
      </c>
      <c r="C1884">
        <v>174</v>
      </c>
      <c r="D1884">
        <v>13</v>
      </c>
      <c r="E1884">
        <v>11</v>
      </c>
      <c r="F1884">
        <v>0</v>
      </c>
      <c r="G1884" t="s">
        <v>32</v>
      </c>
      <c r="H1884" t="s">
        <v>9</v>
      </c>
      <c r="I1884" t="s">
        <v>1441</v>
      </c>
      <c r="J1884" t="s">
        <v>55</v>
      </c>
      <c r="K1884" t="s">
        <v>1453</v>
      </c>
      <c r="M1884" t="s">
        <v>6</v>
      </c>
    </row>
    <row r="1885" spans="2:13" hidden="1">
      <c r="B1885">
        <v>1883</v>
      </c>
      <c r="C1885">
        <v>174</v>
      </c>
      <c r="D1885">
        <v>13</v>
      </c>
      <c r="E1885">
        <v>12</v>
      </c>
      <c r="F1885">
        <v>0</v>
      </c>
      <c r="G1885" t="s">
        <v>32</v>
      </c>
      <c r="H1885" t="s">
        <v>9</v>
      </c>
      <c r="I1885" t="s">
        <v>1441</v>
      </c>
      <c r="J1885" t="s">
        <v>55</v>
      </c>
      <c r="K1885" t="s">
        <v>93</v>
      </c>
      <c r="M1885" t="s">
        <v>6</v>
      </c>
    </row>
    <row r="1886" spans="2:13" hidden="1">
      <c r="B1886">
        <v>1884</v>
      </c>
      <c r="C1886">
        <v>174</v>
      </c>
      <c r="D1886">
        <v>13</v>
      </c>
      <c r="E1886">
        <v>13</v>
      </c>
      <c r="F1886">
        <v>0</v>
      </c>
      <c r="G1886" t="s">
        <v>32</v>
      </c>
      <c r="H1886" t="s">
        <v>9</v>
      </c>
      <c r="I1886" t="s">
        <v>1441</v>
      </c>
      <c r="J1886" t="s">
        <v>64</v>
      </c>
      <c r="K1886" t="s">
        <v>94</v>
      </c>
      <c r="M1886" t="s">
        <v>6</v>
      </c>
    </row>
    <row r="1887" spans="2:13" hidden="1">
      <c r="B1887">
        <v>1885</v>
      </c>
      <c r="C1887">
        <v>175</v>
      </c>
      <c r="D1887">
        <v>14</v>
      </c>
      <c r="E1887">
        <v>0</v>
      </c>
      <c r="F1887">
        <v>0</v>
      </c>
      <c r="G1887" t="s">
        <v>32</v>
      </c>
      <c r="H1887" t="s">
        <v>9</v>
      </c>
      <c r="I1887" t="s">
        <v>1454</v>
      </c>
      <c r="J1887" t="s">
        <v>478</v>
      </c>
      <c r="K1887" t="s">
        <v>1454</v>
      </c>
      <c r="M1887" t="s">
        <v>6</v>
      </c>
    </row>
    <row r="1888" spans="2:13" hidden="1">
      <c r="B1888">
        <v>1886</v>
      </c>
      <c r="C1888">
        <v>175</v>
      </c>
      <c r="D1888">
        <v>14</v>
      </c>
      <c r="E1888">
        <v>1</v>
      </c>
      <c r="F1888">
        <v>0</v>
      </c>
      <c r="G1888" t="s">
        <v>32</v>
      </c>
      <c r="H1888" t="s">
        <v>9</v>
      </c>
      <c r="I1888" t="s">
        <v>1454</v>
      </c>
      <c r="J1888" t="s">
        <v>479</v>
      </c>
      <c r="K1888" t="s">
        <v>1402</v>
      </c>
      <c r="M1888" t="s">
        <v>6</v>
      </c>
    </row>
    <row r="1889" spans="2:13" hidden="1">
      <c r="B1889">
        <v>1887</v>
      </c>
      <c r="C1889">
        <v>175</v>
      </c>
      <c r="D1889">
        <v>14</v>
      </c>
      <c r="E1889">
        <v>2</v>
      </c>
      <c r="F1889">
        <v>0</v>
      </c>
      <c r="G1889" t="s">
        <v>32</v>
      </c>
      <c r="H1889" t="s">
        <v>9</v>
      </c>
      <c r="I1889" t="s">
        <v>1454</v>
      </c>
      <c r="J1889" t="s">
        <v>55</v>
      </c>
      <c r="K1889" t="s">
        <v>1455</v>
      </c>
      <c r="M1889" t="s">
        <v>6</v>
      </c>
    </row>
    <row r="1890" spans="2:13" hidden="1">
      <c r="B1890">
        <v>1888</v>
      </c>
      <c r="C1890">
        <v>175</v>
      </c>
      <c r="D1890">
        <v>14</v>
      </c>
      <c r="E1890">
        <v>3</v>
      </c>
      <c r="F1890">
        <v>0</v>
      </c>
      <c r="G1890" t="s">
        <v>32</v>
      </c>
      <c r="H1890" t="s">
        <v>9</v>
      </c>
      <c r="I1890" t="s">
        <v>1454</v>
      </c>
      <c r="J1890" t="s">
        <v>55</v>
      </c>
      <c r="K1890" t="s">
        <v>1456</v>
      </c>
      <c r="M1890" t="s">
        <v>6</v>
      </c>
    </row>
    <row r="1891" spans="2:13" hidden="1">
      <c r="B1891">
        <v>1889</v>
      </c>
      <c r="C1891">
        <v>175</v>
      </c>
      <c r="D1891">
        <v>14</v>
      </c>
      <c r="E1891">
        <v>4</v>
      </c>
      <c r="F1891">
        <v>0</v>
      </c>
      <c r="G1891" t="s">
        <v>32</v>
      </c>
      <c r="H1891" t="s">
        <v>9</v>
      </c>
      <c r="I1891" t="s">
        <v>1454</v>
      </c>
      <c r="J1891" t="s">
        <v>55</v>
      </c>
      <c r="K1891" t="s">
        <v>1457</v>
      </c>
      <c r="M1891" t="s">
        <v>6</v>
      </c>
    </row>
    <row r="1892" spans="2:13" hidden="1">
      <c r="B1892">
        <v>1890</v>
      </c>
      <c r="C1892">
        <v>175</v>
      </c>
      <c r="D1892">
        <v>14</v>
      </c>
      <c r="E1892">
        <v>5</v>
      </c>
      <c r="F1892">
        <v>0</v>
      </c>
      <c r="G1892" t="s">
        <v>32</v>
      </c>
      <c r="H1892" t="s">
        <v>9</v>
      </c>
      <c r="I1892" t="s">
        <v>1454</v>
      </c>
      <c r="J1892" t="s">
        <v>55</v>
      </c>
      <c r="K1892" t="s">
        <v>1458</v>
      </c>
      <c r="M1892" t="s">
        <v>6</v>
      </c>
    </row>
    <row r="1893" spans="2:13" hidden="1">
      <c r="B1893">
        <v>1891</v>
      </c>
      <c r="C1893">
        <v>175</v>
      </c>
      <c r="D1893">
        <v>14</v>
      </c>
      <c r="E1893">
        <v>6</v>
      </c>
      <c r="F1893">
        <v>0</v>
      </c>
      <c r="G1893" t="s">
        <v>32</v>
      </c>
      <c r="H1893" t="s">
        <v>9</v>
      </c>
      <c r="I1893" t="s">
        <v>1454</v>
      </c>
      <c r="J1893" t="s">
        <v>55</v>
      </c>
      <c r="K1893" t="s">
        <v>1459</v>
      </c>
      <c r="M1893" t="s">
        <v>6</v>
      </c>
    </row>
    <row r="1894" spans="2:13" hidden="1">
      <c r="B1894">
        <v>1892</v>
      </c>
      <c r="C1894">
        <v>175</v>
      </c>
      <c r="D1894">
        <v>14</v>
      </c>
      <c r="E1894">
        <v>7</v>
      </c>
      <c r="F1894">
        <v>0</v>
      </c>
      <c r="G1894" t="s">
        <v>32</v>
      </c>
      <c r="H1894" t="s">
        <v>9</v>
      </c>
      <c r="I1894" t="s">
        <v>1454</v>
      </c>
      <c r="J1894" t="s">
        <v>55</v>
      </c>
      <c r="K1894" t="s">
        <v>1460</v>
      </c>
      <c r="M1894" t="s">
        <v>6</v>
      </c>
    </row>
    <row r="1895" spans="2:13" hidden="1">
      <c r="B1895">
        <v>1893</v>
      </c>
      <c r="C1895">
        <v>175</v>
      </c>
      <c r="D1895">
        <v>14</v>
      </c>
      <c r="E1895">
        <v>8</v>
      </c>
      <c r="F1895">
        <v>0</v>
      </c>
      <c r="G1895" t="s">
        <v>32</v>
      </c>
      <c r="H1895" t="s">
        <v>9</v>
      </c>
      <c r="I1895" t="s">
        <v>1454</v>
      </c>
      <c r="J1895" t="s">
        <v>55</v>
      </c>
      <c r="K1895" t="s">
        <v>1461</v>
      </c>
      <c r="M1895" t="s">
        <v>6</v>
      </c>
    </row>
    <row r="1896" spans="2:13" hidden="1">
      <c r="B1896">
        <v>1894</v>
      </c>
      <c r="C1896">
        <v>175</v>
      </c>
      <c r="D1896">
        <v>14</v>
      </c>
      <c r="E1896">
        <v>9</v>
      </c>
      <c r="F1896">
        <v>0</v>
      </c>
      <c r="G1896" t="s">
        <v>32</v>
      </c>
      <c r="H1896" t="s">
        <v>9</v>
      </c>
      <c r="I1896" t="s">
        <v>1454</v>
      </c>
      <c r="J1896" t="s">
        <v>479</v>
      </c>
      <c r="K1896" t="s">
        <v>1408</v>
      </c>
      <c r="M1896" t="s">
        <v>6</v>
      </c>
    </row>
    <row r="1897" spans="2:13" hidden="1">
      <c r="B1897">
        <v>1895</v>
      </c>
      <c r="C1897">
        <v>175</v>
      </c>
      <c r="D1897">
        <v>14</v>
      </c>
      <c r="E1897">
        <v>10</v>
      </c>
      <c r="F1897">
        <v>0</v>
      </c>
      <c r="G1897" t="s">
        <v>32</v>
      </c>
      <c r="H1897" t="s">
        <v>9</v>
      </c>
      <c r="I1897" t="s">
        <v>1454</v>
      </c>
      <c r="J1897" t="s">
        <v>55</v>
      </c>
      <c r="K1897" t="s">
        <v>1462</v>
      </c>
      <c r="M1897" t="s">
        <v>6</v>
      </c>
    </row>
    <row r="1898" spans="2:13" hidden="1">
      <c r="B1898">
        <v>1896</v>
      </c>
      <c r="C1898">
        <v>175</v>
      </c>
      <c r="D1898">
        <v>14</v>
      </c>
      <c r="E1898">
        <v>11</v>
      </c>
      <c r="F1898">
        <v>0</v>
      </c>
      <c r="G1898" t="s">
        <v>32</v>
      </c>
      <c r="H1898" t="s">
        <v>9</v>
      </c>
      <c r="I1898" t="s">
        <v>1454</v>
      </c>
      <c r="J1898" t="s">
        <v>55</v>
      </c>
      <c r="K1898" t="s">
        <v>1463</v>
      </c>
      <c r="M1898" t="s">
        <v>6</v>
      </c>
    </row>
    <row r="1899" spans="2:13" hidden="1">
      <c r="B1899">
        <v>1897</v>
      </c>
      <c r="C1899">
        <v>175</v>
      </c>
      <c r="D1899">
        <v>14</v>
      </c>
      <c r="E1899">
        <v>12</v>
      </c>
      <c r="F1899">
        <v>0</v>
      </c>
      <c r="G1899" t="s">
        <v>32</v>
      </c>
      <c r="H1899" t="s">
        <v>9</v>
      </c>
      <c r="I1899" t="s">
        <v>1454</v>
      </c>
      <c r="J1899" t="s">
        <v>55</v>
      </c>
      <c r="K1899" t="s">
        <v>1464</v>
      </c>
      <c r="M1899" t="s">
        <v>6</v>
      </c>
    </row>
    <row r="1900" spans="2:13" hidden="1">
      <c r="B1900">
        <v>1898</v>
      </c>
      <c r="C1900">
        <v>175</v>
      </c>
      <c r="D1900">
        <v>14</v>
      </c>
      <c r="E1900">
        <v>13</v>
      </c>
      <c r="F1900">
        <v>0</v>
      </c>
      <c r="G1900" t="s">
        <v>32</v>
      </c>
      <c r="H1900" t="s">
        <v>9</v>
      </c>
      <c r="I1900" t="s">
        <v>1454</v>
      </c>
      <c r="J1900" t="s">
        <v>55</v>
      </c>
      <c r="K1900" t="s">
        <v>93</v>
      </c>
      <c r="M1900" t="s">
        <v>6</v>
      </c>
    </row>
    <row r="1901" spans="2:13" hidden="1">
      <c r="B1901">
        <v>1899</v>
      </c>
      <c r="C1901">
        <v>175</v>
      </c>
      <c r="D1901">
        <v>14</v>
      </c>
      <c r="E1901">
        <v>14</v>
      </c>
      <c r="F1901">
        <v>0</v>
      </c>
      <c r="G1901" t="s">
        <v>32</v>
      </c>
      <c r="H1901" t="s">
        <v>9</v>
      </c>
      <c r="I1901" t="s">
        <v>1454</v>
      </c>
      <c r="J1901" t="s">
        <v>64</v>
      </c>
      <c r="K1901" t="s">
        <v>94</v>
      </c>
      <c r="M1901" t="s">
        <v>6</v>
      </c>
    </row>
    <row r="1902" spans="2:13" hidden="1">
      <c r="B1902">
        <v>1900</v>
      </c>
      <c r="C1902">
        <v>176</v>
      </c>
      <c r="D1902">
        <v>6</v>
      </c>
      <c r="E1902">
        <v>0</v>
      </c>
      <c r="F1902">
        <v>0</v>
      </c>
      <c r="G1902" t="s">
        <v>32</v>
      </c>
      <c r="H1902" t="s">
        <v>9</v>
      </c>
      <c r="I1902" t="s">
        <v>1465</v>
      </c>
      <c r="J1902" t="s">
        <v>54</v>
      </c>
      <c r="K1902" t="s">
        <v>1465</v>
      </c>
      <c r="M1902" t="s">
        <v>6</v>
      </c>
    </row>
    <row r="1903" spans="2:13" hidden="1">
      <c r="B1903">
        <v>1901</v>
      </c>
      <c r="C1903">
        <v>176</v>
      </c>
      <c r="D1903">
        <v>6</v>
      </c>
      <c r="E1903">
        <v>1</v>
      </c>
      <c r="F1903">
        <v>0</v>
      </c>
      <c r="G1903" t="s">
        <v>32</v>
      </c>
      <c r="H1903" t="s">
        <v>9</v>
      </c>
      <c r="I1903" t="s">
        <v>1465</v>
      </c>
      <c r="J1903" t="s">
        <v>55</v>
      </c>
      <c r="K1903" t="s">
        <v>1455</v>
      </c>
      <c r="M1903" t="s">
        <v>6</v>
      </c>
    </row>
    <row r="1904" spans="2:13" hidden="1">
      <c r="B1904">
        <v>1902</v>
      </c>
      <c r="C1904">
        <v>176</v>
      </c>
      <c r="D1904">
        <v>6</v>
      </c>
      <c r="E1904">
        <v>2</v>
      </c>
      <c r="F1904">
        <v>0</v>
      </c>
      <c r="G1904" t="s">
        <v>32</v>
      </c>
      <c r="H1904" t="s">
        <v>9</v>
      </c>
      <c r="I1904" t="s">
        <v>1465</v>
      </c>
      <c r="J1904" t="s">
        <v>55</v>
      </c>
      <c r="K1904" t="s">
        <v>1456</v>
      </c>
      <c r="M1904" t="s">
        <v>6</v>
      </c>
    </row>
    <row r="1905" spans="2:13" hidden="1">
      <c r="B1905">
        <v>1903</v>
      </c>
      <c r="C1905">
        <v>176</v>
      </c>
      <c r="D1905">
        <v>6</v>
      </c>
      <c r="E1905">
        <v>3</v>
      </c>
      <c r="F1905">
        <v>0</v>
      </c>
      <c r="G1905" t="s">
        <v>32</v>
      </c>
      <c r="H1905" t="s">
        <v>9</v>
      </c>
      <c r="I1905" t="s">
        <v>1465</v>
      </c>
      <c r="J1905" t="s">
        <v>55</v>
      </c>
      <c r="K1905" t="s">
        <v>1460</v>
      </c>
      <c r="M1905" t="s">
        <v>6</v>
      </c>
    </row>
    <row r="1906" spans="2:13" hidden="1">
      <c r="B1906">
        <v>1904</v>
      </c>
      <c r="C1906">
        <v>176</v>
      </c>
      <c r="D1906">
        <v>6</v>
      </c>
      <c r="E1906">
        <v>4</v>
      </c>
      <c r="F1906">
        <v>0</v>
      </c>
      <c r="G1906" t="s">
        <v>32</v>
      </c>
      <c r="H1906" t="s">
        <v>9</v>
      </c>
      <c r="I1906" t="s">
        <v>1465</v>
      </c>
      <c r="J1906" t="s">
        <v>55</v>
      </c>
      <c r="K1906" t="s">
        <v>1461</v>
      </c>
      <c r="M1906" t="s">
        <v>6</v>
      </c>
    </row>
    <row r="1907" spans="2:13" hidden="1">
      <c r="B1907">
        <v>1905</v>
      </c>
      <c r="C1907">
        <v>176</v>
      </c>
      <c r="D1907">
        <v>6</v>
      </c>
      <c r="E1907">
        <v>5</v>
      </c>
      <c r="F1907">
        <v>0</v>
      </c>
      <c r="G1907" t="s">
        <v>32</v>
      </c>
      <c r="H1907" t="s">
        <v>9</v>
      </c>
      <c r="I1907" t="s">
        <v>1465</v>
      </c>
      <c r="J1907" t="s">
        <v>55</v>
      </c>
      <c r="K1907" t="s">
        <v>93</v>
      </c>
      <c r="M1907" t="s">
        <v>6</v>
      </c>
    </row>
    <row r="1908" spans="2:13" hidden="1">
      <c r="B1908">
        <v>1906</v>
      </c>
      <c r="C1908">
        <v>176</v>
      </c>
      <c r="D1908">
        <v>6</v>
      </c>
      <c r="E1908">
        <v>6</v>
      </c>
      <c r="F1908">
        <v>0</v>
      </c>
      <c r="G1908" t="s">
        <v>32</v>
      </c>
      <c r="H1908" t="s">
        <v>9</v>
      </c>
      <c r="I1908" t="s">
        <v>1465</v>
      </c>
      <c r="J1908" t="s">
        <v>64</v>
      </c>
      <c r="K1908" t="s">
        <v>94</v>
      </c>
      <c r="M1908" t="s">
        <v>6</v>
      </c>
    </row>
    <row r="1909" spans="2:13" hidden="1">
      <c r="B1909">
        <v>1907</v>
      </c>
      <c r="C1909">
        <v>177</v>
      </c>
      <c r="D1909">
        <v>20</v>
      </c>
      <c r="E1909">
        <v>0</v>
      </c>
      <c r="F1909">
        <v>0</v>
      </c>
      <c r="G1909" t="s">
        <v>32</v>
      </c>
      <c r="H1909" t="s">
        <v>9</v>
      </c>
      <c r="I1909" t="s">
        <v>1466</v>
      </c>
      <c r="J1909" t="s">
        <v>478</v>
      </c>
      <c r="K1909" t="s">
        <v>1466</v>
      </c>
      <c r="M1909" t="s">
        <v>6</v>
      </c>
    </row>
    <row r="1910" spans="2:13" hidden="1">
      <c r="B1910">
        <v>1908</v>
      </c>
      <c r="C1910">
        <v>177</v>
      </c>
      <c r="D1910">
        <v>20</v>
      </c>
      <c r="E1910">
        <v>1</v>
      </c>
      <c r="F1910">
        <v>0</v>
      </c>
      <c r="G1910" t="s">
        <v>32</v>
      </c>
      <c r="H1910" t="s">
        <v>9</v>
      </c>
      <c r="I1910" t="s">
        <v>1466</v>
      </c>
      <c r="J1910" t="s">
        <v>479</v>
      </c>
      <c r="K1910" t="s">
        <v>1402</v>
      </c>
      <c r="M1910" t="s">
        <v>6</v>
      </c>
    </row>
    <row r="1911" spans="2:13" hidden="1">
      <c r="B1911">
        <v>1909</v>
      </c>
      <c r="C1911">
        <v>177</v>
      </c>
      <c r="D1911">
        <v>20</v>
      </c>
      <c r="E1911">
        <v>2</v>
      </c>
      <c r="F1911">
        <v>0</v>
      </c>
      <c r="G1911" t="s">
        <v>32</v>
      </c>
      <c r="H1911" t="s">
        <v>9</v>
      </c>
      <c r="I1911" t="s">
        <v>1466</v>
      </c>
      <c r="J1911" t="s">
        <v>55</v>
      </c>
      <c r="K1911" t="s">
        <v>1455</v>
      </c>
      <c r="M1911" t="s">
        <v>6</v>
      </c>
    </row>
    <row r="1912" spans="2:13" hidden="1">
      <c r="B1912">
        <v>1910</v>
      </c>
      <c r="C1912">
        <v>177</v>
      </c>
      <c r="D1912">
        <v>20</v>
      </c>
      <c r="E1912">
        <v>3</v>
      </c>
      <c r="F1912">
        <v>0</v>
      </c>
      <c r="G1912" t="s">
        <v>32</v>
      </c>
      <c r="H1912" t="s">
        <v>9</v>
      </c>
      <c r="I1912" t="s">
        <v>1466</v>
      </c>
      <c r="J1912" t="s">
        <v>55</v>
      </c>
      <c r="K1912" t="s">
        <v>1456</v>
      </c>
      <c r="M1912" t="s">
        <v>6</v>
      </c>
    </row>
    <row r="1913" spans="2:13" hidden="1">
      <c r="B1913">
        <v>1911</v>
      </c>
      <c r="C1913">
        <v>177</v>
      </c>
      <c r="D1913">
        <v>20</v>
      </c>
      <c r="E1913">
        <v>4</v>
      </c>
      <c r="F1913">
        <v>0</v>
      </c>
      <c r="G1913" t="s">
        <v>32</v>
      </c>
      <c r="H1913" t="s">
        <v>9</v>
      </c>
      <c r="I1913" t="s">
        <v>1466</v>
      </c>
      <c r="J1913" t="s">
        <v>55</v>
      </c>
      <c r="K1913" t="s">
        <v>1460</v>
      </c>
      <c r="M1913" t="s">
        <v>6</v>
      </c>
    </row>
    <row r="1914" spans="2:13" hidden="1">
      <c r="B1914">
        <v>1912</v>
      </c>
      <c r="C1914">
        <v>177</v>
      </c>
      <c r="D1914">
        <v>20</v>
      </c>
      <c r="E1914">
        <v>5</v>
      </c>
      <c r="F1914">
        <v>0</v>
      </c>
      <c r="G1914" t="s">
        <v>32</v>
      </c>
      <c r="H1914" t="s">
        <v>9</v>
      </c>
      <c r="I1914" t="s">
        <v>1466</v>
      </c>
      <c r="J1914" t="s">
        <v>55</v>
      </c>
      <c r="K1914" t="s">
        <v>1461</v>
      </c>
      <c r="M1914" t="s">
        <v>6</v>
      </c>
    </row>
    <row r="1915" spans="2:13" hidden="1">
      <c r="B1915">
        <v>1913</v>
      </c>
      <c r="C1915">
        <v>177</v>
      </c>
      <c r="D1915">
        <v>20</v>
      </c>
      <c r="E1915">
        <v>6</v>
      </c>
      <c r="F1915">
        <v>0</v>
      </c>
      <c r="G1915" t="s">
        <v>32</v>
      </c>
      <c r="H1915" t="s">
        <v>9</v>
      </c>
      <c r="I1915" t="s">
        <v>1466</v>
      </c>
      <c r="J1915" t="s">
        <v>479</v>
      </c>
      <c r="K1915" t="s">
        <v>1408</v>
      </c>
      <c r="M1915" t="s">
        <v>6</v>
      </c>
    </row>
    <row r="1916" spans="2:13" hidden="1">
      <c r="B1916">
        <v>1914</v>
      </c>
      <c r="C1916">
        <v>177</v>
      </c>
      <c r="D1916">
        <v>20</v>
      </c>
      <c r="E1916">
        <v>7</v>
      </c>
      <c r="F1916">
        <v>0</v>
      </c>
      <c r="G1916" t="s">
        <v>32</v>
      </c>
      <c r="H1916" t="s">
        <v>9</v>
      </c>
      <c r="I1916" t="s">
        <v>1466</v>
      </c>
      <c r="J1916" t="s">
        <v>55</v>
      </c>
      <c r="K1916" t="s">
        <v>1464</v>
      </c>
      <c r="M1916" t="s">
        <v>6</v>
      </c>
    </row>
    <row r="1917" spans="2:13" hidden="1">
      <c r="B1917">
        <v>1915</v>
      </c>
      <c r="C1917">
        <v>177</v>
      </c>
      <c r="D1917">
        <v>20</v>
      </c>
      <c r="E1917">
        <v>8</v>
      </c>
      <c r="F1917">
        <v>0</v>
      </c>
      <c r="G1917" t="s">
        <v>32</v>
      </c>
      <c r="H1917" t="s">
        <v>9</v>
      </c>
      <c r="I1917" t="s">
        <v>1466</v>
      </c>
      <c r="J1917" t="s">
        <v>64</v>
      </c>
      <c r="K1917" t="s">
        <v>1461</v>
      </c>
      <c r="M1917" t="s">
        <v>6</v>
      </c>
    </row>
    <row r="1918" spans="2:13" hidden="1">
      <c r="B1918">
        <v>1916</v>
      </c>
      <c r="C1918">
        <v>177</v>
      </c>
      <c r="D1918">
        <v>20</v>
      </c>
      <c r="E1918">
        <v>9</v>
      </c>
      <c r="F1918">
        <v>0</v>
      </c>
      <c r="G1918" t="s">
        <v>32</v>
      </c>
      <c r="H1918" t="s">
        <v>9</v>
      </c>
      <c r="I1918" t="s">
        <v>1466</v>
      </c>
      <c r="J1918" t="s">
        <v>479</v>
      </c>
      <c r="K1918" t="s">
        <v>1467</v>
      </c>
      <c r="M1918" t="s">
        <v>6</v>
      </c>
    </row>
    <row r="1919" spans="2:13" hidden="1">
      <c r="B1919">
        <v>1917</v>
      </c>
      <c r="C1919">
        <v>177</v>
      </c>
      <c r="D1919">
        <v>20</v>
      </c>
      <c r="E1919">
        <v>10</v>
      </c>
      <c r="F1919">
        <v>0</v>
      </c>
      <c r="G1919" t="s">
        <v>32</v>
      </c>
      <c r="H1919" t="s">
        <v>9</v>
      </c>
      <c r="I1919" t="s">
        <v>1466</v>
      </c>
      <c r="J1919" t="s">
        <v>55</v>
      </c>
      <c r="K1919" t="s">
        <v>1468</v>
      </c>
      <c r="M1919" t="s">
        <v>6</v>
      </c>
    </row>
    <row r="1920" spans="2:13" hidden="1">
      <c r="B1920">
        <v>1918</v>
      </c>
      <c r="C1920">
        <v>177</v>
      </c>
      <c r="D1920">
        <v>20</v>
      </c>
      <c r="E1920">
        <v>11</v>
      </c>
      <c r="F1920">
        <v>0</v>
      </c>
      <c r="G1920" t="s">
        <v>32</v>
      </c>
      <c r="H1920" t="s">
        <v>9</v>
      </c>
      <c r="I1920" t="s">
        <v>1466</v>
      </c>
      <c r="J1920" t="s">
        <v>55</v>
      </c>
      <c r="K1920" t="s">
        <v>1469</v>
      </c>
      <c r="M1920" t="s">
        <v>6</v>
      </c>
    </row>
    <row r="1921" spans="2:13" hidden="1">
      <c r="B1921">
        <v>1919</v>
      </c>
      <c r="C1921">
        <v>177</v>
      </c>
      <c r="D1921">
        <v>20</v>
      </c>
      <c r="E1921">
        <v>12</v>
      </c>
      <c r="F1921">
        <v>0</v>
      </c>
      <c r="G1921" t="s">
        <v>32</v>
      </c>
      <c r="H1921" t="s">
        <v>9</v>
      </c>
      <c r="I1921" t="s">
        <v>1466</v>
      </c>
      <c r="J1921" t="s">
        <v>55</v>
      </c>
      <c r="K1921" t="s">
        <v>1470</v>
      </c>
      <c r="M1921" t="s">
        <v>6</v>
      </c>
    </row>
    <row r="1922" spans="2:13" hidden="1">
      <c r="B1922">
        <v>1920</v>
      </c>
      <c r="C1922">
        <v>177</v>
      </c>
      <c r="D1922">
        <v>20</v>
      </c>
      <c r="E1922">
        <v>13</v>
      </c>
      <c r="F1922">
        <v>0</v>
      </c>
      <c r="G1922" t="s">
        <v>32</v>
      </c>
      <c r="H1922" t="s">
        <v>9</v>
      </c>
      <c r="I1922" t="s">
        <v>1466</v>
      </c>
      <c r="J1922" t="s">
        <v>55</v>
      </c>
      <c r="K1922" t="s">
        <v>1471</v>
      </c>
      <c r="M1922" t="s">
        <v>6</v>
      </c>
    </row>
    <row r="1923" spans="2:13" hidden="1">
      <c r="B1923">
        <v>1921</v>
      </c>
      <c r="C1923">
        <v>177</v>
      </c>
      <c r="D1923">
        <v>20</v>
      </c>
      <c r="E1923">
        <v>14</v>
      </c>
      <c r="F1923">
        <v>0</v>
      </c>
      <c r="G1923" t="s">
        <v>32</v>
      </c>
      <c r="H1923" t="s">
        <v>9</v>
      </c>
      <c r="I1923" t="s">
        <v>1466</v>
      </c>
      <c r="J1923" t="s">
        <v>55</v>
      </c>
      <c r="K1923" t="s">
        <v>1472</v>
      </c>
      <c r="M1923" t="s">
        <v>6</v>
      </c>
    </row>
    <row r="1924" spans="2:13" hidden="1">
      <c r="B1924">
        <v>1922</v>
      </c>
      <c r="C1924">
        <v>177</v>
      </c>
      <c r="D1924">
        <v>20</v>
      </c>
      <c r="E1924">
        <v>15</v>
      </c>
      <c r="F1924">
        <v>0</v>
      </c>
      <c r="G1924" t="s">
        <v>32</v>
      </c>
      <c r="H1924" t="s">
        <v>9</v>
      </c>
      <c r="I1924" t="s">
        <v>1466</v>
      </c>
      <c r="J1924" t="s">
        <v>55</v>
      </c>
      <c r="K1924" t="s">
        <v>1473</v>
      </c>
      <c r="M1924" t="s">
        <v>6</v>
      </c>
    </row>
    <row r="1925" spans="2:13" hidden="1">
      <c r="B1925">
        <v>1923</v>
      </c>
      <c r="C1925">
        <v>177</v>
      </c>
      <c r="D1925">
        <v>20</v>
      </c>
      <c r="E1925">
        <v>16</v>
      </c>
      <c r="F1925">
        <v>0</v>
      </c>
      <c r="G1925" t="s">
        <v>32</v>
      </c>
      <c r="H1925" t="s">
        <v>9</v>
      </c>
      <c r="I1925" t="s">
        <v>1466</v>
      </c>
      <c r="J1925" t="s">
        <v>55</v>
      </c>
      <c r="K1925" t="s">
        <v>1474</v>
      </c>
      <c r="M1925" t="s">
        <v>6</v>
      </c>
    </row>
    <row r="1926" spans="2:13" hidden="1">
      <c r="B1926">
        <v>1924</v>
      </c>
      <c r="C1926">
        <v>177</v>
      </c>
      <c r="D1926">
        <v>20</v>
      </c>
      <c r="E1926">
        <v>17</v>
      </c>
      <c r="F1926">
        <v>0</v>
      </c>
      <c r="G1926" t="s">
        <v>32</v>
      </c>
      <c r="H1926" t="s">
        <v>9</v>
      </c>
      <c r="I1926" t="s">
        <v>1466</v>
      </c>
      <c r="J1926" t="s">
        <v>55</v>
      </c>
      <c r="K1926" t="s">
        <v>1475</v>
      </c>
      <c r="M1926" t="s">
        <v>6</v>
      </c>
    </row>
    <row r="1927" spans="2:13" hidden="1">
      <c r="B1927">
        <v>1925</v>
      </c>
      <c r="C1927">
        <v>177</v>
      </c>
      <c r="D1927">
        <v>20</v>
      </c>
      <c r="E1927">
        <v>18</v>
      </c>
      <c r="F1927">
        <v>0</v>
      </c>
      <c r="G1927" t="s">
        <v>32</v>
      </c>
      <c r="H1927" t="s">
        <v>9</v>
      </c>
      <c r="I1927" t="s">
        <v>1466</v>
      </c>
      <c r="J1927" t="s">
        <v>64</v>
      </c>
      <c r="K1927" t="s">
        <v>1461</v>
      </c>
      <c r="M1927" t="s">
        <v>6</v>
      </c>
    </row>
    <row r="1928" spans="2:13" hidden="1">
      <c r="B1928">
        <v>1926</v>
      </c>
      <c r="C1928">
        <v>177</v>
      </c>
      <c r="D1928">
        <v>20</v>
      </c>
      <c r="E1928">
        <v>19</v>
      </c>
      <c r="F1928">
        <v>0</v>
      </c>
      <c r="G1928" t="s">
        <v>32</v>
      </c>
      <c r="H1928" t="s">
        <v>9</v>
      </c>
      <c r="I1928" t="s">
        <v>1466</v>
      </c>
      <c r="J1928" t="s">
        <v>55</v>
      </c>
      <c r="K1928" t="s">
        <v>93</v>
      </c>
      <c r="M1928" t="s">
        <v>6</v>
      </c>
    </row>
    <row r="1929" spans="2:13" hidden="1">
      <c r="B1929">
        <v>1927</v>
      </c>
      <c r="C1929">
        <v>177</v>
      </c>
      <c r="D1929">
        <v>20</v>
      </c>
      <c r="E1929">
        <v>20</v>
      </c>
      <c r="F1929">
        <v>0</v>
      </c>
      <c r="G1929" t="s">
        <v>32</v>
      </c>
      <c r="H1929" t="s">
        <v>9</v>
      </c>
      <c r="I1929" t="s">
        <v>1466</v>
      </c>
      <c r="J1929" t="s">
        <v>64</v>
      </c>
      <c r="K1929" t="s">
        <v>94</v>
      </c>
      <c r="M1929" t="s">
        <v>6</v>
      </c>
    </row>
    <row r="1930" spans="2:13" hidden="1">
      <c r="B1930">
        <v>1928</v>
      </c>
      <c r="C1930">
        <v>178</v>
      </c>
      <c r="D1930">
        <v>10</v>
      </c>
      <c r="E1930">
        <v>0</v>
      </c>
      <c r="F1930">
        <v>0</v>
      </c>
      <c r="G1930" t="s">
        <v>32</v>
      </c>
      <c r="H1930" t="s">
        <v>9</v>
      </c>
      <c r="I1930" t="s">
        <v>1476</v>
      </c>
      <c r="J1930" t="s">
        <v>478</v>
      </c>
      <c r="K1930" t="s">
        <v>1476</v>
      </c>
      <c r="M1930" t="s">
        <v>6</v>
      </c>
    </row>
    <row r="1931" spans="2:13" hidden="1">
      <c r="B1931">
        <v>1929</v>
      </c>
      <c r="C1931">
        <v>178</v>
      </c>
      <c r="D1931">
        <v>10</v>
      </c>
      <c r="E1931">
        <v>1</v>
      </c>
      <c r="F1931">
        <v>0</v>
      </c>
      <c r="G1931" t="s">
        <v>32</v>
      </c>
      <c r="H1931" t="s">
        <v>9</v>
      </c>
      <c r="I1931" t="s">
        <v>1476</v>
      </c>
      <c r="J1931" t="s">
        <v>479</v>
      </c>
      <c r="K1931" t="s">
        <v>1397</v>
      </c>
      <c r="M1931" t="s">
        <v>6</v>
      </c>
    </row>
    <row r="1932" spans="2:13" hidden="1">
      <c r="B1932">
        <v>1930</v>
      </c>
      <c r="C1932">
        <v>178</v>
      </c>
      <c r="D1932">
        <v>10</v>
      </c>
      <c r="E1932">
        <v>2</v>
      </c>
      <c r="F1932">
        <v>0</v>
      </c>
      <c r="G1932" t="s">
        <v>32</v>
      </c>
      <c r="H1932" t="s">
        <v>9</v>
      </c>
      <c r="I1932" t="s">
        <v>1476</v>
      </c>
      <c r="J1932" t="s">
        <v>55</v>
      </c>
      <c r="K1932" t="s">
        <v>1477</v>
      </c>
      <c r="M1932" t="s">
        <v>6</v>
      </c>
    </row>
    <row r="1933" spans="2:13" hidden="1">
      <c r="B1933">
        <v>1931</v>
      </c>
      <c r="C1933">
        <v>178</v>
      </c>
      <c r="D1933">
        <v>10</v>
      </c>
      <c r="E1933">
        <v>3</v>
      </c>
      <c r="F1933">
        <v>0</v>
      </c>
      <c r="G1933" t="s">
        <v>32</v>
      </c>
      <c r="H1933" t="s">
        <v>9</v>
      </c>
      <c r="I1933" t="s">
        <v>1476</v>
      </c>
      <c r="J1933" t="s">
        <v>55</v>
      </c>
      <c r="K1933" t="s">
        <v>1478</v>
      </c>
      <c r="M1933" t="s">
        <v>6</v>
      </c>
    </row>
    <row r="1934" spans="2:13" hidden="1">
      <c r="B1934">
        <v>1932</v>
      </c>
      <c r="C1934">
        <v>178</v>
      </c>
      <c r="D1934">
        <v>10</v>
      </c>
      <c r="E1934">
        <v>4</v>
      </c>
      <c r="F1934">
        <v>0</v>
      </c>
      <c r="G1934" t="s">
        <v>32</v>
      </c>
      <c r="H1934" t="s">
        <v>9</v>
      </c>
      <c r="I1934" t="s">
        <v>1476</v>
      </c>
      <c r="J1934" t="s">
        <v>55</v>
      </c>
      <c r="K1934" t="s">
        <v>1479</v>
      </c>
      <c r="M1934" t="s">
        <v>6</v>
      </c>
    </row>
    <row r="1935" spans="2:13" hidden="1">
      <c r="B1935">
        <v>1933</v>
      </c>
      <c r="C1935">
        <v>178</v>
      </c>
      <c r="D1935">
        <v>10</v>
      </c>
      <c r="E1935">
        <v>5</v>
      </c>
      <c r="F1935">
        <v>0</v>
      </c>
      <c r="G1935" t="s">
        <v>32</v>
      </c>
      <c r="H1935" t="s">
        <v>9</v>
      </c>
      <c r="I1935" t="s">
        <v>1476</v>
      </c>
      <c r="J1935" t="s">
        <v>479</v>
      </c>
      <c r="K1935" t="s">
        <v>1402</v>
      </c>
      <c r="M1935" t="s">
        <v>6</v>
      </c>
    </row>
    <row r="1936" spans="2:13" hidden="1">
      <c r="B1936">
        <v>1934</v>
      </c>
      <c r="C1936">
        <v>178</v>
      </c>
      <c r="D1936">
        <v>10</v>
      </c>
      <c r="E1936">
        <v>6</v>
      </c>
      <c r="F1936">
        <v>0</v>
      </c>
      <c r="G1936" t="s">
        <v>32</v>
      </c>
      <c r="H1936" t="s">
        <v>9</v>
      </c>
      <c r="I1936" t="s">
        <v>1476</v>
      </c>
      <c r="J1936" t="s">
        <v>55</v>
      </c>
      <c r="K1936" t="s">
        <v>1480</v>
      </c>
      <c r="M1936" t="s">
        <v>6</v>
      </c>
    </row>
    <row r="1937" spans="2:13" hidden="1">
      <c r="B1937">
        <v>1935</v>
      </c>
      <c r="C1937">
        <v>178</v>
      </c>
      <c r="D1937">
        <v>10</v>
      </c>
      <c r="E1937">
        <v>7</v>
      </c>
      <c r="F1937">
        <v>0</v>
      </c>
      <c r="G1937" t="s">
        <v>32</v>
      </c>
      <c r="H1937" t="s">
        <v>9</v>
      </c>
      <c r="I1937" t="s">
        <v>1476</v>
      </c>
      <c r="J1937" t="s">
        <v>55</v>
      </c>
      <c r="K1937" t="s">
        <v>1481</v>
      </c>
      <c r="M1937" t="s">
        <v>6</v>
      </c>
    </row>
    <row r="1938" spans="2:13" hidden="1">
      <c r="B1938">
        <v>1936</v>
      </c>
      <c r="C1938">
        <v>178</v>
      </c>
      <c r="D1938">
        <v>10</v>
      </c>
      <c r="E1938">
        <v>8</v>
      </c>
      <c r="F1938">
        <v>0</v>
      </c>
      <c r="G1938" t="s">
        <v>32</v>
      </c>
      <c r="H1938" t="s">
        <v>9</v>
      </c>
      <c r="I1938" t="s">
        <v>1476</v>
      </c>
      <c r="J1938" t="s">
        <v>55</v>
      </c>
      <c r="K1938" t="s">
        <v>1482</v>
      </c>
      <c r="M1938" t="s">
        <v>6</v>
      </c>
    </row>
    <row r="1939" spans="2:13" hidden="1">
      <c r="B1939">
        <v>1937</v>
      </c>
      <c r="C1939">
        <v>178</v>
      </c>
      <c r="D1939">
        <v>10</v>
      </c>
      <c r="E1939">
        <v>9</v>
      </c>
      <c r="F1939">
        <v>0</v>
      </c>
      <c r="G1939" t="s">
        <v>32</v>
      </c>
      <c r="H1939" t="s">
        <v>9</v>
      </c>
      <c r="I1939" t="s">
        <v>1476</v>
      </c>
      <c r="J1939" t="s">
        <v>55</v>
      </c>
      <c r="K1939" t="s">
        <v>93</v>
      </c>
      <c r="M1939" t="s">
        <v>6</v>
      </c>
    </row>
    <row r="1940" spans="2:13" hidden="1">
      <c r="B1940">
        <v>1938</v>
      </c>
      <c r="C1940">
        <v>178</v>
      </c>
      <c r="D1940">
        <v>10</v>
      </c>
      <c r="E1940">
        <v>10</v>
      </c>
      <c r="F1940">
        <v>0</v>
      </c>
      <c r="G1940" t="s">
        <v>32</v>
      </c>
      <c r="H1940" t="s">
        <v>9</v>
      </c>
      <c r="I1940" t="s">
        <v>1476</v>
      </c>
      <c r="J1940" t="s">
        <v>64</v>
      </c>
      <c r="K1940" t="s">
        <v>94</v>
      </c>
      <c r="M1940" t="s">
        <v>6</v>
      </c>
    </row>
    <row r="1941" spans="2:13" hidden="1">
      <c r="B1941">
        <v>1939</v>
      </c>
      <c r="C1941">
        <v>179</v>
      </c>
      <c r="D1941">
        <v>11</v>
      </c>
      <c r="E1941">
        <v>0</v>
      </c>
      <c r="F1941">
        <v>0</v>
      </c>
      <c r="G1941" t="s">
        <v>32</v>
      </c>
      <c r="H1941" t="s">
        <v>9</v>
      </c>
      <c r="I1941" t="s">
        <v>1483</v>
      </c>
      <c r="J1941" t="s">
        <v>478</v>
      </c>
      <c r="K1941" t="s">
        <v>1483</v>
      </c>
      <c r="M1941" t="s">
        <v>6</v>
      </c>
    </row>
    <row r="1942" spans="2:13" hidden="1">
      <c r="B1942">
        <v>1940</v>
      </c>
      <c r="C1942">
        <v>179</v>
      </c>
      <c r="D1942">
        <v>11</v>
      </c>
      <c r="E1942">
        <v>1</v>
      </c>
      <c r="F1942">
        <v>0</v>
      </c>
      <c r="G1942" t="s">
        <v>32</v>
      </c>
      <c r="H1942" t="s">
        <v>9</v>
      </c>
      <c r="I1942" t="s">
        <v>1483</v>
      </c>
      <c r="J1942" t="s">
        <v>55</v>
      </c>
      <c r="K1942" t="s">
        <v>1484</v>
      </c>
      <c r="M1942" t="s">
        <v>6</v>
      </c>
    </row>
    <row r="1943" spans="2:13" hidden="1">
      <c r="B1943">
        <v>1941</v>
      </c>
      <c r="C1943">
        <v>179</v>
      </c>
      <c r="D1943">
        <v>11</v>
      </c>
      <c r="E1943">
        <v>2</v>
      </c>
      <c r="F1943">
        <v>0</v>
      </c>
      <c r="G1943" t="s">
        <v>32</v>
      </c>
      <c r="H1943" t="s">
        <v>9</v>
      </c>
      <c r="I1943" t="s">
        <v>1483</v>
      </c>
      <c r="J1943" t="s">
        <v>55</v>
      </c>
      <c r="K1943" t="s">
        <v>1485</v>
      </c>
      <c r="M1943" t="s">
        <v>6</v>
      </c>
    </row>
    <row r="1944" spans="2:13" hidden="1">
      <c r="B1944">
        <v>1942</v>
      </c>
      <c r="C1944">
        <v>179</v>
      </c>
      <c r="D1944">
        <v>11</v>
      </c>
      <c r="E1944">
        <v>3</v>
      </c>
      <c r="F1944">
        <v>0</v>
      </c>
      <c r="G1944" t="s">
        <v>32</v>
      </c>
      <c r="H1944" t="s">
        <v>9</v>
      </c>
      <c r="I1944" t="s">
        <v>1483</v>
      </c>
      <c r="J1944" t="s">
        <v>55</v>
      </c>
      <c r="K1944" t="s">
        <v>1486</v>
      </c>
      <c r="M1944" t="s">
        <v>6</v>
      </c>
    </row>
    <row r="1945" spans="2:13" hidden="1">
      <c r="B1945">
        <v>1943</v>
      </c>
      <c r="C1945">
        <v>179</v>
      </c>
      <c r="D1945">
        <v>11</v>
      </c>
      <c r="E1945">
        <v>4</v>
      </c>
      <c r="F1945">
        <v>0</v>
      </c>
      <c r="G1945" t="s">
        <v>32</v>
      </c>
      <c r="H1945" t="s">
        <v>9</v>
      </c>
      <c r="I1945" t="s">
        <v>1483</v>
      </c>
      <c r="J1945" t="s">
        <v>55</v>
      </c>
      <c r="K1945" t="s">
        <v>1487</v>
      </c>
      <c r="M1945" t="s">
        <v>6</v>
      </c>
    </row>
    <row r="1946" spans="2:13" hidden="1">
      <c r="B1946">
        <v>1944</v>
      </c>
      <c r="C1946">
        <v>179</v>
      </c>
      <c r="D1946">
        <v>11</v>
      </c>
      <c r="E1946">
        <v>5</v>
      </c>
      <c r="F1946">
        <v>0</v>
      </c>
      <c r="G1946" t="s">
        <v>32</v>
      </c>
      <c r="H1946" t="s">
        <v>9</v>
      </c>
      <c r="I1946" t="s">
        <v>1483</v>
      </c>
      <c r="J1946" t="s">
        <v>55</v>
      </c>
      <c r="K1946" t="s">
        <v>1488</v>
      </c>
      <c r="M1946" t="s">
        <v>6</v>
      </c>
    </row>
    <row r="1947" spans="2:13" hidden="1">
      <c r="B1947">
        <v>1945</v>
      </c>
      <c r="C1947">
        <v>179</v>
      </c>
      <c r="D1947">
        <v>11</v>
      </c>
      <c r="E1947">
        <v>6</v>
      </c>
      <c r="F1947">
        <v>0</v>
      </c>
      <c r="G1947" t="s">
        <v>32</v>
      </c>
      <c r="H1947" t="s">
        <v>9</v>
      </c>
      <c r="I1947" t="s">
        <v>1483</v>
      </c>
      <c r="J1947" t="s">
        <v>55</v>
      </c>
      <c r="K1947" t="s">
        <v>1489</v>
      </c>
      <c r="M1947" t="s">
        <v>6</v>
      </c>
    </row>
    <row r="1948" spans="2:13" hidden="1">
      <c r="B1948">
        <v>1946</v>
      </c>
      <c r="C1948">
        <v>179</v>
      </c>
      <c r="D1948">
        <v>11</v>
      </c>
      <c r="E1948">
        <v>7</v>
      </c>
      <c r="F1948">
        <v>0</v>
      </c>
      <c r="G1948" t="s">
        <v>32</v>
      </c>
      <c r="H1948" t="s">
        <v>9</v>
      </c>
      <c r="I1948" t="s">
        <v>1483</v>
      </c>
      <c r="J1948" t="s">
        <v>55</v>
      </c>
      <c r="K1948" t="s">
        <v>1490</v>
      </c>
      <c r="M1948" t="s">
        <v>6</v>
      </c>
    </row>
    <row r="1949" spans="2:13" hidden="1">
      <c r="B1949">
        <v>1947</v>
      </c>
      <c r="C1949">
        <v>179</v>
      </c>
      <c r="D1949">
        <v>11</v>
      </c>
      <c r="E1949">
        <v>8</v>
      </c>
      <c r="F1949">
        <v>0</v>
      </c>
      <c r="G1949" t="s">
        <v>32</v>
      </c>
      <c r="H1949" t="s">
        <v>9</v>
      </c>
      <c r="I1949" t="s">
        <v>1483</v>
      </c>
      <c r="J1949" t="s">
        <v>55</v>
      </c>
      <c r="K1949" t="s">
        <v>1491</v>
      </c>
      <c r="M1949" t="s">
        <v>6</v>
      </c>
    </row>
    <row r="1950" spans="2:13" hidden="1">
      <c r="B1950">
        <v>1948</v>
      </c>
      <c r="C1950">
        <v>179</v>
      </c>
      <c r="D1950">
        <v>11</v>
      </c>
      <c r="E1950">
        <v>9</v>
      </c>
      <c r="F1950">
        <v>0</v>
      </c>
      <c r="G1950" t="s">
        <v>32</v>
      </c>
      <c r="H1950" t="s">
        <v>9</v>
      </c>
      <c r="I1950" t="s">
        <v>1483</v>
      </c>
      <c r="J1950" t="s">
        <v>55</v>
      </c>
      <c r="K1950" t="s">
        <v>1492</v>
      </c>
      <c r="M1950" t="s">
        <v>6</v>
      </c>
    </row>
    <row r="1951" spans="2:13" hidden="1">
      <c r="B1951">
        <v>1949</v>
      </c>
      <c r="C1951">
        <v>179</v>
      </c>
      <c r="D1951">
        <v>11</v>
      </c>
      <c r="E1951">
        <v>10</v>
      </c>
      <c r="F1951">
        <v>0</v>
      </c>
      <c r="G1951" t="s">
        <v>32</v>
      </c>
      <c r="H1951" t="s">
        <v>9</v>
      </c>
      <c r="I1951" t="s">
        <v>1483</v>
      </c>
      <c r="J1951" t="s">
        <v>55</v>
      </c>
      <c r="K1951" t="s">
        <v>93</v>
      </c>
      <c r="M1951" t="s">
        <v>6</v>
      </c>
    </row>
    <row r="1952" spans="2:13" hidden="1">
      <c r="B1952">
        <v>1950</v>
      </c>
      <c r="C1952">
        <v>179</v>
      </c>
      <c r="D1952">
        <v>11</v>
      </c>
      <c r="E1952">
        <v>11</v>
      </c>
      <c r="F1952">
        <v>0</v>
      </c>
      <c r="G1952" t="s">
        <v>32</v>
      </c>
      <c r="H1952" t="s">
        <v>9</v>
      </c>
      <c r="I1952" t="s">
        <v>1483</v>
      </c>
      <c r="J1952" t="s">
        <v>64</v>
      </c>
      <c r="K1952" t="s">
        <v>94</v>
      </c>
      <c r="M1952" t="s">
        <v>6</v>
      </c>
    </row>
    <row r="1953" spans="2:13" hidden="1">
      <c r="B1953">
        <v>1951</v>
      </c>
      <c r="C1953">
        <v>180</v>
      </c>
      <c r="D1953">
        <v>37</v>
      </c>
      <c r="E1953">
        <v>0</v>
      </c>
      <c r="F1953">
        <v>0</v>
      </c>
      <c r="G1953" t="s">
        <v>32</v>
      </c>
      <c r="H1953" t="s">
        <v>9</v>
      </c>
      <c r="I1953" t="s">
        <v>1493</v>
      </c>
      <c r="J1953" t="s">
        <v>478</v>
      </c>
      <c r="K1953" t="s">
        <v>1493</v>
      </c>
      <c r="M1953" t="s">
        <v>6</v>
      </c>
    </row>
    <row r="1954" spans="2:13" hidden="1">
      <c r="B1954">
        <v>1952</v>
      </c>
      <c r="C1954">
        <v>180</v>
      </c>
      <c r="D1954">
        <v>37</v>
      </c>
      <c r="E1954">
        <v>1</v>
      </c>
      <c r="F1954">
        <v>0</v>
      </c>
      <c r="G1954" t="s">
        <v>32</v>
      </c>
      <c r="H1954" t="s">
        <v>9</v>
      </c>
      <c r="I1954" t="s">
        <v>1493</v>
      </c>
      <c r="J1954" t="s">
        <v>479</v>
      </c>
      <c r="K1954" t="s">
        <v>1397</v>
      </c>
      <c r="M1954" t="s">
        <v>6</v>
      </c>
    </row>
    <row r="1955" spans="2:13" hidden="1">
      <c r="B1955">
        <v>1953</v>
      </c>
      <c r="C1955">
        <v>180</v>
      </c>
      <c r="D1955">
        <v>37</v>
      </c>
      <c r="E1955">
        <v>2</v>
      </c>
      <c r="F1955">
        <v>0</v>
      </c>
      <c r="G1955" t="s">
        <v>32</v>
      </c>
      <c r="H1955" t="s">
        <v>9</v>
      </c>
      <c r="I1955" t="s">
        <v>1493</v>
      </c>
      <c r="J1955" t="s">
        <v>55</v>
      </c>
      <c r="K1955" t="s">
        <v>1494</v>
      </c>
      <c r="M1955" t="s">
        <v>6</v>
      </c>
    </row>
    <row r="1956" spans="2:13" hidden="1">
      <c r="B1956">
        <v>1954</v>
      </c>
      <c r="C1956">
        <v>180</v>
      </c>
      <c r="D1956">
        <v>37</v>
      </c>
      <c r="E1956">
        <v>3</v>
      </c>
      <c r="F1956">
        <v>0</v>
      </c>
      <c r="G1956" t="s">
        <v>32</v>
      </c>
      <c r="H1956" t="s">
        <v>9</v>
      </c>
      <c r="I1956" t="s">
        <v>1493</v>
      </c>
      <c r="J1956" t="s">
        <v>55</v>
      </c>
      <c r="K1956" t="s">
        <v>1495</v>
      </c>
      <c r="M1956" t="s">
        <v>6</v>
      </c>
    </row>
    <row r="1957" spans="2:13" hidden="1">
      <c r="B1957">
        <v>1955</v>
      </c>
      <c r="C1957">
        <v>180</v>
      </c>
      <c r="D1957">
        <v>37</v>
      </c>
      <c r="E1957">
        <v>4</v>
      </c>
      <c r="F1957">
        <v>0</v>
      </c>
      <c r="G1957" t="s">
        <v>32</v>
      </c>
      <c r="H1957" t="s">
        <v>9</v>
      </c>
      <c r="I1957" t="s">
        <v>1493</v>
      </c>
      <c r="J1957" t="s">
        <v>55</v>
      </c>
      <c r="K1957" t="s">
        <v>1496</v>
      </c>
      <c r="M1957" t="s">
        <v>6</v>
      </c>
    </row>
    <row r="1958" spans="2:13" hidden="1">
      <c r="B1958">
        <v>1956</v>
      </c>
      <c r="C1958">
        <v>180</v>
      </c>
      <c r="D1958">
        <v>37</v>
      </c>
      <c r="E1958">
        <v>5</v>
      </c>
      <c r="F1958">
        <v>0</v>
      </c>
      <c r="G1958" t="s">
        <v>32</v>
      </c>
      <c r="H1958" t="s">
        <v>9</v>
      </c>
      <c r="I1958" t="s">
        <v>1493</v>
      </c>
      <c r="J1958" t="s">
        <v>55</v>
      </c>
      <c r="K1958" t="s">
        <v>1497</v>
      </c>
      <c r="M1958" t="s">
        <v>6</v>
      </c>
    </row>
    <row r="1959" spans="2:13" hidden="1">
      <c r="B1959">
        <v>1957</v>
      </c>
      <c r="C1959">
        <v>180</v>
      </c>
      <c r="D1959">
        <v>37</v>
      </c>
      <c r="E1959">
        <v>6</v>
      </c>
      <c r="F1959">
        <v>0</v>
      </c>
      <c r="G1959" t="s">
        <v>32</v>
      </c>
      <c r="H1959" t="s">
        <v>9</v>
      </c>
      <c r="I1959" t="s">
        <v>1493</v>
      </c>
      <c r="J1959" t="s">
        <v>479</v>
      </c>
      <c r="K1959" t="s">
        <v>1402</v>
      </c>
      <c r="M1959" t="s">
        <v>6</v>
      </c>
    </row>
    <row r="1960" spans="2:13" hidden="1">
      <c r="B1960">
        <v>1958</v>
      </c>
      <c r="C1960">
        <v>180</v>
      </c>
      <c r="D1960">
        <v>37</v>
      </c>
      <c r="E1960">
        <v>7</v>
      </c>
      <c r="F1960">
        <v>0</v>
      </c>
      <c r="G1960" t="s">
        <v>32</v>
      </c>
      <c r="H1960" t="s">
        <v>9</v>
      </c>
      <c r="I1960" t="s">
        <v>1493</v>
      </c>
      <c r="J1960" t="s">
        <v>55</v>
      </c>
      <c r="K1960" t="s">
        <v>1324</v>
      </c>
      <c r="M1960" t="s">
        <v>6</v>
      </c>
    </row>
    <row r="1961" spans="2:13" hidden="1">
      <c r="B1961">
        <v>1959</v>
      </c>
      <c r="C1961">
        <v>180</v>
      </c>
      <c r="D1961">
        <v>37</v>
      </c>
      <c r="E1961">
        <v>8</v>
      </c>
      <c r="F1961">
        <v>0</v>
      </c>
      <c r="G1961" t="s">
        <v>32</v>
      </c>
      <c r="H1961" t="s">
        <v>9</v>
      </c>
      <c r="I1961" t="s">
        <v>1493</v>
      </c>
      <c r="J1961" t="s">
        <v>55</v>
      </c>
      <c r="K1961" t="s">
        <v>1498</v>
      </c>
      <c r="M1961" t="s">
        <v>6</v>
      </c>
    </row>
    <row r="1962" spans="2:13" hidden="1">
      <c r="B1962">
        <v>1960</v>
      </c>
      <c r="C1962">
        <v>180</v>
      </c>
      <c r="D1962">
        <v>37</v>
      </c>
      <c r="E1962">
        <v>9</v>
      </c>
      <c r="F1962">
        <v>0</v>
      </c>
      <c r="G1962" t="s">
        <v>32</v>
      </c>
      <c r="H1962" t="s">
        <v>9</v>
      </c>
      <c r="I1962" t="s">
        <v>1493</v>
      </c>
      <c r="J1962" t="s">
        <v>55</v>
      </c>
      <c r="K1962" t="s">
        <v>1499</v>
      </c>
      <c r="M1962" t="s">
        <v>6</v>
      </c>
    </row>
    <row r="1963" spans="2:13" hidden="1">
      <c r="B1963">
        <v>1961</v>
      </c>
      <c r="C1963">
        <v>180</v>
      </c>
      <c r="D1963">
        <v>37</v>
      </c>
      <c r="E1963">
        <v>10</v>
      </c>
      <c r="F1963">
        <v>0</v>
      </c>
      <c r="G1963" t="s">
        <v>32</v>
      </c>
      <c r="H1963" t="s">
        <v>9</v>
      </c>
      <c r="I1963" t="s">
        <v>1493</v>
      </c>
      <c r="J1963" t="s">
        <v>55</v>
      </c>
      <c r="K1963" t="s">
        <v>1500</v>
      </c>
      <c r="M1963" t="s">
        <v>6</v>
      </c>
    </row>
    <row r="1964" spans="2:13" hidden="1">
      <c r="B1964">
        <v>1962</v>
      </c>
      <c r="C1964">
        <v>180</v>
      </c>
      <c r="D1964">
        <v>37</v>
      </c>
      <c r="E1964">
        <v>11</v>
      </c>
      <c r="F1964">
        <v>0</v>
      </c>
      <c r="G1964" t="s">
        <v>32</v>
      </c>
      <c r="H1964" t="s">
        <v>9</v>
      </c>
      <c r="I1964" t="s">
        <v>1493</v>
      </c>
      <c r="J1964" t="s">
        <v>55</v>
      </c>
      <c r="K1964" t="s">
        <v>1501</v>
      </c>
      <c r="M1964" t="s">
        <v>6</v>
      </c>
    </row>
    <row r="1965" spans="2:13" hidden="1">
      <c r="B1965">
        <v>1963</v>
      </c>
      <c r="C1965">
        <v>180</v>
      </c>
      <c r="D1965">
        <v>37</v>
      </c>
      <c r="E1965">
        <v>12</v>
      </c>
      <c r="F1965">
        <v>0</v>
      </c>
      <c r="G1965" t="s">
        <v>32</v>
      </c>
      <c r="H1965" t="s">
        <v>9</v>
      </c>
      <c r="I1965" t="s">
        <v>1493</v>
      </c>
      <c r="J1965" t="s">
        <v>55</v>
      </c>
      <c r="K1965" t="s">
        <v>1502</v>
      </c>
      <c r="M1965" t="s">
        <v>6</v>
      </c>
    </row>
    <row r="1966" spans="2:13" hidden="1">
      <c r="B1966">
        <v>1964</v>
      </c>
      <c r="C1966">
        <v>180</v>
      </c>
      <c r="D1966">
        <v>37</v>
      </c>
      <c r="E1966">
        <v>13</v>
      </c>
      <c r="F1966">
        <v>0</v>
      </c>
      <c r="G1966" t="s">
        <v>32</v>
      </c>
      <c r="H1966" t="s">
        <v>9</v>
      </c>
      <c r="I1966" t="s">
        <v>1493</v>
      </c>
      <c r="J1966" t="s">
        <v>55</v>
      </c>
      <c r="K1966" t="s">
        <v>1503</v>
      </c>
      <c r="M1966" t="s">
        <v>6</v>
      </c>
    </row>
    <row r="1967" spans="2:13" hidden="1">
      <c r="B1967">
        <v>1965</v>
      </c>
      <c r="C1967">
        <v>180</v>
      </c>
      <c r="D1967">
        <v>37</v>
      </c>
      <c r="E1967">
        <v>14</v>
      </c>
      <c r="F1967">
        <v>0</v>
      </c>
      <c r="G1967" t="s">
        <v>32</v>
      </c>
      <c r="H1967" t="s">
        <v>9</v>
      </c>
      <c r="I1967" t="s">
        <v>1493</v>
      </c>
      <c r="J1967" t="s">
        <v>55</v>
      </c>
      <c r="K1967" t="s">
        <v>1504</v>
      </c>
      <c r="M1967" t="s">
        <v>6</v>
      </c>
    </row>
    <row r="1968" spans="2:13" hidden="1">
      <c r="B1968">
        <v>1966</v>
      </c>
      <c r="C1968">
        <v>180</v>
      </c>
      <c r="D1968">
        <v>37</v>
      </c>
      <c r="E1968">
        <v>15</v>
      </c>
      <c r="F1968">
        <v>0</v>
      </c>
      <c r="G1968" t="s">
        <v>32</v>
      </c>
      <c r="H1968" t="s">
        <v>9</v>
      </c>
      <c r="I1968" t="s">
        <v>1493</v>
      </c>
      <c r="J1968" t="s">
        <v>55</v>
      </c>
      <c r="K1968" t="s">
        <v>1505</v>
      </c>
      <c r="M1968" t="s">
        <v>6</v>
      </c>
    </row>
    <row r="1969" spans="2:13" hidden="1">
      <c r="B1969">
        <v>1967</v>
      </c>
      <c r="C1969">
        <v>180</v>
      </c>
      <c r="D1969">
        <v>37</v>
      </c>
      <c r="E1969">
        <v>16</v>
      </c>
      <c r="F1969">
        <v>0</v>
      </c>
      <c r="G1969" t="s">
        <v>32</v>
      </c>
      <c r="H1969" t="s">
        <v>9</v>
      </c>
      <c r="I1969" t="s">
        <v>1493</v>
      </c>
      <c r="J1969" t="s">
        <v>55</v>
      </c>
      <c r="K1969" t="s">
        <v>1506</v>
      </c>
      <c r="M1969" t="s">
        <v>6</v>
      </c>
    </row>
    <row r="1970" spans="2:13" hidden="1">
      <c r="B1970">
        <v>1968</v>
      </c>
      <c r="C1970">
        <v>180</v>
      </c>
      <c r="D1970">
        <v>37</v>
      </c>
      <c r="E1970">
        <v>17</v>
      </c>
      <c r="F1970">
        <v>0</v>
      </c>
      <c r="G1970" t="s">
        <v>32</v>
      </c>
      <c r="H1970" t="s">
        <v>9</v>
      </c>
      <c r="I1970" t="s">
        <v>1493</v>
      </c>
      <c r="J1970" t="s">
        <v>55</v>
      </c>
      <c r="K1970" t="s">
        <v>1507</v>
      </c>
      <c r="M1970" t="s">
        <v>6</v>
      </c>
    </row>
    <row r="1971" spans="2:13" hidden="1">
      <c r="B1971">
        <v>1969</v>
      </c>
      <c r="C1971">
        <v>180</v>
      </c>
      <c r="D1971">
        <v>37</v>
      </c>
      <c r="E1971">
        <v>18</v>
      </c>
      <c r="F1971">
        <v>0</v>
      </c>
      <c r="G1971" t="s">
        <v>32</v>
      </c>
      <c r="H1971" t="s">
        <v>9</v>
      </c>
      <c r="I1971" t="s">
        <v>1493</v>
      </c>
      <c r="J1971" t="s">
        <v>55</v>
      </c>
      <c r="K1971" t="s">
        <v>1508</v>
      </c>
      <c r="M1971" t="s">
        <v>6</v>
      </c>
    </row>
    <row r="1972" spans="2:13" hidden="1">
      <c r="B1972">
        <v>1970</v>
      </c>
      <c r="C1972">
        <v>180</v>
      </c>
      <c r="D1972">
        <v>37</v>
      </c>
      <c r="E1972">
        <v>19</v>
      </c>
      <c r="F1972">
        <v>0</v>
      </c>
      <c r="G1972" t="s">
        <v>32</v>
      </c>
      <c r="H1972" t="s">
        <v>9</v>
      </c>
      <c r="I1972" t="s">
        <v>1493</v>
      </c>
      <c r="J1972" t="s">
        <v>55</v>
      </c>
      <c r="K1972" t="s">
        <v>1509</v>
      </c>
      <c r="M1972" t="s">
        <v>6</v>
      </c>
    </row>
    <row r="1973" spans="2:13" hidden="1">
      <c r="B1973">
        <v>1971</v>
      </c>
      <c r="C1973">
        <v>180</v>
      </c>
      <c r="D1973">
        <v>37</v>
      </c>
      <c r="E1973">
        <v>20</v>
      </c>
      <c r="F1973">
        <v>0</v>
      </c>
      <c r="G1973" t="s">
        <v>32</v>
      </c>
      <c r="H1973" t="s">
        <v>9</v>
      </c>
      <c r="I1973" t="s">
        <v>1493</v>
      </c>
      <c r="J1973" t="s">
        <v>55</v>
      </c>
      <c r="K1973" t="s">
        <v>1510</v>
      </c>
      <c r="M1973" t="s">
        <v>6</v>
      </c>
    </row>
    <row r="1974" spans="2:13" hidden="1">
      <c r="B1974">
        <v>1972</v>
      </c>
      <c r="C1974">
        <v>180</v>
      </c>
      <c r="D1974">
        <v>37</v>
      </c>
      <c r="E1974">
        <v>21</v>
      </c>
      <c r="F1974">
        <v>0</v>
      </c>
      <c r="G1974" t="s">
        <v>32</v>
      </c>
      <c r="H1974" t="s">
        <v>9</v>
      </c>
      <c r="I1974" t="s">
        <v>1493</v>
      </c>
      <c r="J1974" t="s">
        <v>55</v>
      </c>
      <c r="K1974" t="s">
        <v>1511</v>
      </c>
      <c r="M1974" t="s">
        <v>6</v>
      </c>
    </row>
    <row r="1975" spans="2:13" hidden="1">
      <c r="B1975">
        <v>1973</v>
      </c>
      <c r="C1975">
        <v>180</v>
      </c>
      <c r="D1975">
        <v>37</v>
      </c>
      <c r="E1975">
        <v>22</v>
      </c>
      <c r="F1975">
        <v>0</v>
      </c>
      <c r="G1975" t="s">
        <v>32</v>
      </c>
      <c r="H1975" t="s">
        <v>9</v>
      </c>
      <c r="I1975" t="s">
        <v>1493</v>
      </c>
      <c r="J1975" t="s">
        <v>55</v>
      </c>
      <c r="K1975" t="s">
        <v>1512</v>
      </c>
      <c r="M1975" t="s">
        <v>6</v>
      </c>
    </row>
    <row r="1976" spans="2:13" hidden="1">
      <c r="B1976">
        <v>1974</v>
      </c>
      <c r="C1976">
        <v>180</v>
      </c>
      <c r="D1976">
        <v>37</v>
      </c>
      <c r="E1976">
        <v>23</v>
      </c>
      <c r="F1976">
        <v>0</v>
      </c>
      <c r="G1976" t="s">
        <v>32</v>
      </c>
      <c r="H1976" t="s">
        <v>9</v>
      </c>
      <c r="I1976" t="s">
        <v>1493</v>
      </c>
      <c r="J1976" t="s">
        <v>55</v>
      </c>
      <c r="K1976" t="s">
        <v>1513</v>
      </c>
      <c r="M1976" t="s">
        <v>6</v>
      </c>
    </row>
    <row r="1977" spans="2:13" hidden="1">
      <c r="B1977">
        <v>1975</v>
      </c>
      <c r="C1977">
        <v>180</v>
      </c>
      <c r="D1977">
        <v>37</v>
      </c>
      <c r="E1977">
        <v>24</v>
      </c>
      <c r="F1977">
        <v>0</v>
      </c>
      <c r="G1977" t="s">
        <v>32</v>
      </c>
      <c r="H1977" t="s">
        <v>9</v>
      </c>
      <c r="I1977" t="s">
        <v>1493</v>
      </c>
      <c r="J1977" t="s">
        <v>479</v>
      </c>
      <c r="K1977" t="s">
        <v>1408</v>
      </c>
      <c r="M1977" t="s">
        <v>6</v>
      </c>
    </row>
    <row r="1978" spans="2:13" hidden="1">
      <c r="B1978">
        <v>1976</v>
      </c>
      <c r="C1978">
        <v>180</v>
      </c>
      <c r="D1978">
        <v>37</v>
      </c>
      <c r="E1978">
        <v>25</v>
      </c>
      <c r="F1978">
        <v>0</v>
      </c>
      <c r="G1978" t="s">
        <v>32</v>
      </c>
      <c r="H1978" t="s">
        <v>9</v>
      </c>
      <c r="I1978" t="s">
        <v>1493</v>
      </c>
      <c r="J1978" t="s">
        <v>55</v>
      </c>
      <c r="K1978" t="s">
        <v>1514</v>
      </c>
      <c r="M1978" t="s">
        <v>6</v>
      </c>
    </row>
    <row r="1979" spans="2:13" hidden="1">
      <c r="B1979">
        <v>1977</v>
      </c>
      <c r="C1979">
        <v>180</v>
      </c>
      <c r="D1979">
        <v>37</v>
      </c>
      <c r="E1979">
        <v>26</v>
      </c>
      <c r="F1979">
        <v>0</v>
      </c>
      <c r="G1979" t="s">
        <v>32</v>
      </c>
      <c r="H1979" t="s">
        <v>9</v>
      </c>
      <c r="I1979" t="s">
        <v>1493</v>
      </c>
      <c r="J1979" t="s">
        <v>55</v>
      </c>
      <c r="K1979" t="s">
        <v>1515</v>
      </c>
      <c r="M1979" t="s">
        <v>6</v>
      </c>
    </row>
    <row r="1980" spans="2:13" hidden="1">
      <c r="B1980">
        <v>1978</v>
      </c>
      <c r="C1980">
        <v>180</v>
      </c>
      <c r="D1980">
        <v>37</v>
      </c>
      <c r="E1980">
        <v>27</v>
      </c>
      <c r="F1980">
        <v>0</v>
      </c>
      <c r="G1980" t="s">
        <v>32</v>
      </c>
      <c r="H1980" t="s">
        <v>9</v>
      </c>
      <c r="I1980" t="s">
        <v>1493</v>
      </c>
      <c r="J1980" t="s">
        <v>55</v>
      </c>
      <c r="K1980" t="s">
        <v>1516</v>
      </c>
      <c r="M1980" t="s">
        <v>6</v>
      </c>
    </row>
    <row r="1981" spans="2:13" hidden="1">
      <c r="B1981">
        <v>1979</v>
      </c>
      <c r="C1981">
        <v>180</v>
      </c>
      <c r="D1981">
        <v>37</v>
      </c>
      <c r="E1981">
        <v>28</v>
      </c>
      <c r="F1981">
        <v>0</v>
      </c>
      <c r="G1981" t="s">
        <v>32</v>
      </c>
      <c r="H1981" t="s">
        <v>9</v>
      </c>
      <c r="I1981" t="s">
        <v>1493</v>
      </c>
      <c r="J1981" t="s">
        <v>55</v>
      </c>
      <c r="K1981" t="s">
        <v>1517</v>
      </c>
      <c r="M1981" t="s">
        <v>6</v>
      </c>
    </row>
    <row r="1982" spans="2:13" hidden="1">
      <c r="B1982">
        <v>1980</v>
      </c>
      <c r="C1982">
        <v>180</v>
      </c>
      <c r="D1982">
        <v>37</v>
      </c>
      <c r="E1982">
        <v>29</v>
      </c>
      <c r="F1982">
        <v>0</v>
      </c>
      <c r="G1982" t="s">
        <v>32</v>
      </c>
      <c r="H1982" t="s">
        <v>9</v>
      </c>
      <c r="I1982" t="s">
        <v>1493</v>
      </c>
      <c r="J1982" t="s">
        <v>55</v>
      </c>
      <c r="K1982" t="s">
        <v>1518</v>
      </c>
      <c r="M1982" t="s">
        <v>6</v>
      </c>
    </row>
    <row r="1983" spans="2:13" hidden="1">
      <c r="B1983">
        <v>1981</v>
      </c>
      <c r="C1983">
        <v>180</v>
      </c>
      <c r="D1983">
        <v>37</v>
      </c>
      <c r="E1983">
        <v>30</v>
      </c>
      <c r="F1983">
        <v>0</v>
      </c>
      <c r="G1983" t="s">
        <v>32</v>
      </c>
      <c r="H1983" t="s">
        <v>9</v>
      </c>
      <c r="I1983" t="s">
        <v>1493</v>
      </c>
      <c r="J1983" t="s">
        <v>55</v>
      </c>
      <c r="K1983" t="s">
        <v>1519</v>
      </c>
      <c r="M1983" t="s">
        <v>6</v>
      </c>
    </row>
    <row r="1984" spans="2:13" hidden="1">
      <c r="B1984">
        <v>1982</v>
      </c>
      <c r="C1984">
        <v>180</v>
      </c>
      <c r="D1984">
        <v>37</v>
      </c>
      <c r="E1984">
        <v>31</v>
      </c>
      <c r="F1984">
        <v>0</v>
      </c>
      <c r="G1984" t="s">
        <v>32</v>
      </c>
      <c r="H1984" t="s">
        <v>9</v>
      </c>
      <c r="I1984" t="s">
        <v>1493</v>
      </c>
      <c r="J1984" t="s">
        <v>55</v>
      </c>
      <c r="K1984" t="s">
        <v>1520</v>
      </c>
      <c r="M1984" t="s">
        <v>6</v>
      </c>
    </row>
    <row r="1985" spans="2:13" hidden="1">
      <c r="B1985">
        <v>1983</v>
      </c>
      <c r="C1985">
        <v>180</v>
      </c>
      <c r="D1985">
        <v>37</v>
      </c>
      <c r="E1985">
        <v>32</v>
      </c>
      <c r="F1985">
        <v>0</v>
      </c>
      <c r="G1985" t="s">
        <v>32</v>
      </c>
      <c r="H1985" t="s">
        <v>9</v>
      </c>
      <c r="I1985" t="s">
        <v>1493</v>
      </c>
      <c r="J1985" t="s">
        <v>479</v>
      </c>
      <c r="K1985" t="s">
        <v>1416</v>
      </c>
      <c r="M1985" t="s">
        <v>6</v>
      </c>
    </row>
    <row r="1986" spans="2:13" hidden="1">
      <c r="B1986">
        <v>1984</v>
      </c>
      <c r="C1986">
        <v>180</v>
      </c>
      <c r="D1986">
        <v>37</v>
      </c>
      <c r="E1986">
        <v>33</v>
      </c>
      <c r="F1986">
        <v>0</v>
      </c>
      <c r="G1986" t="s">
        <v>32</v>
      </c>
      <c r="H1986" t="s">
        <v>9</v>
      </c>
      <c r="I1986" t="s">
        <v>1493</v>
      </c>
      <c r="J1986" t="s">
        <v>55</v>
      </c>
      <c r="K1986" t="s">
        <v>1521</v>
      </c>
      <c r="M1986" t="s">
        <v>6</v>
      </c>
    </row>
    <row r="1987" spans="2:13" hidden="1">
      <c r="B1987">
        <v>1985</v>
      </c>
      <c r="C1987">
        <v>180</v>
      </c>
      <c r="D1987">
        <v>37</v>
      </c>
      <c r="E1987">
        <v>34</v>
      </c>
      <c r="F1987">
        <v>0</v>
      </c>
      <c r="G1987" t="s">
        <v>32</v>
      </c>
      <c r="H1987" t="s">
        <v>9</v>
      </c>
      <c r="I1987" t="s">
        <v>1493</v>
      </c>
      <c r="J1987" t="s">
        <v>55</v>
      </c>
      <c r="K1987" t="s">
        <v>1522</v>
      </c>
      <c r="M1987" t="s">
        <v>6</v>
      </c>
    </row>
    <row r="1988" spans="2:13" hidden="1">
      <c r="B1988">
        <v>1986</v>
      </c>
      <c r="C1988">
        <v>180</v>
      </c>
      <c r="D1988">
        <v>37</v>
      </c>
      <c r="E1988">
        <v>35</v>
      </c>
      <c r="F1988">
        <v>0</v>
      </c>
      <c r="G1988" t="s">
        <v>32</v>
      </c>
      <c r="H1988" t="s">
        <v>9</v>
      </c>
      <c r="I1988" t="s">
        <v>1493</v>
      </c>
      <c r="J1988" t="s">
        <v>55</v>
      </c>
      <c r="K1988" t="s">
        <v>1523</v>
      </c>
      <c r="M1988" t="s">
        <v>6</v>
      </c>
    </row>
    <row r="1989" spans="2:13" hidden="1">
      <c r="B1989">
        <v>1987</v>
      </c>
      <c r="C1989">
        <v>180</v>
      </c>
      <c r="D1989">
        <v>37</v>
      </c>
      <c r="E1989">
        <v>36</v>
      </c>
      <c r="F1989">
        <v>0</v>
      </c>
      <c r="G1989" t="s">
        <v>32</v>
      </c>
      <c r="H1989" t="s">
        <v>9</v>
      </c>
      <c r="I1989" t="s">
        <v>1493</v>
      </c>
      <c r="J1989" t="s">
        <v>55</v>
      </c>
      <c r="K1989" t="s">
        <v>93</v>
      </c>
      <c r="M1989" t="s">
        <v>6</v>
      </c>
    </row>
    <row r="1990" spans="2:13" hidden="1">
      <c r="B1990">
        <v>1988</v>
      </c>
      <c r="C1990">
        <v>180</v>
      </c>
      <c r="D1990">
        <v>37</v>
      </c>
      <c r="E1990">
        <v>37</v>
      </c>
      <c r="F1990">
        <v>0</v>
      </c>
      <c r="G1990" t="s">
        <v>32</v>
      </c>
      <c r="H1990" t="s">
        <v>9</v>
      </c>
      <c r="I1990" t="s">
        <v>1493</v>
      </c>
      <c r="J1990" t="s">
        <v>64</v>
      </c>
      <c r="K1990" t="s">
        <v>94</v>
      </c>
      <c r="M1990" t="s">
        <v>6</v>
      </c>
    </row>
    <row r="1991" spans="2:13" hidden="1">
      <c r="B1991">
        <v>1989</v>
      </c>
      <c r="C1991">
        <v>181</v>
      </c>
      <c r="D1991">
        <v>17</v>
      </c>
      <c r="E1991">
        <v>0</v>
      </c>
      <c r="F1991">
        <v>0</v>
      </c>
      <c r="G1991" t="s">
        <v>32</v>
      </c>
      <c r="H1991" t="s">
        <v>9</v>
      </c>
      <c r="I1991" t="s">
        <v>1524</v>
      </c>
      <c r="J1991" t="s">
        <v>478</v>
      </c>
      <c r="K1991" t="s">
        <v>1524</v>
      </c>
      <c r="M1991" t="s">
        <v>6</v>
      </c>
    </row>
    <row r="1992" spans="2:13" hidden="1">
      <c r="B1992">
        <v>1990</v>
      </c>
      <c r="C1992">
        <v>181</v>
      </c>
      <c r="D1992">
        <v>17</v>
      </c>
      <c r="E1992">
        <v>1</v>
      </c>
      <c r="F1992">
        <v>0</v>
      </c>
      <c r="G1992" t="s">
        <v>32</v>
      </c>
      <c r="H1992" t="s">
        <v>9</v>
      </c>
      <c r="I1992" t="s">
        <v>1524</v>
      </c>
      <c r="J1992" t="s">
        <v>479</v>
      </c>
      <c r="K1992" t="s">
        <v>1397</v>
      </c>
      <c r="M1992" t="s">
        <v>6</v>
      </c>
    </row>
    <row r="1993" spans="2:13" hidden="1">
      <c r="B1993">
        <v>1991</v>
      </c>
      <c r="C1993">
        <v>181</v>
      </c>
      <c r="D1993">
        <v>17</v>
      </c>
      <c r="E1993">
        <v>2</v>
      </c>
      <c r="F1993">
        <v>0</v>
      </c>
      <c r="G1993" t="s">
        <v>32</v>
      </c>
      <c r="H1993" t="s">
        <v>9</v>
      </c>
      <c r="I1993" t="s">
        <v>1524</v>
      </c>
      <c r="J1993" t="s">
        <v>55</v>
      </c>
      <c r="K1993" t="s">
        <v>1477</v>
      </c>
      <c r="M1993" t="s">
        <v>6</v>
      </c>
    </row>
    <row r="1994" spans="2:13" hidden="1">
      <c r="B1994">
        <v>1992</v>
      </c>
      <c r="C1994">
        <v>181</v>
      </c>
      <c r="D1994">
        <v>17</v>
      </c>
      <c r="E1994">
        <v>3</v>
      </c>
      <c r="F1994">
        <v>0</v>
      </c>
      <c r="G1994" t="s">
        <v>32</v>
      </c>
      <c r="H1994" t="s">
        <v>9</v>
      </c>
      <c r="I1994" t="s">
        <v>1524</v>
      </c>
      <c r="J1994" t="s">
        <v>55</v>
      </c>
      <c r="K1994" t="s">
        <v>1478</v>
      </c>
      <c r="M1994" t="s">
        <v>6</v>
      </c>
    </row>
    <row r="1995" spans="2:13" hidden="1">
      <c r="B1995">
        <v>1993</v>
      </c>
      <c r="C1995">
        <v>181</v>
      </c>
      <c r="D1995">
        <v>17</v>
      </c>
      <c r="E1995">
        <v>4</v>
      </c>
      <c r="F1995">
        <v>0</v>
      </c>
      <c r="G1995" t="s">
        <v>32</v>
      </c>
      <c r="H1995" t="s">
        <v>9</v>
      </c>
      <c r="I1995" t="s">
        <v>1524</v>
      </c>
      <c r="J1995" t="s">
        <v>55</v>
      </c>
      <c r="K1995" t="s">
        <v>1479</v>
      </c>
      <c r="M1995" t="s">
        <v>6</v>
      </c>
    </row>
    <row r="1996" spans="2:13" hidden="1">
      <c r="B1996">
        <v>1994</v>
      </c>
      <c r="C1996">
        <v>181</v>
      </c>
      <c r="D1996">
        <v>17</v>
      </c>
      <c r="E1996">
        <v>5</v>
      </c>
      <c r="F1996">
        <v>0</v>
      </c>
      <c r="G1996" t="s">
        <v>32</v>
      </c>
      <c r="H1996" t="s">
        <v>9</v>
      </c>
      <c r="I1996" t="s">
        <v>1524</v>
      </c>
      <c r="J1996" t="s">
        <v>479</v>
      </c>
      <c r="K1996" t="s">
        <v>1402</v>
      </c>
      <c r="M1996" t="s">
        <v>6</v>
      </c>
    </row>
    <row r="1997" spans="2:13" hidden="1">
      <c r="B1997">
        <v>1995</v>
      </c>
      <c r="C1997">
        <v>181</v>
      </c>
      <c r="D1997">
        <v>17</v>
      </c>
      <c r="E1997">
        <v>6</v>
      </c>
      <c r="F1997">
        <v>0</v>
      </c>
      <c r="G1997" t="s">
        <v>32</v>
      </c>
      <c r="H1997" t="s">
        <v>9</v>
      </c>
      <c r="I1997" t="s">
        <v>1524</v>
      </c>
      <c r="J1997" t="s">
        <v>55</v>
      </c>
      <c r="K1997" t="s">
        <v>1525</v>
      </c>
      <c r="M1997" t="s">
        <v>6</v>
      </c>
    </row>
    <row r="1998" spans="2:13" hidden="1">
      <c r="B1998">
        <v>1996</v>
      </c>
      <c r="C1998">
        <v>181</v>
      </c>
      <c r="D1998">
        <v>17</v>
      </c>
      <c r="E1998">
        <v>7</v>
      </c>
      <c r="F1998">
        <v>0</v>
      </c>
      <c r="G1998" t="s">
        <v>32</v>
      </c>
      <c r="H1998" t="s">
        <v>9</v>
      </c>
      <c r="I1998" t="s">
        <v>1524</v>
      </c>
      <c r="J1998" t="s">
        <v>55</v>
      </c>
      <c r="K1998" t="s">
        <v>1526</v>
      </c>
      <c r="M1998" t="s">
        <v>6</v>
      </c>
    </row>
    <row r="1999" spans="2:13" hidden="1">
      <c r="B1999">
        <v>1997</v>
      </c>
      <c r="C1999">
        <v>181</v>
      </c>
      <c r="D1999">
        <v>17</v>
      </c>
      <c r="E1999">
        <v>8</v>
      </c>
      <c r="F1999">
        <v>0</v>
      </c>
      <c r="G1999" t="s">
        <v>32</v>
      </c>
      <c r="H1999" t="s">
        <v>9</v>
      </c>
      <c r="I1999" t="s">
        <v>1524</v>
      </c>
      <c r="J1999" t="s">
        <v>55</v>
      </c>
      <c r="K1999" t="s">
        <v>1513</v>
      </c>
      <c r="M1999" t="s">
        <v>6</v>
      </c>
    </row>
    <row r="2000" spans="2:13" hidden="1">
      <c r="B2000">
        <v>1998</v>
      </c>
      <c r="C2000">
        <v>181</v>
      </c>
      <c r="D2000">
        <v>17</v>
      </c>
      <c r="E2000">
        <v>9</v>
      </c>
      <c r="F2000">
        <v>0</v>
      </c>
      <c r="G2000" t="s">
        <v>32</v>
      </c>
      <c r="H2000" t="s">
        <v>9</v>
      </c>
      <c r="I2000" t="s">
        <v>1524</v>
      </c>
      <c r="J2000" t="s">
        <v>479</v>
      </c>
      <c r="K2000" t="s">
        <v>1408</v>
      </c>
      <c r="M2000" t="s">
        <v>6</v>
      </c>
    </row>
    <row r="2001" spans="2:13" hidden="1">
      <c r="B2001">
        <v>1999</v>
      </c>
      <c r="C2001">
        <v>181</v>
      </c>
      <c r="D2001">
        <v>17</v>
      </c>
      <c r="E2001">
        <v>10</v>
      </c>
      <c r="F2001">
        <v>0</v>
      </c>
      <c r="G2001" t="s">
        <v>32</v>
      </c>
      <c r="H2001" t="s">
        <v>9</v>
      </c>
      <c r="I2001" t="s">
        <v>1524</v>
      </c>
      <c r="J2001" t="s">
        <v>55</v>
      </c>
      <c r="K2001" t="s">
        <v>1527</v>
      </c>
      <c r="M2001" t="s">
        <v>6</v>
      </c>
    </row>
    <row r="2002" spans="2:13" hidden="1">
      <c r="B2002">
        <v>2000</v>
      </c>
      <c r="C2002">
        <v>181</v>
      </c>
      <c r="D2002">
        <v>17</v>
      </c>
      <c r="E2002">
        <v>11</v>
      </c>
      <c r="F2002">
        <v>0</v>
      </c>
      <c r="G2002" t="s">
        <v>32</v>
      </c>
      <c r="H2002" t="s">
        <v>9</v>
      </c>
      <c r="I2002" t="s">
        <v>1524</v>
      </c>
      <c r="J2002" t="s">
        <v>55</v>
      </c>
      <c r="K2002" t="s">
        <v>1520</v>
      </c>
      <c r="M2002" t="s">
        <v>6</v>
      </c>
    </row>
    <row r="2003" spans="2:13" hidden="1">
      <c r="B2003">
        <v>2001</v>
      </c>
      <c r="C2003">
        <v>181</v>
      </c>
      <c r="D2003">
        <v>17</v>
      </c>
      <c r="E2003">
        <v>12</v>
      </c>
      <c r="F2003">
        <v>0</v>
      </c>
      <c r="G2003" t="s">
        <v>32</v>
      </c>
      <c r="H2003" t="s">
        <v>9</v>
      </c>
      <c r="I2003" t="s">
        <v>1524</v>
      </c>
      <c r="J2003" t="s">
        <v>479</v>
      </c>
      <c r="K2003" t="s">
        <v>1416</v>
      </c>
      <c r="M2003" t="s">
        <v>6</v>
      </c>
    </row>
    <row r="2004" spans="2:13" hidden="1">
      <c r="B2004">
        <v>2002</v>
      </c>
      <c r="C2004">
        <v>181</v>
      </c>
      <c r="D2004">
        <v>17</v>
      </c>
      <c r="E2004">
        <v>13</v>
      </c>
      <c r="F2004">
        <v>0</v>
      </c>
      <c r="G2004" t="s">
        <v>32</v>
      </c>
      <c r="H2004" t="s">
        <v>9</v>
      </c>
      <c r="I2004" t="s">
        <v>1524</v>
      </c>
      <c r="J2004" t="s">
        <v>55</v>
      </c>
      <c r="K2004" t="s">
        <v>1528</v>
      </c>
      <c r="M2004" t="s">
        <v>6</v>
      </c>
    </row>
    <row r="2005" spans="2:13" hidden="1">
      <c r="B2005">
        <v>2003</v>
      </c>
      <c r="C2005">
        <v>181</v>
      </c>
      <c r="D2005">
        <v>17</v>
      </c>
      <c r="E2005">
        <v>14</v>
      </c>
      <c r="F2005">
        <v>0</v>
      </c>
      <c r="G2005" t="s">
        <v>32</v>
      </c>
      <c r="H2005" t="s">
        <v>9</v>
      </c>
      <c r="I2005" t="s">
        <v>1524</v>
      </c>
      <c r="J2005" t="s">
        <v>55</v>
      </c>
      <c r="K2005" t="s">
        <v>1529</v>
      </c>
      <c r="M2005" t="s">
        <v>6</v>
      </c>
    </row>
    <row r="2006" spans="2:13" hidden="1">
      <c r="B2006">
        <v>2004</v>
      </c>
      <c r="C2006">
        <v>181</v>
      </c>
      <c r="D2006">
        <v>17</v>
      </c>
      <c r="E2006">
        <v>15</v>
      </c>
      <c r="F2006">
        <v>0</v>
      </c>
      <c r="G2006" t="s">
        <v>32</v>
      </c>
      <c r="H2006" t="s">
        <v>9</v>
      </c>
      <c r="I2006" t="s">
        <v>1524</v>
      </c>
      <c r="J2006" t="s">
        <v>55</v>
      </c>
      <c r="K2006" t="s">
        <v>1523</v>
      </c>
      <c r="M2006" t="s">
        <v>6</v>
      </c>
    </row>
    <row r="2007" spans="2:13" hidden="1">
      <c r="B2007">
        <v>2005</v>
      </c>
      <c r="C2007">
        <v>181</v>
      </c>
      <c r="D2007">
        <v>17</v>
      </c>
      <c r="E2007">
        <v>16</v>
      </c>
      <c r="F2007">
        <v>0</v>
      </c>
      <c r="G2007" t="s">
        <v>32</v>
      </c>
      <c r="H2007" t="s">
        <v>9</v>
      </c>
      <c r="I2007" t="s">
        <v>1524</v>
      </c>
      <c r="J2007" t="s">
        <v>55</v>
      </c>
      <c r="K2007" t="s">
        <v>93</v>
      </c>
      <c r="M2007" t="s">
        <v>6</v>
      </c>
    </row>
    <row r="2008" spans="2:13" hidden="1">
      <c r="B2008">
        <v>2006</v>
      </c>
      <c r="C2008">
        <v>181</v>
      </c>
      <c r="D2008">
        <v>17</v>
      </c>
      <c r="E2008">
        <v>17</v>
      </c>
      <c r="F2008">
        <v>0</v>
      </c>
      <c r="G2008" t="s">
        <v>32</v>
      </c>
      <c r="H2008" t="s">
        <v>9</v>
      </c>
      <c r="I2008" t="s">
        <v>1524</v>
      </c>
      <c r="J2008" t="s">
        <v>64</v>
      </c>
      <c r="K2008" t="s">
        <v>94</v>
      </c>
      <c r="M2008" t="s">
        <v>6</v>
      </c>
    </row>
    <row r="2009" spans="2:13" hidden="1">
      <c r="B2009">
        <v>2007</v>
      </c>
      <c r="C2009">
        <v>182</v>
      </c>
      <c r="D2009">
        <v>24</v>
      </c>
      <c r="E2009">
        <v>0</v>
      </c>
      <c r="F2009">
        <v>0</v>
      </c>
      <c r="G2009" t="s">
        <v>32</v>
      </c>
      <c r="H2009" t="s">
        <v>9</v>
      </c>
      <c r="I2009" t="s">
        <v>1530</v>
      </c>
      <c r="J2009" t="s">
        <v>478</v>
      </c>
      <c r="K2009" t="s">
        <v>1530</v>
      </c>
      <c r="M2009" t="s">
        <v>6</v>
      </c>
    </row>
    <row r="2010" spans="2:13" hidden="1">
      <c r="B2010">
        <v>2008</v>
      </c>
      <c r="C2010">
        <v>182</v>
      </c>
      <c r="D2010">
        <v>24</v>
      </c>
      <c r="E2010">
        <v>1</v>
      </c>
      <c r="F2010">
        <v>0</v>
      </c>
      <c r="G2010" t="s">
        <v>32</v>
      </c>
      <c r="H2010" t="s">
        <v>9</v>
      </c>
      <c r="I2010" t="s">
        <v>1530</v>
      </c>
      <c r="J2010" t="s">
        <v>479</v>
      </c>
      <c r="K2010" t="s">
        <v>1397</v>
      </c>
      <c r="M2010" t="s">
        <v>6</v>
      </c>
    </row>
    <row r="2011" spans="2:13" hidden="1">
      <c r="B2011">
        <v>2009</v>
      </c>
      <c r="C2011">
        <v>182</v>
      </c>
      <c r="D2011">
        <v>24</v>
      </c>
      <c r="E2011">
        <v>2</v>
      </c>
      <c r="F2011">
        <v>0</v>
      </c>
      <c r="G2011" t="s">
        <v>32</v>
      </c>
      <c r="H2011" t="s">
        <v>9</v>
      </c>
      <c r="I2011" t="s">
        <v>1530</v>
      </c>
      <c r="J2011" t="s">
        <v>55</v>
      </c>
      <c r="K2011" t="s">
        <v>1477</v>
      </c>
      <c r="M2011" t="s">
        <v>6</v>
      </c>
    </row>
    <row r="2012" spans="2:13" hidden="1">
      <c r="B2012">
        <v>2010</v>
      </c>
      <c r="C2012">
        <v>182</v>
      </c>
      <c r="D2012">
        <v>24</v>
      </c>
      <c r="E2012">
        <v>3</v>
      </c>
      <c r="F2012">
        <v>0</v>
      </c>
      <c r="G2012" t="s">
        <v>32</v>
      </c>
      <c r="H2012" t="s">
        <v>9</v>
      </c>
      <c r="I2012" t="s">
        <v>1530</v>
      </c>
      <c r="J2012" t="s">
        <v>55</v>
      </c>
      <c r="K2012" t="s">
        <v>1531</v>
      </c>
      <c r="M2012" t="s">
        <v>6</v>
      </c>
    </row>
    <row r="2013" spans="2:13" hidden="1">
      <c r="B2013">
        <v>2011</v>
      </c>
      <c r="C2013">
        <v>182</v>
      </c>
      <c r="D2013">
        <v>24</v>
      </c>
      <c r="E2013">
        <v>4</v>
      </c>
      <c r="F2013">
        <v>0</v>
      </c>
      <c r="G2013" t="s">
        <v>32</v>
      </c>
      <c r="H2013" t="s">
        <v>9</v>
      </c>
      <c r="I2013" t="s">
        <v>1530</v>
      </c>
      <c r="J2013" t="s">
        <v>55</v>
      </c>
      <c r="K2013" t="s">
        <v>1479</v>
      </c>
      <c r="M2013" t="s">
        <v>6</v>
      </c>
    </row>
    <row r="2014" spans="2:13" hidden="1">
      <c r="B2014">
        <v>2012</v>
      </c>
      <c r="C2014">
        <v>182</v>
      </c>
      <c r="D2014">
        <v>24</v>
      </c>
      <c r="E2014">
        <v>5</v>
      </c>
      <c r="F2014">
        <v>0</v>
      </c>
      <c r="G2014" t="s">
        <v>32</v>
      </c>
      <c r="H2014" t="s">
        <v>9</v>
      </c>
      <c r="I2014" t="s">
        <v>1530</v>
      </c>
      <c r="J2014" t="s">
        <v>479</v>
      </c>
      <c r="K2014" t="s">
        <v>1402</v>
      </c>
      <c r="M2014" t="s">
        <v>6</v>
      </c>
    </row>
    <row r="2015" spans="2:13" hidden="1">
      <c r="B2015">
        <v>2013</v>
      </c>
      <c r="C2015">
        <v>182</v>
      </c>
      <c r="D2015">
        <v>24</v>
      </c>
      <c r="E2015">
        <v>6</v>
      </c>
      <c r="F2015">
        <v>0</v>
      </c>
      <c r="G2015" t="s">
        <v>32</v>
      </c>
      <c r="H2015" t="s">
        <v>9</v>
      </c>
      <c r="I2015" t="s">
        <v>1530</v>
      </c>
      <c r="J2015" t="s">
        <v>55</v>
      </c>
      <c r="K2015" t="s">
        <v>1525</v>
      </c>
      <c r="M2015" t="s">
        <v>6</v>
      </c>
    </row>
    <row r="2016" spans="2:13" hidden="1">
      <c r="B2016">
        <v>2014</v>
      </c>
      <c r="C2016">
        <v>182</v>
      </c>
      <c r="D2016">
        <v>24</v>
      </c>
      <c r="E2016">
        <v>7</v>
      </c>
      <c r="F2016">
        <v>0</v>
      </c>
      <c r="G2016" t="s">
        <v>32</v>
      </c>
      <c r="H2016" t="s">
        <v>9</v>
      </c>
      <c r="I2016" t="s">
        <v>1530</v>
      </c>
      <c r="J2016" t="s">
        <v>55</v>
      </c>
      <c r="K2016" t="s">
        <v>1526</v>
      </c>
      <c r="M2016" t="s">
        <v>6</v>
      </c>
    </row>
    <row r="2017" spans="2:13" hidden="1">
      <c r="B2017">
        <v>2015</v>
      </c>
      <c r="C2017">
        <v>182</v>
      </c>
      <c r="D2017">
        <v>24</v>
      </c>
      <c r="E2017">
        <v>8</v>
      </c>
      <c r="F2017">
        <v>0</v>
      </c>
      <c r="G2017" t="s">
        <v>32</v>
      </c>
      <c r="H2017" t="s">
        <v>9</v>
      </c>
      <c r="I2017" t="s">
        <v>1530</v>
      </c>
      <c r="J2017" t="s">
        <v>55</v>
      </c>
      <c r="K2017" t="s">
        <v>1500</v>
      </c>
      <c r="M2017" t="s">
        <v>6</v>
      </c>
    </row>
    <row r="2018" spans="2:13" hidden="1">
      <c r="B2018">
        <v>2016</v>
      </c>
      <c r="C2018">
        <v>182</v>
      </c>
      <c r="D2018">
        <v>24</v>
      </c>
      <c r="E2018">
        <v>9</v>
      </c>
      <c r="F2018">
        <v>0</v>
      </c>
      <c r="G2018" t="s">
        <v>32</v>
      </c>
      <c r="H2018" t="s">
        <v>9</v>
      </c>
      <c r="I2018" t="s">
        <v>1530</v>
      </c>
      <c r="J2018" t="s">
        <v>55</v>
      </c>
      <c r="K2018" t="s">
        <v>1501</v>
      </c>
      <c r="M2018" t="s">
        <v>6</v>
      </c>
    </row>
    <row r="2019" spans="2:13" hidden="1">
      <c r="B2019">
        <v>2017</v>
      </c>
      <c r="C2019">
        <v>182</v>
      </c>
      <c r="D2019">
        <v>24</v>
      </c>
      <c r="E2019">
        <v>10</v>
      </c>
      <c r="F2019">
        <v>0</v>
      </c>
      <c r="G2019" t="s">
        <v>32</v>
      </c>
      <c r="H2019" t="s">
        <v>9</v>
      </c>
      <c r="I2019" t="s">
        <v>1530</v>
      </c>
      <c r="J2019" t="s">
        <v>55</v>
      </c>
      <c r="K2019" t="s">
        <v>1532</v>
      </c>
      <c r="M2019" t="s">
        <v>6</v>
      </c>
    </row>
    <row r="2020" spans="2:13" hidden="1">
      <c r="B2020">
        <v>2018</v>
      </c>
      <c r="C2020">
        <v>182</v>
      </c>
      <c r="D2020">
        <v>24</v>
      </c>
      <c r="E2020">
        <v>11</v>
      </c>
      <c r="F2020">
        <v>0</v>
      </c>
      <c r="G2020" t="s">
        <v>32</v>
      </c>
      <c r="H2020" t="s">
        <v>9</v>
      </c>
      <c r="I2020" t="s">
        <v>1530</v>
      </c>
      <c r="J2020" t="s">
        <v>55</v>
      </c>
      <c r="K2020" t="s">
        <v>1502</v>
      </c>
      <c r="M2020" t="s">
        <v>6</v>
      </c>
    </row>
    <row r="2021" spans="2:13" hidden="1">
      <c r="B2021">
        <v>2019</v>
      </c>
      <c r="C2021">
        <v>182</v>
      </c>
      <c r="D2021">
        <v>24</v>
      </c>
      <c r="E2021">
        <v>12</v>
      </c>
      <c r="F2021">
        <v>0</v>
      </c>
      <c r="G2021" t="s">
        <v>32</v>
      </c>
      <c r="H2021" t="s">
        <v>9</v>
      </c>
      <c r="I2021" t="s">
        <v>1530</v>
      </c>
      <c r="J2021" t="s">
        <v>55</v>
      </c>
      <c r="K2021" t="s">
        <v>1503</v>
      </c>
      <c r="M2021" t="s">
        <v>6</v>
      </c>
    </row>
    <row r="2022" spans="2:13" hidden="1">
      <c r="B2022">
        <v>2020</v>
      </c>
      <c r="C2022">
        <v>182</v>
      </c>
      <c r="D2022">
        <v>24</v>
      </c>
      <c r="E2022">
        <v>13</v>
      </c>
      <c r="F2022">
        <v>0</v>
      </c>
      <c r="G2022" t="s">
        <v>32</v>
      </c>
      <c r="H2022" t="s">
        <v>9</v>
      </c>
      <c r="I2022" t="s">
        <v>1530</v>
      </c>
      <c r="J2022" t="s">
        <v>55</v>
      </c>
      <c r="K2022" t="s">
        <v>1504</v>
      </c>
      <c r="M2022" t="s">
        <v>6</v>
      </c>
    </row>
    <row r="2023" spans="2:13" hidden="1">
      <c r="B2023">
        <v>2021</v>
      </c>
      <c r="C2023">
        <v>182</v>
      </c>
      <c r="D2023">
        <v>24</v>
      </c>
      <c r="E2023">
        <v>14</v>
      </c>
      <c r="F2023">
        <v>0</v>
      </c>
      <c r="G2023" t="s">
        <v>32</v>
      </c>
      <c r="H2023" t="s">
        <v>9</v>
      </c>
      <c r="I2023" t="s">
        <v>1530</v>
      </c>
      <c r="J2023" t="s">
        <v>55</v>
      </c>
      <c r="K2023" t="s">
        <v>1505</v>
      </c>
      <c r="M2023" t="s">
        <v>6</v>
      </c>
    </row>
    <row r="2024" spans="2:13" hidden="1">
      <c r="B2024">
        <v>2022</v>
      </c>
      <c r="C2024">
        <v>182</v>
      </c>
      <c r="D2024">
        <v>24</v>
      </c>
      <c r="E2024">
        <v>15</v>
      </c>
      <c r="F2024">
        <v>0</v>
      </c>
      <c r="G2024" t="s">
        <v>32</v>
      </c>
      <c r="H2024" t="s">
        <v>9</v>
      </c>
      <c r="I2024" t="s">
        <v>1530</v>
      </c>
      <c r="J2024" t="s">
        <v>55</v>
      </c>
      <c r="K2024" t="s">
        <v>1506</v>
      </c>
      <c r="M2024" t="s">
        <v>6</v>
      </c>
    </row>
    <row r="2025" spans="2:13" hidden="1">
      <c r="B2025">
        <v>2023</v>
      </c>
      <c r="C2025">
        <v>182</v>
      </c>
      <c r="D2025">
        <v>24</v>
      </c>
      <c r="E2025">
        <v>16</v>
      </c>
      <c r="F2025">
        <v>0</v>
      </c>
      <c r="G2025" t="s">
        <v>32</v>
      </c>
      <c r="H2025" t="s">
        <v>9</v>
      </c>
      <c r="I2025" t="s">
        <v>1530</v>
      </c>
      <c r="J2025" t="s">
        <v>55</v>
      </c>
      <c r="K2025" t="s">
        <v>1533</v>
      </c>
      <c r="M2025" t="s">
        <v>6</v>
      </c>
    </row>
    <row r="2026" spans="2:13" hidden="1">
      <c r="B2026">
        <v>2024</v>
      </c>
      <c r="C2026">
        <v>182</v>
      </c>
      <c r="D2026">
        <v>24</v>
      </c>
      <c r="E2026">
        <v>17</v>
      </c>
      <c r="F2026">
        <v>0</v>
      </c>
      <c r="G2026" t="s">
        <v>32</v>
      </c>
      <c r="H2026" t="s">
        <v>9</v>
      </c>
      <c r="I2026" t="s">
        <v>1530</v>
      </c>
      <c r="J2026" t="s">
        <v>55</v>
      </c>
      <c r="K2026" t="s">
        <v>1513</v>
      </c>
      <c r="M2026" t="s">
        <v>6</v>
      </c>
    </row>
    <row r="2027" spans="2:13" hidden="1">
      <c r="B2027">
        <v>2025</v>
      </c>
      <c r="C2027">
        <v>182</v>
      </c>
      <c r="D2027">
        <v>24</v>
      </c>
      <c r="E2027">
        <v>18</v>
      </c>
      <c r="F2027">
        <v>0</v>
      </c>
      <c r="G2027" t="s">
        <v>32</v>
      </c>
      <c r="H2027" t="s">
        <v>9</v>
      </c>
      <c r="I2027" t="s">
        <v>1530</v>
      </c>
      <c r="J2027" t="s">
        <v>479</v>
      </c>
      <c r="K2027" t="s">
        <v>1408</v>
      </c>
      <c r="M2027" t="s">
        <v>6</v>
      </c>
    </row>
    <row r="2028" spans="2:13" hidden="1">
      <c r="B2028">
        <v>2026</v>
      </c>
      <c r="C2028">
        <v>182</v>
      </c>
      <c r="D2028">
        <v>24</v>
      </c>
      <c r="E2028">
        <v>19</v>
      </c>
      <c r="F2028">
        <v>0</v>
      </c>
      <c r="G2028" t="s">
        <v>32</v>
      </c>
      <c r="H2028" t="s">
        <v>9</v>
      </c>
      <c r="I2028" t="s">
        <v>1530</v>
      </c>
      <c r="J2028" t="s">
        <v>55</v>
      </c>
      <c r="K2028" t="s">
        <v>1527</v>
      </c>
      <c r="M2028" t="s">
        <v>6</v>
      </c>
    </row>
    <row r="2029" spans="2:13" hidden="1">
      <c r="B2029">
        <v>2027</v>
      </c>
      <c r="C2029">
        <v>182</v>
      </c>
      <c r="D2029">
        <v>24</v>
      </c>
      <c r="E2029">
        <v>20</v>
      </c>
      <c r="F2029">
        <v>0</v>
      </c>
      <c r="G2029" t="s">
        <v>32</v>
      </c>
      <c r="H2029" t="s">
        <v>9</v>
      </c>
      <c r="I2029" t="s">
        <v>1530</v>
      </c>
      <c r="J2029" t="s">
        <v>55</v>
      </c>
      <c r="K2029" t="s">
        <v>1520</v>
      </c>
      <c r="M2029" t="s">
        <v>6</v>
      </c>
    </row>
    <row r="2030" spans="2:13" hidden="1">
      <c r="B2030">
        <v>2028</v>
      </c>
      <c r="C2030">
        <v>182</v>
      </c>
      <c r="D2030">
        <v>24</v>
      </c>
      <c r="E2030">
        <v>21</v>
      </c>
      <c r="F2030">
        <v>0</v>
      </c>
      <c r="G2030" t="s">
        <v>32</v>
      </c>
      <c r="H2030" t="s">
        <v>9</v>
      </c>
      <c r="I2030" t="s">
        <v>1530</v>
      </c>
      <c r="J2030" t="s">
        <v>479</v>
      </c>
      <c r="K2030" t="s">
        <v>1416</v>
      </c>
      <c r="M2030" t="s">
        <v>6</v>
      </c>
    </row>
    <row r="2031" spans="2:13" hidden="1">
      <c r="B2031">
        <v>2029</v>
      </c>
      <c r="C2031">
        <v>182</v>
      </c>
      <c r="D2031">
        <v>24</v>
      </c>
      <c r="E2031">
        <v>22</v>
      </c>
      <c r="F2031">
        <v>0</v>
      </c>
      <c r="G2031" t="s">
        <v>32</v>
      </c>
      <c r="H2031" t="s">
        <v>9</v>
      </c>
      <c r="I2031" t="s">
        <v>1530</v>
      </c>
      <c r="J2031" t="s">
        <v>55</v>
      </c>
      <c r="K2031" t="s">
        <v>1523</v>
      </c>
      <c r="M2031" t="s">
        <v>6</v>
      </c>
    </row>
    <row r="2032" spans="2:13" hidden="1">
      <c r="B2032">
        <v>2030</v>
      </c>
      <c r="C2032">
        <v>182</v>
      </c>
      <c r="D2032">
        <v>24</v>
      </c>
      <c r="E2032">
        <v>23</v>
      </c>
      <c r="F2032">
        <v>0</v>
      </c>
      <c r="G2032" t="s">
        <v>32</v>
      </c>
      <c r="H2032" t="s">
        <v>9</v>
      </c>
      <c r="I2032" t="s">
        <v>1530</v>
      </c>
      <c r="J2032" t="s">
        <v>55</v>
      </c>
      <c r="K2032" t="s">
        <v>93</v>
      </c>
      <c r="M2032" t="s">
        <v>6</v>
      </c>
    </row>
    <row r="2033" spans="2:13" hidden="1">
      <c r="B2033">
        <v>2031</v>
      </c>
      <c r="C2033">
        <v>182</v>
      </c>
      <c r="D2033">
        <v>24</v>
      </c>
      <c r="E2033">
        <v>24</v>
      </c>
      <c r="F2033">
        <v>0</v>
      </c>
      <c r="G2033" t="s">
        <v>32</v>
      </c>
      <c r="H2033" t="s">
        <v>9</v>
      </c>
      <c r="I2033" t="s">
        <v>1530</v>
      </c>
      <c r="J2033" t="s">
        <v>64</v>
      </c>
      <c r="K2033" t="s">
        <v>94</v>
      </c>
      <c r="M2033" t="s">
        <v>6</v>
      </c>
    </row>
    <row r="2034" spans="2:13" hidden="1">
      <c r="B2034">
        <v>2032</v>
      </c>
      <c r="C2034">
        <v>183</v>
      </c>
      <c r="D2034">
        <v>41</v>
      </c>
      <c r="E2034">
        <v>0</v>
      </c>
      <c r="F2034">
        <v>0</v>
      </c>
      <c r="G2034" t="s">
        <v>18</v>
      </c>
      <c r="H2034" t="s">
        <v>917</v>
      </c>
      <c r="I2034" t="s">
        <v>1534</v>
      </c>
      <c r="J2034" t="s">
        <v>47</v>
      </c>
      <c r="K2034" t="s">
        <v>1534</v>
      </c>
      <c r="M2034" t="s">
        <v>470</v>
      </c>
    </row>
    <row r="2035" spans="2:13" hidden="1">
      <c r="B2035">
        <v>2033</v>
      </c>
      <c r="C2035">
        <v>183</v>
      </c>
      <c r="D2035">
        <v>41</v>
      </c>
      <c r="E2035">
        <v>1</v>
      </c>
      <c r="F2035">
        <v>0</v>
      </c>
      <c r="G2035" t="s">
        <v>18</v>
      </c>
      <c r="H2035" t="s">
        <v>917</v>
      </c>
      <c r="I2035" t="s">
        <v>1534</v>
      </c>
      <c r="J2035" t="s">
        <v>479</v>
      </c>
      <c r="K2035" t="s">
        <v>1535</v>
      </c>
      <c r="M2035" t="s">
        <v>470</v>
      </c>
    </row>
    <row r="2036" spans="2:13" hidden="1">
      <c r="B2036">
        <v>2034</v>
      </c>
      <c r="C2036">
        <v>183</v>
      </c>
      <c r="D2036">
        <v>41</v>
      </c>
      <c r="E2036">
        <v>2</v>
      </c>
      <c r="F2036">
        <v>0</v>
      </c>
      <c r="G2036" t="s">
        <v>18</v>
      </c>
      <c r="H2036" t="s">
        <v>917</v>
      </c>
      <c r="I2036" t="s">
        <v>1534</v>
      </c>
      <c r="J2036" t="s">
        <v>55</v>
      </c>
      <c r="K2036" t="s">
        <v>1536</v>
      </c>
      <c r="M2036" t="s">
        <v>470</v>
      </c>
    </row>
    <row r="2037" spans="2:13" hidden="1">
      <c r="B2037">
        <v>2035</v>
      </c>
      <c r="C2037">
        <v>183</v>
      </c>
      <c r="D2037">
        <v>41</v>
      </c>
      <c r="E2037">
        <v>3</v>
      </c>
      <c r="F2037">
        <v>0</v>
      </c>
      <c r="G2037" t="s">
        <v>18</v>
      </c>
      <c r="H2037" t="s">
        <v>917</v>
      </c>
      <c r="I2037" t="s">
        <v>1534</v>
      </c>
      <c r="J2037" t="s">
        <v>55</v>
      </c>
      <c r="K2037" t="s">
        <v>1537</v>
      </c>
      <c r="M2037" t="s">
        <v>470</v>
      </c>
    </row>
    <row r="2038" spans="2:13" hidden="1">
      <c r="B2038">
        <v>2036</v>
      </c>
      <c r="C2038">
        <v>183</v>
      </c>
      <c r="D2038">
        <v>41</v>
      </c>
      <c r="E2038">
        <v>4</v>
      </c>
      <c r="F2038">
        <v>0</v>
      </c>
      <c r="G2038" t="s">
        <v>18</v>
      </c>
      <c r="H2038" t="s">
        <v>917</v>
      </c>
      <c r="I2038" t="s">
        <v>1534</v>
      </c>
      <c r="J2038" t="s">
        <v>55</v>
      </c>
      <c r="K2038" t="s">
        <v>1538</v>
      </c>
      <c r="M2038" t="s">
        <v>470</v>
      </c>
    </row>
    <row r="2039" spans="2:13" hidden="1">
      <c r="B2039">
        <v>2037</v>
      </c>
      <c r="C2039">
        <v>183</v>
      </c>
      <c r="D2039">
        <v>41</v>
      </c>
      <c r="E2039">
        <v>5</v>
      </c>
      <c r="F2039">
        <v>0</v>
      </c>
      <c r="G2039" t="s">
        <v>18</v>
      </c>
      <c r="H2039" t="s">
        <v>917</v>
      </c>
      <c r="I2039" t="s">
        <v>1534</v>
      </c>
      <c r="J2039" t="s">
        <v>479</v>
      </c>
      <c r="K2039" t="s">
        <v>1539</v>
      </c>
      <c r="M2039" t="s">
        <v>470</v>
      </c>
    </row>
    <row r="2040" spans="2:13" hidden="1">
      <c r="B2040">
        <v>2038</v>
      </c>
      <c r="C2040">
        <v>183</v>
      </c>
      <c r="D2040">
        <v>41</v>
      </c>
      <c r="E2040">
        <v>6</v>
      </c>
      <c r="F2040">
        <v>0</v>
      </c>
      <c r="G2040" t="s">
        <v>18</v>
      </c>
      <c r="H2040" t="s">
        <v>917</v>
      </c>
      <c r="I2040" t="s">
        <v>1534</v>
      </c>
      <c r="J2040" t="s">
        <v>722</v>
      </c>
      <c r="K2040" t="s">
        <v>1539</v>
      </c>
      <c r="M2040" t="s">
        <v>470</v>
      </c>
    </row>
    <row r="2041" spans="2:13" hidden="1">
      <c r="B2041">
        <v>2039</v>
      </c>
      <c r="C2041">
        <v>183</v>
      </c>
      <c r="D2041">
        <v>41</v>
      </c>
      <c r="E2041">
        <v>7</v>
      </c>
      <c r="F2041">
        <v>0</v>
      </c>
      <c r="G2041" t="s">
        <v>18</v>
      </c>
      <c r="H2041" t="s">
        <v>917</v>
      </c>
      <c r="I2041" t="s">
        <v>1534</v>
      </c>
      <c r="J2041" t="s">
        <v>64</v>
      </c>
      <c r="K2041" t="s">
        <v>1540</v>
      </c>
      <c r="M2041" t="s">
        <v>470</v>
      </c>
    </row>
    <row r="2042" spans="2:13" hidden="1">
      <c r="B2042">
        <v>2040</v>
      </c>
      <c r="C2042">
        <v>183</v>
      </c>
      <c r="D2042">
        <v>41</v>
      </c>
      <c r="E2042">
        <v>8</v>
      </c>
      <c r="F2042">
        <v>0</v>
      </c>
      <c r="G2042" t="s">
        <v>18</v>
      </c>
      <c r="H2042" t="s">
        <v>917</v>
      </c>
      <c r="I2042" t="s">
        <v>1534</v>
      </c>
      <c r="J2042" t="s">
        <v>55</v>
      </c>
      <c r="K2042" t="s">
        <v>1541</v>
      </c>
      <c r="M2042" t="s">
        <v>470</v>
      </c>
    </row>
    <row r="2043" spans="2:13" hidden="1">
      <c r="B2043">
        <v>2041</v>
      </c>
      <c r="C2043">
        <v>183</v>
      </c>
      <c r="D2043">
        <v>41</v>
      </c>
      <c r="E2043">
        <v>9</v>
      </c>
      <c r="F2043">
        <v>0</v>
      </c>
      <c r="G2043" t="s">
        <v>18</v>
      </c>
      <c r="H2043" t="s">
        <v>917</v>
      </c>
      <c r="I2043" t="s">
        <v>1534</v>
      </c>
      <c r="J2043" t="s">
        <v>55</v>
      </c>
      <c r="K2043" t="s">
        <v>1542</v>
      </c>
      <c r="M2043" t="s">
        <v>470</v>
      </c>
    </row>
    <row r="2044" spans="2:13" hidden="1">
      <c r="B2044">
        <v>2042</v>
      </c>
      <c r="C2044">
        <v>183</v>
      </c>
      <c r="D2044">
        <v>41</v>
      </c>
      <c r="E2044">
        <v>10</v>
      </c>
      <c r="F2044">
        <v>0</v>
      </c>
      <c r="G2044" t="s">
        <v>18</v>
      </c>
      <c r="H2044" t="s">
        <v>917</v>
      </c>
      <c r="I2044" t="s">
        <v>1534</v>
      </c>
      <c r="J2044" t="s">
        <v>55</v>
      </c>
      <c r="K2044" t="s">
        <v>1543</v>
      </c>
      <c r="M2044" t="s">
        <v>470</v>
      </c>
    </row>
    <row r="2045" spans="2:13" hidden="1">
      <c r="B2045">
        <v>2043</v>
      </c>
      <c r="C2045">
        <v>183</v>
      </c>
      <c r="D2045">
        <v>41</v>
      </c>
      <c r="E2045">
        <v>11</v>
      </c>
      <c r="F2045">
        <v>0</v>
      </c>
      <c r="G2045" t="s">
        <v>18</v>
      </c>
      <c r="H2045" t="s">
        <v>917</v>
      </c>
      <c r="I2045" t="s">
        <v>1534</v>
      </c>
      <c r="J2045" t="s">
        <v>55</v>
      </c>
      <c r="K2045" t="s">
        <v>1544</v>
      </c>
      <c r="M2045" t="s">
        <v>470</v>
      </c>
    </row>
    <row r="2046" spans="2:13" hidden="1">
      <c r="B2046">
        <v>2044</v>
      </c>
      <c r="C2046">
        <v>183</v>
      </c>
      <c r="D2046">
        <v>41</v>
      </c>
      <c r="E2046">
        <v>12</v>
      </c>
      <c r="F2046">
        <v>0</v>
      </c>
      <c r="G2046" t="s">
        <v>18</v>
      </c>
      <c r="H2046" t="s">
        <v>917</v>
      </c>
      <c r="I2046" t="s">
        <v>1534</v>
      </c>
      <c r="J2046" t="s">
        <v>55</v>
      </c>
      <c r="K2046" t="s">
        <v>1545</v>
      </c>
      <c r="M2046" t="s">
        <v>470</v>
      </c>
    </row>
    <row r="2047" spans="2:13" hidden="1">
      <c r="B2047">
        <v>2045</v>
      </c>
      <c r="C2047">
        <v>183</v>
      </c>
      <c r="D2047">
        <v>41</v>
      </c>
      <c r="E2047">
        <v>13</v>
      </c>
      <c r="F2047">
        <v>0</v>
      </c>
      <c r="G2047" t="s">
        <v>18</v>
      </c>
      <c r="H2047" t="s">
        <v>917</v>
      </c>
      <c r="I2047" t="s">
        <v>1534</v>
      </c>
      <c r="J2047" t="s">
        <v>64</v>
      </c>
      <c r="K2047" t="s">
        <v>1546</v>
      </c>
      <c r="M2047" t="s">
        <v>470</v>
      </c>
    </row>
    <row r="2048" spans="2:13" hidden="1">
      <c r="B2048">
        <v>2046</v>
      </c>
      <c r="C2048">
        <v>183</v>
      </c>
      <c r="D2048">
        <v>41</v>
      </c>
      <c r="E2048">
        <v>14</v>
      </c>
      <c r="F2048">
        <v>0</v>
      </c>
      <c r="G2048" t="s">
        <v>18</v>
      </c>
      <c r="H2048" t="s">
        <v>917</v>
      </c>
      <c r="I2048" t="s">
        <v>1534</v>
      </c>
      <c r="J2048" t="s">
        <v>479</v>
      </c>
      <c r="K2048" t="s">
        <v>1547</v>
      </c>
      <c r="M2048" t="s">
        <v>470</v>
      </c>
    </row>
    <row r="2049" spans="2:13" hidden="1">
      <c r="B2049">
        <v>2047</v>
      </c>
      <c r="C2049">
        <v>183</v>
      </c>
      <c r="D2049">
        <v>41</v>
      </c>
      <c r="E2049">
        <v>15</v>
      </c>
      <c r="F2049">
        <v>0</v>
      </c>
      <c r="G2049" t="s">
        <v>18</v>
      </c>
      <c r="H2049" t="s">
        <v>917</v>
      </c>
      <c r="I2049" t="s">
        <v>1534</v>
      </c>
      <c r="J2049" t="s">
        <v>55</v>
      </c>
      <c r="K2049" t="s">
        <v>1548</v>
      </c>
      <c r="M2049" t="s">
        <v>470</v>
      </c>
    </row>
    <row r="2050" spans="2:13" hidden="1">
      <c r="B2050">
        <v>2048</v>
      </c>
      <c r="C2050">
        <v>183</v>
      </c>
      <c r="D2050">
        <v>41</v>
      </c>
      <c r="E2050">
        <v>16</v>
      </c>
      <c r="F2050">
        <v>0</v>
      </c>
      <c r="G2050" t="s">
        <v>18</v>
      </c>
      <c r="H2050" t="s">
        <v>917</v>
      </c>
      <c r="I2050" t="s">
        <v>1534</v>
      </c>
      <c r="J2050" t="s">
        <v>55</v>
      </c>
      <c r="K2050" t="s">
        <v>1549</v>
      </c>
      <c r="M2050" t="s">
        <v>470</v>
      </c>
    </row>
    <row r="2051" spans="2:13" hidden="1">
      <c r="B2051">
        <v>2049</v>
      </c>
      <c r="C2051">
        <v>183</v>
      </c>
      <c r="D2051">
        <v>41</v>
      </c>
      <c r="E2051">
        <v>17</v>
      </c>
      <c r="F2051">
        <v>0</v>
      </c>
      <c r="G2051" t="s">
        <v>18</v>
      </c>
      <c r="H2051" t="s">
        <v>917</v>
      </c>
      <c r="I2051" t="s">
        <v>1534</v>
      </c>
      <c r="J2051" t="s">
        <v>479</v>
      </c>
      <c r="K2051" t="s">
        <v>1550</v>
      </c>
      <c r="M2051" t="s">
        <v>470</v>
      </c>
    </row>
    <row r="2052" spans="2:13" hidden="1">
      <c r="B2052">
        <v>2050</v>
      </c>
      <c r="C2052">
        <v>183</v>
      </c>
      <c r="D2052">
        <v>41</v>
      </c>
      <c r="E2052">
        <v>18</v>
      </c>
      <c r="F2052">
        <v>0</v>
      </c>
      <c r="G2052" t="s">
        <v>18</v>
      </c>
      <c r="H2052" t="s">
        <v>917</v>
      </c>
      <c r="I2052" t="s">
        <v>1534</v>
      </c>
      <c r="J2052" t="s">
        <v>55</v>
      </c>
      <c r="K2052" t="s">
        <v>1551</v>
      </c>
      <c r="M2052" t="s">
        <v>470</v>
      </c>
    </row>
    <row r="2053" spans="2:13" hidden="1">
      <c r="B2053">
        <v>2051</v>
      </c>
      <c r="C2053">
        <v>183</v>
      </c>
      <c r="D2053">
        <v>41</v>
      </c>
      <c r="E2053">
        <v>19</v>
      </c>
      <c r="F2053">
        <v>0</v>
      </c>
      <c r="G2053" t="s">
        <v>18</v>
      </c>
      <c r="H2053" t="s">
        <v>917</v>
      </c>
      <c r="I2053" t="s">
        <v>1534</v>
      </c>
      <c r="J2053" t="s">
        <v>55</v>
      </c>
      <c r="K2053" t="s">
        <v>1552</v>
      </c>
      <c r="M2053" t="s">
        <v>470</v>
      </c>
    </row>
    <row r="2054" spans="2:13" hidden="1">
      <c r="B2054">
        <v>2052</v>
      </c>
      <c r="C2054">
        <v>183</v>
      </c>
      <c r="D2054">
        <v>41</v>
      </c>
      <c r="E2054">
        <v>20</v>
      </c>
      <c r="F2054">
        <v>0</v>
      </c>
      <c r="G2054" t="s">
        <v>18</v>
      </c>
      <c r="H2054" t="s">
        <v>917</v>
      </c>
      <c r="I2054" t="s">
        <v>1534</v>
      </c>
      <c r="J2054" t="s">
        <v>64</v>
      </c>
      <c r="K2054" t="s">
        <v>1553</v>
      </c>
      <c r="M2054" t="s">
        <v>470</v>
      </c>
    </row>
    <row r="2055" spans="2:13" hidden="1">
      <c r="B2055">
        <v>2053</v>
      </c>
      <c r="C2055">
        <v>183</v>
      </c>
      <c r="D2055">
        <v>41</v>
      </c>
      <c r="E2055">
        <v>21</v>
      </c>
      <c r="F2055">
        <v>0</v>
      </c>
      <c r="G2055" t="s">
        <v>18</v>
      </c>
      <c r="H2055" t="s">
        <v>917</v>
      </c>
      <c r="I2055" t="s">
        <v>1534</v>
      </c>
      <c r="J2055" t="s">
        <v>55</v>
      </c>
      <c r="K2055" t="s">
        <v>1554</v>
      </c>
      <c r="M2055" t="s">
        <v>470</v>
      </c>
    </row>
    <row r="2056" spans="2:13" hidden="1">
      <c r="B2056">
        <v>2054</v>
      </c>
      <c r="C2056">
        <v>183</v>
      </c>
      <c r="D2056">
        <v>41</v>
      </c>
      <c r="E2056">
        <v>22</v>
      </c>
      <c r="F2056">
        <v>0</v>
      </c>
      <c r="G2056" t="s">
        <v>18</v>
      </c>
      <c r="H2056" t="s">
        <v>917</v>
      </c>
      <c r="I2056" t="s">
        <v>1534</v>
      </c>
      <c r="J2056" t="s">
        <v>64</v>
      </c>
      <c r="K2056" t="s">
        <v>1555</v>
      </c>
      <c r="M2056" t="s">
        <v>470</v>
      </c>
    </row>
    <row r="2057" spans="2:13" hidden="1">
      <c r="B2057">
        <v>2055</v>
      </c>
      <c r="C2057">
        <v>183</v>
      </c>
      <c r="D2057">
        <v>41</v>
      </c>
      <c r="E2057">
        <v>23</v>
      </c>
      <c r="F2057">
        <v>0</v>
      </c>
      <c r="G2057" t="s">
        <v>18</v>
      </c>
      <c r="H2057" t="s">
        <v>917</v>
      </c>
      <c r="I2057" t="s">
        <v>1534</v>
      </c>
      <c r="J2057" t="s">
        <v>55</v>
      </c>
      <c r="K2057" t="s">
        <v>1556</v>
      </c>
      <c r="M2057" t="s">
        <v>470</v>
      </c>
    </row>
    <row r="2058" spans="2:13" hidden="1">
      <c r="B2058">
        <v>2056</v>
      </c>
      <c r="C2058">
        <v>183</v>
      </c>
      <c r="D2058">
        <v>41</v>
      </c>
      <c r="E2058">
        <v>24</v>
      </c>
      <c r="F2058">
        <v>0</v>
      </c>
      <c r="G2058" t="s">
        <v>18</v>
      </c>
      <c r="H2058" t="s">
        <v>917</v>
      </c>
      <c r="I2058" t="s">
        <v>1534</v>
      </c>
      <c r="J2058" t="s">
        <v>55</v>
      </c>
      <c r="K2058" t="s">
        <v>1557</v>
      </c>
      <c r="M2058" t="s">
        <v>470</v>
      </c>
    </row>
    <row r="2059" spans="2:13" hidden="1">
      <c r="B2059">
        <v>2057</v>
      </c>
      <c r="C2059">
        <v>183</v>
      </c>
      <c r="D2059">
        <v>41</v>
      </c>
      <c r="E2059">
        <v>25</v>
      </c>
      <c r="F2059">
        <v>0</v>
      </c>
      <c r="G2059" t="s">
        <v>18</v>
      </c>
      <c r="H2059" t="s">
        <v>917</v>
      </c>
      <c r="I2059" t="s">
        <v>1534</v>
      </c>
      <c r="J2059" t="s">
        <v>55</v>
      </c>
      <c r="K2059" t="s">
        <v>1558</v>
      </c>
      <c r="M2059" t="s">
        <v>470</v>
      </c>
    </row>
    <row r="2060" spans="2:13" hidden="1">
      <c r="B2060">
        <v>2058</v>
      </c>
      <c r="C2060">
        <v>183</v>
      </c>
      <c r="D2060">
        <v>41</v>
      </c>
      <c r="E2060">
        <v>26</v>
      </c>
      <c r="F2060">
        <v>0</v>
      </c>
      <c r="G2060" t="s">
        <v>18</v>
      </c>
      <c r="H2060" t="s">
        <v>917</v>
      </c>
      <c r="I2060" t="s">
        <v>1534</v>
      </c>
      <c r="J2060" t="s">
        <v>55</v>
      </c>
      <c r="K2060" t="s">
        <v>1559</v>
      </c>
      <c r="M2060" t="s">
        <v>470</v>
      </c>
    </row>
    <row r="2061" spans="2:13" hidden="1">
      <c r="B2061">
        <v>2059</v>
      </c>
      <c r="C2061">
        <v>183</v>
      </c>
      <c r="D2061">
        <v>41</v>
      </c>
      <c r="E2061">
        <v>27</v>
      </c>
      <c r="F2061">
        <v>0</v>
      </c>
      <c r="G2061" t="s">
        <v>18</v>
      </c>
      <c r="H2061" t="s">
        <v>917</v>
      </c>
      <c r="I2061" t="s">
        <v>1534</v>
      </c>
      <c r="J2061" t="s">
        <v>55</v>
      </c>
      <c r="K2061" t="s">
        <v>1560</v>
      </c>
      <c r="M2061" t="s">
        <v>470</v>
      </c>
    </row>
    <row r="2062" spans="2:13" hidden="1">
      <c r="B2062">
        <v>2060</v>
      </c>
      <c r="C2062">
        <v>183</v>
      </c>
      <c r="D2062">
        <v>41</v>
      </c>
      <c r="E2062">
        <v>28</v>
      </c>
      <c r="F2062">
        <v>0</v>
      </c>
      <c r="G2062" t="s">
        <v>18</v>
      </c>
      <c r="H2062" t="s">
        <v>917</v>
      </c>
      <c r="I2062" t="s">
        <v>1534</v>
      </c>
      <c r="J2062" t="s">
        <v>479</v>
      </c>
      <c r="K2062" t="s">
        <v>1561</v>
      </c>
      <c r="M2062" t="s">
        <v>470</v>
      </c>
    </row>
    <row r="2063" spans="2:13" hidden="1">
      <c r="B2063">
        <v>2061</v>
      </c>
      <c r="C2063">
        <v>183</v>
      </c>
      <c r="D2063">
        <v>41</v>
      </c>
      <c r="E2063">
        <v>29</v>
      </c>
      <c r="F2063">
        <v>0</v>
      </c>
      <c r="G2063" t="s">
        <v>18</v>
      </c>
      <c r="H2063" t="s">
        <v>917</v>
      </c>
      <c r="I2063" t="s">
        <v>1534</v>
      </c>
      <c r="J2063" t="s">
        <v>55</v>
      </c>
      <c r="K2063" t="s">
        <v>1562</v>
      </c>
      <c r="M2063" t="s">
        <v>470</v>
      </c>
    </row>
    <row r="2064" spans="2:13" hidden="1">
      <c r="B2064">
        <v>2062</v>
      </c>
      <c r="C2064">
        <v>183</v>
      </c>
      <c r="D2064">
        <v>41</v>
      </c>
      <c r="E2064">
        <v>30</v>
      </c>
      <c r="F2064">
        <v>0</v>
      </c>
      <c r="G2064" t="s">
        <v>18</v>
      </c>
      <c r="H2064" t="s">
        <v>917</v>
      </c>
      <c r="I2064" t="s">
        <v>1534</v>
      </c>
      <c r="J2064" t="s">
        <v>64</v>
      </c>
      <c r="K2064" t="s">
        <v>1563</v>
      </c>
      <c r="M2064" t="s">
        <v>470</v>
      </c>
    </row>
    <row r="2065" spans="2:13" hidden="1">
      <c r="B2065">
        <v>2063</v>
      </c>
      <c r="C2065">
        <v>183</v>
      </c>
      <c r="D2065">
        <v>41</v>
      </c>
      <c r="E2065">
        <v>31</v>
      </c>
      <c r="F2065">
        <v>0</v>
      </c>
      <c r="G2065" t="s">
        <v>18</v>
      </c>
      <c r="H2065" t="s">
        <v>917</v>
      </c>
      <c r="I2065" t="s">
        <v>1534</v>
      </c>
      <c r="J2065" t="s">
        <v>55</v>
      </c>
      <c r="K2065" t="s">
        <v>1564</v>
      </c>
      <c r="M2065" t="s">
        <v>470</v>
      </c>
    </row>
    <row r="2066" spans="2:13" hidden="1">
      <c r="B2066">
        <v>2064</v>
      </c>
      <c r="C2066">
        <v>183</v>
      </c>
      <c r="D2066">
        <v>41</v>
      </c>
      <c r="E2066">
        <v>32</v>
      </c>
      <c r="F2066">
        <v>0</v>
      </c>
      <c r="G2066" t="s">
        <v>18</v>
      </c>
      <c r="H2066" t="s">
        <v>917</v>
      </c>
      <c r="I2066" t="s">
        <v>1534</v>
      </c>
      <c r="J2066" t="s">
        <v>55</v>
      </c>
      <c r="K2066" t="s">
        <v>1565</v>
      </c>
      <c r="M2066" t="s">
        <v>470</v>
      </c>
    </row>
    <row r="2067" spans="2:13" hidden="1">
      <c r="B2067">
        <v>2065</v>
      </c>
      <c r="C2067">
        <v>183</v>
      </c>
      <c r="D2067">
        <v>41</v>
      </c>
      <c r="E2067">
        <v>33</v>
      </c>
      <c r="F2067">
        <v>0</v>
      </c>
      <c r="G2067" t="s">
        <v>18</v>
      </c>
      <c r="H2067" t="s">
        <v>917</v>
      </c>
      <c r="I2067" t="s">
        <v>1534</v>
      </c>
      <c r="J2067" t="s">
        <v>55</v>
      </c>
      <c r="K2067" t="s">
        <v>1566</v>
      </c>
      <c r="M2067" t="s">
        <v>470</v>
      </c>
    </row>
    <row r="2068" spans="2:13" hidden="1">
      <c r="B2068">
        <v>2066</v>
      </c>
      <c r="C2068">
        <v>183</v>
      </c>
      <c r="D2068">
        <v>41</v>
      </c>
      <c r="E2068">
        <v>34</v>
      </c>
      <c r="F2068">
        <v>0</v>
      </c>
      <c r="G2068" t="s">
        <v>18</v>
      </c>
      <c r="H2068" t="s">
        <v>917</v>
      </c>
      <c r="I2068" t="s">
        <v>1534</v>
      </c>
      <c r="J2068" t="s">
        <v>55</v>
      </c>
      <c r="K2068" t="s">
        <v>1567</v>
      </c>
      <c r="M2068" t="s">
        <v>470</v>
      </c>
    </row>
    <row r="2069" spans="2:13" hidden="1">
      <c r="B2069">
        <v>2067</v>
      </c>
      <c r="C2069">
        <v>183</v>
      </c>
      <c r="D2069">
        <v>41</v>
      </c>
      <c r="E2069">
        <v>35</v>
      </c>
      <c r="F2069">
        <v>0</v>
      </c>
      <c r="G2069" t="s">
        <v>18</v>
      </c>
      <c r="H2069" t="s">
        <v>917</v>
      </c>
      <c r="I2069" t="s">
        <v>1534</v>
      </c>
      <c r="J2069" t="s">
        <v>479</v>
      </c>
      <c r="K2069" t="s">
        <v>1568</v>
      </c>
      <c r="M2069" t="s">
        <v>470</v>
      </c>
    </row>
    <row r="2070" spans="2:13" hidden="1">
      <c r="B2070">
        <v>2068</v>
      </c>
      <c r="C2070">
        <v>183</v>
      </c>
      <c r="D2070">
        <v>41</v>
      </c>
      <c r="E2070">
        <v>36</v>
      </c>
      <c r="F2070">
        <v>0</v>
      </c>
      <c r="G2070" t="s">
        <v>18</v>
      </c>
      <c r="H2070" t="s">
        <v>917</v>
      </c>
      <c r="I2070" t="s">
        <v>1534</v>
      </c>
      <c r="J2070" t="s">
        <v>55</v>
      </c>
      <c r="K2070" t="s">
        <v>1569</v>
      </c>
      <c r="M2070" t="s">
        <v>470</v>
      </c>
    </row>
    <row r="2071" spans="2:13" hidden="1">
      <c r="B2071">
        <v>2069</v>
      </c>
      <c r="C2071">
        <v>183</v>
      </c>
      <c r="D2071">
        <v>41</v>
      </c>
      <c r="E2071">
        <v>37</v>
      </c>
      <c r="F2071">
        <v>0</v>
      </c>
      <c r="G2071" t="s">
        <v>18</v>
      </c>
      <c r="H2071" t="s">
        <v>917</v>
      </c>
      <c r="I2071" t="s">
        <v>1534</v>
      </c>
      <c r="J2071" t="s">
        <v>64</v>
      </c>
      <c r="K2071" t="s">
        <v>1563</v>
      </c>
      <c r="M2071" t="s">
        <v>470</v>
      </c>
    </row>
    <row r="2072" spans="2:13" hidden="1">
      <c r="B2072">
        <v>2070</v>
      </c>
      <c r="C2072">
        <v>183</v>
      </c>
      <c r="D2072">
        <v>41</v>
      </c>
      <c r="E2072">
        <v>38</v>
      </c>
      <c r="F2072">
        <v>0</v>
      </c>
      <c r="G2072" t="s">
        <v>18</v>
      </c>
      <c r="H2072" t="s">
        <v>917</v>
      </c>
      <c r="I2072" t="s">
        <v>1534</v>
      </c>
      <c r="J2072" t="s">
        <v>55</v>
      </c>
      <c r="K2072" t="s">
        <v>1570</v>
      </c>
      <c r="M2072" t="s">
        <v>470</v>
      </c>
    </row>
    <row r="2073" spans="2:13" hidden="1">
      <c r="B2073">
        <v>2071</v>
      </c>
      <c r="C2073">
        <v>183</v>
      </c>
      <c r="D2073">
        <v>41</v>
      </c>
      <c r="E2073">
        <v>39</v>
      </c>
      <c r="F2073">
        <v>0</v>
      </c>
      <c r="G2073" t="s">
        <v>18</v>
      </c>
      <c r="H2073" t="s">
        <v>917</v>
      </c>
      <c r="I2073" t="s">
        <v>1534</v>
      </c>
      <c r="J2073" t="s">
        <v>55</v>
      </c>
      <c r="K2073" t="s">
        <v>1571</v>
      </c>
      <c r="M2073" t="s">
        <v>470</v>
      </c>
    </row>
    <row r="2074" spans="2:13" hidden="1">
      <c r="B2074">
        <v>2072</v>
      </c>
      <c r="C2074">
        <v>183</v>
      </c>
      <c r="D2074">
        <v>41</v>
      </c>
      <c r="E2074">
        <v>40</v>
      </c>
      <c r="F2074">
        <v>0</v>
      </c>
      <c r="G2074" t="s">
        <v>18</v>
      </c>
      <c r="H2074" t="s">
        <v>917</v>
      </c>
      <c r="I2074" t="s">
        <v>1534</v>
      </c>
      <c r="J2074" t="s">
        <v>479</v>
      </c>
      <c r="K2074" t="s">
        <v>1572</v>
      </c>
      <c r="M2074" t="s">
        <v>470</v>
      </c>
    </row>
    <row r="2075" spans="2:13" hidden="1">
      <c r="B2075">
        <v>2073</v>
      </c>
      <c r="C2075">
        <v>183</v>
      </c>
      <c r="D2075">
        <v>41</v>
      </c>
      <c r="E2075">
        <v>41</v>
      </c>
      <c r="F2075">
        <v>0</v>
      </c>
      <c r="G2075" t="s">
        <v>18</v>
      </c>
      <c r="H2075" t="s">
        <v>917</v>
      </c>
      <c r="I2075" t="s">
        <v>1534</v>
      </c>
      <c r="J2075" t="s">
        <v>55</v>
      </c>
      <c r="K2075" t="s">
        <v>1573</v>
      </c>
      <c r="M2075" t="s">
        <v>470</v>
      </c>
    </row>
    <row r="2076" spans="2:13" hidden="1">
      <c r="B2076">
        <v>2074</v>
      </c>
      <c r="C2076">
        <v>184</v>
      </c>
      <c r="D2076">
        <v>4</v>
      </c>
      <c r="E2076">
        <v>0</v>
      </c>
      <c r="F2076">
        <v>0</v>
      </c>
      <c r="G2076" t="s">
        <v>18</v>
      </c>
      <c r="H2076" t="s">
        <v>52</v>
      </c>
      <c r="I2076" t="s">
        <v>1574</v>
      </c>
      <c r="J2076" t="s">
        <v>54</v>
      </c>
      <c r="K2076" t="s">
        <v>1574</v>
      </c>
      <c r="M2076" t="s">
        <v>6</v>
      </c>
    </row>
    <row r="2077" spans="2:13" hidden="1">
      <c r="B2077">
        <v>2075</v>
      </c>
      <c r="C2077">
        <v>184</v>
      </c>
      <c r="D2077">
        <v>4</v>
      </c>
      <c r="E2077">
        <v>1</v>
      </c>
      <c r="F2077">
        <v>0</v>
      </c>
      <c r="G2077" t="s">
        <v>18</v>
      </c>
      <c r="H2077" t="s">
        <v>52</v>
      </c>
      <c r="I2077" t="s">
        <v>1574</v>
      </c>
      <c r="J2077" t="s">
        <v>55</v>
      </c>
      <c r="K2077" t="s">
        <v>62</v>
      </c>
      <c r="M2077" t="s">
        <v>6</v>
      </c>
    </row>
    <row r="2078" spans="2:13" hidden="1">
      <c r="B2078">
        <v>2076</v>
      </c>
      <c r="C2078">
        <v>184</v>
      </c>
      <c r="D2078">
        <v>4</v>
      </c>
      <c r="E2078">
        <v>2</v>
      </c>
      <c r="F2078">
        <v>0</v>
      </c>
      <c r="G2078" t="s">
        <v>18</v>
      </c>
      <c r="H2078" t="s">
        <v>52</v>
      </c>
      <c r="I2078" t="s">
        <v>1574</v>
      </c>
      <c r="J2078" t="s">
        <v>55</v>
      </c>
      <c r="K2078" t="s">
        <v>63</v>
      </c>
      <c r="M2078" t="s">
        <v>6</v>
      </c>
    </row>
    <row r="2079" spans="2:13" hidden="1">
      <c r="B2079">
        <v>2077</v>
      </c>
      <c r="C2079">
        <v>184</v>
      </c>
      <c r="D2079">
        <v>4</v>
      </c>
      <c r="E2079">
        <v>3</v>
      </c>
      <c r="F2079">
        <v>0</v>
      </c>
      <c r="G2079" t="s">
        <v>18</v>
      </c>
      <c r="H2079" t="s">
        <v>52</v>
      </c>
      <c r="I2079" t="s">
        <v>1574</v>
      </c>
      <c r="J2079" t="s">
        <v>64</v>
      </c>
      <c r="K2079" t="s">
        <v>65</v>
      </c>
      <c r="M2079" t="s">
        <v>6</v>
      </c>
    </row>
    <row r="2080" spans="2:13" hidden="1">
      <c r="B2080">
        <v>2078</v>
      </c>
      <c r="C2080">
        <v>184</v>
      </c>
      <c r="D2080">
        <v>4</v>
      </c>
      <c r="E2080">
        <v>4</v>
      </c>
      <c r="F2080">
        <v>0</v>
      </c>
      <c r="G2080" t="s">
        <v>18</v>
      </c>
      <c r="H2080" t="s">
        <v>52</v>
      </c>
      <c r="I2080" t="s">
        <v>1574</v>
      </c>
      <c r="J2080" t="s">
        <v>55</v>
      </c>
      <c r="K2080" t="s">
        <v>1575</v>
      </c>
      <c r="M2080" t="s">
        <v>6</v>
      </c>
    </row>
    <row r="2081" spans="2:13" hidden="1">
      <c r="B2081">
        <v>2079</v>
      </c>
      <c r="C2081">
        <v>185</v>
      </c>
      <c r="D2081">
        <v>11</v>
      </c>
      <c r="E2081">
        <v>0</v>
      </c>
      <c r="F2081">
        <v>0</v>
      </c>
      <c r="G2081" t="s">
        <v>18</v>
      </c>
      <c r="H2081" t="s">
        <v>52</v>
      </c>
      <c r="I2081" t="s">
        <v>1576</v>
      </c>
      <c r="J2081" t="s">
        <v>54</v>
      </c>
      <c r="K2081" t="s">
        <v>1576</v>
      </c>
      <c r="M2081" t="s">
        <v>6</v>
      </c>
    </row>
    <row r="2082" spans="2:13" hidden="1">
      <c r="B2082">
        <v>2080</v>
      </c>
      <c r="C2082">
        <v>185</v>
      </c>
      <c r="D2082">
        <v>11</v>
      </c>
      <c r="E2082">
        <v>1</v>
      </c>
      <c r="F2082">
        <v>0</v>
      </c>
      <c r="G2082" t="s">
        <v>18</v>
      </c>
      <c r="H2082" t="s">
        <v>52</v>
      </c>
      <c r="I2082" t="s">
        <v>1576</v>
      </c>
      <c r="J2082" t="s">
        <v>55</v>
      </c>
      <c r="K2082" t="s">
        <v>62</v>
      </c>
      <c r="M2082" t="s">
        <v>6</v>
      </c>
    </row>
    <row r="2083" spans="2:13" hidden="1">
      <c r="B2083">
        <v>2081</v>
      </c>
      <c r="C2083">
        <v>185</v>
      </c>
      <c r="D2083">
        <v>11</v>
      </c>
      <c r="E2083">
        <v>2</v>
      </c>
      <c r="F2083">
        <v>0</v>
      </c>
      <c r="G2083" t="s">
        <v>18</v>
      </c>
      <c r="H2083" t="s">
        <v>52</v>
      </c>
      <c r="I2083" t="s">
        <v>1576</v>
      </c>
      <c r="J2083" t="s">
        <v>55</v>
      </c>
      <c r="K2083" t="s">
        <v>1577</v>
      </c>
      <c r="M2083" t="s">
        <v>6</v>
      </c>
    </row>
    <row r="2084" spans="2:13" hidden="1">
      <c r="B2084">
        <v>2082</v>
      </c>
      <c r="C2084">
        <v>185</v>
      </c>
      <c r="D2084">
        <v>11</v>
      </c>
      <c r="E2084">
        <v>3</v>
      </c>
      <c r="F2084">
        <v>0</v>
      </c>
      <c r="G2084" t="s">
        <v>18</v>
      </c>
      <c r="H2084" t="s">
        <v>52</v>
      </c>
      <c r="I2084" t="s">
        <v>1576</v>
      </c>
      <c r="J2084" t="s">
        <v>55</v>
      </c>
      <c r="K2084" t="s">
        <v>1578</v>
      </c>
      <c r="M2084" t="s">
        <v>6</v>
      </c>
    </row>
    <row r="2085" spans="2:13" hidden="1">
      <c r="B2085">
        <v>2083</v>
      </c>
      <c r="C2085">
        <v>185</v>
      </c>
      <c r="D2085">
        <v>11</v>
      </c>
      <c r="E2085">
        <v>4</v>
      </c>
      <c r="F2085">
        <v>0</v>
      </c>
      <c r="G2085" t="s">
        <v>18</v>
      </c>
      <c r="H2085" t="s">
        <v>52</v>
      </c>
      <c r="I2085" t="s">
        <v>1576</v>
      </c>
      <c r="J2085" t="s">
        <v>55</v>
      </c>
      <c r="K2085" t="s">
        <v>1579</v>
      </c>
      <c r="M2085" t="s">
        <v>6</v>
      </c>
    </row>
    <row r="2086" spans="2:13" hidden="1">
      <c r="B2086">
        <v>2084</v>
      </c>
      <c r="C2086">
        <v>185</v>
      </c>
      <c r="D2086">
        <v>11</v>
      </c>
      <c r="E2086">
        <v>5</v>
      </c>
      <c r="F2086">
        <v>0</v>
      </c>
      <c r="G2086" t="s">
        <v>18</v>
      </c>
      <c r="H2086" t="s">
        <v>52</v>
      </c>
      <c r="I2086" t="s">
        <v>1576</v>
      </c>
      <c r="J2086" t="s">
        <v>55</v>
      </c>
      <c r="K2086" t="s">
        <v>1580</v>
      </c>
      <c r="M2086" t="s">
        <v>6</v>
      </c>
    </row>
    <row r="2087" spans="2:13" hidden="1">
      <c r="B2087">
        <v>2085</v>
      </c>
      <c r="C2087">
        <v>185</v>
      </c>
      <c r="D2087">
        <v>11</v>
      </c>
      <c r="E2087">
        <v>6</v>
      </c>
      <c r="F2087">
        <v>0</v>
      </c>
      <c r="G2087" t="s">
        <v>18</v>
      </c>
      <c r="H2087" t="s">
        <v>52</v>
      </c>
      <c r="I2087" t="s">
        <v>1576</v>
      </c>
      <c r="J2087" t="s">
        <v>55</v>
      </c>
      <c r="K2087" t="s">
        <v>1581</v>
      </c>
      <c r="M2087" t="s">
        <v>6</v>
      </c>
    </row>
    <row r="2088" spans="2:13" hidden="1">
      <c r="B2088">
        <v>2086</v>
      </c>
      <c r="C2088">
        <v>185</v>
      </c>
      <c r="D2088">
        <v>11</v>
      </c>
      <c r="E2088">
        <v>7</v>
      </c>
      <c r="F2088">
        <v>0</v>
      </c>
      <c r="G2088" t="s">
        <v>18</v>
      </c>
      <c r="H2088" t="s">
        <v>52</v>
      </c>
      <c r="I2088" t="s">
        <v>1576</v>
      </c>
      <c r="J2088" t="s">
        <v>55</v>
      </c>
      <c r="K2088" t="s">
        <v>1582</v>
      </c>
      <c r="M2088" t="s">
        <v>6</v>
      </c>
    </row>
    <row r="2089" spans="2:13" hidden="1">
      <c r="B2089">
        <v>2087</v>
      </c>
      <c r="C2089">
        <v>185</v>
      </c>
      <c r="D2089">
        <v>11</v>
      </c>
      <c r="E2089">
        <v>8</v>
      </c>
      <c r="F2089">
        <v>0</v>
      </c>
      <c r="G2089" t="s">
        <v>18</v>
      </c>
      <c r="H2089" t="s">
        <v>52</v>
      </c>
      <c r="I2089" t="s">
        <v>1576</v>
      </c>
      <c r="J2089" t="s">
        <v>55</v>
      </c>
      <c r="K2089" t="s">
        <v>1583</v>
      </c>
      <c r="M2089" t="s">
        <v>6</v>
      </c>
    </row>
    <row r="2090" spans="2:13" hidden="1">
      <c r="B2090">
        <v>2088</v>
      </c>
      <c r="C2090">
        <v>185</v>
      </c>
      <c r="D2090">
        <v>11</v>
      </c>
      <c r="E2090">
        <v>9</v>
      </c>
      <c r="F2090">
        <v>0</v>
      </c>
      <c r="G2090" t="s">
        <v>18</v>
      </c>
      <c r="H2090" t="s">
        <v>52</v>
      </c>
      <c r="I2090" t="s">
        <v>1576</v>
      </c>
      <c r="J2090" t="s">
        <v>55</v>
      </c>
      <c r="K2090" t="s">
        <v>63</v>
      </c>
      <c r="M2090" t="s">
        <v>6</v>
      </c>
    </row>
    <row r="2091" spans="2:13" hidden="1">
      <c r="B2091">
        <v>2089</v>
      </c>
      <c r="C2091">
        <v>185</v>
      </c>
      <c r="D2091">
        <v>11</v>
      </c>
      <c r="E2091">
        <v>10</v>
      </c>
      <c r="F2091">
        <v>0</v>
      </c>
      <c r="G2091" t="s">
        <v>18</v>
      </c>
      <c r="H2091" t="s">
        <v>52</v>
      </c>
      <c r="I2091" t="s">
        <v>1576</v>
      </c>
      <c r="J2091" t="s">
        <v>64</v>
      </c>
      <c r="K2091" t="s">
        <v>65</v>
      </c>
      <c r="M2091" t="s">
        <v>6</v>
      </c>
    </row>
    <row r="2092" spans="2:13" hidden="1">
      <c r="B2092">
        <v>2090</v>
      </c>
      <c r="C2092">
        <v>185</v>
      </c>
      <c r="D2092">
        <v>11</v>
      </c>
      <c r="E2092">
        <v>11</v>
      </c>
      <c r="F2092">
        <v>0</v>
      </c>
      <c r="G2092" t="s">
        <v>18</v>
      </c>
      <c r="H2092" t="s">
        <v>52</v>
      </c>
      <c r="I2092" t="s">
        <v>1576</v>
      </c>
      <c r="J2092" t="s">
        <v>55</v>
      </c>
      <c r="K2092" t="s">
        <v>1584</v>
      </c>
      <c r="M2092" t="s">
        <v>6</v>
      </c>
    </row>
    <row r="2093" spans="2:13" hidden="1">
      <c r="B2093">
        <v>2091</v>
      </c>
      <c r="C2093">
        <v>186</v>
      </c>
      <c r="D2093">
        <v>27</v>
      </c>
      <c r="E2093">
        <v>0</v>
      </c>
      <c r="F2093">
        <v>0</v>
      </c>
      <c r="G2093" t="s">
        <v>18</v>
      </c>
      <c r="H2093" t="s">
        <v>52</v>
      </c>
      <c r="I2093" t="s">
        <v>1585</v>
      </c>
      <c r="J2093" t="s">
        <v>478</v>
      </c>
      <c r="K2093" t="s">
        <v>1585</v>
      </c>
      <c r="M2093" t="s">
        <v>470</v>
      </c>
    </row>
    <row r="2094" spans="2:13" hidden="1">
      <c r="B2094">
        <v>2092</v>
      </c>
      <c r="C2094">
        <v>186</v>
      </c>
      <c r="D2094">
        <v>27</v>
      </c>
      <c r="E2094">
        <v>1</v>
      </c>
      <c r="F2094">
        <v>0</v>
      </c>
      <c r="G2094" t="s">
        <v>18</v>
      </c>
      <c r="H2094" t="s">
        <v>52</v>
      </c>
      <c r="I2094" t="s">
        <v>1585</v>
      </c>
      <c r="J2094" t="s">
        <v>479</v>
      </c>
      <c r="K2094" t="s">
        <v>1586</v>
      </c>
      <c r="M2094" t="s">
        <v>470</v>
      </c>
    </row>
    <row r="2095" spans="2:13" hidden="1">
      <c r="B2095">
        <v>2093</v>
      </c>
      <c r="C2095">
        <v>186</v>
      </c>
      <c r="D2095">
        <v>27</v>
      </c>
      <c r="E2095">
        <v>2</v>
      </c>
      <c r="F2095">
        <v>0</v>
      </c>
      <c r="G2095" t="s">
        <v>18</v>
      </c>
      <c r="H2095" t="s">
        <v>52</v>
      </c>
      <c r="I2095" t="s">
        <v>1585</v>
      </c>
      <c r="J2095" t="s">
        <v>722</v>
      </c>
      <c r="K2095" t="s">
        <v>1586</v>
      </c>
      <c r="M2095" t="s">
        <v>470</v>
      </c>
    </row>
    <row r="2096" spans="2:13" hidden="1">
      <c r="B2096">
        <v>2094</v>
      </c>
      <c r="C2096">
        <v>186</v>
      </c>
      <c r="D2096">
        <v>27</v>
      </c>
      <c r="E2096">
        <v>3</v>
      </c>
      <c r="F2096">
        <v>0</v>
      </c>
      <c r="G2096" t="s">
        <v>18</v>
      </c>
      <c r="H2096" t="s">
        <v>52</v>
      </c>
      <c r="I2096" t="s">
        <v>1585</v>
      </c>
      <c r="J2096" t="s">
        <v>214</v>
      </c>
      <c r="K2096" t="s">
        <v>1587</v>
      </c>
      <c r="M2096" t="s">
        <v>470</v>
      </c>
    </row>
    <row r="2097" spans="2:13" hidden="1">
      <c r="B2097">
        <v>2095</v>
      </c>
      <c r="C2097">
        <v>186</v>
      </c>
      <c r="D2097">
        <v>27</v>
      </c>
      <c r="E2097">
        <v>4</v>
      </c>
      <c r="F2097">
        <v>0</v>
      </c>
      <c r="G2097" t="s">
        <v>18</v>
      </c>
      <c r="H2097" t="s">
        <v>52</v>
      </c>
      <c r="I2097" t="s">
        <v>1585</v>
      </c>
      <c r="J2097" t="s">
        <v>99</v>
      </c>
      <c r="K2097" t="s">
        <v>1588</v>
      </c>
      <c r="M2097" t="s">
        <v>470</v>
      </c>
    </row>
    <row r="2098" spans="2:13" hidden="1">
      <c r="B2098">
        <v>2096</v>
      </c>
      <c r="C2098">
        <v>186</v>
      </c>
      <c r="D2098">
        <v>27</v>
      </c>
      <c r="E2098">
        <v>5</v>
      </c>
      <c r="F2098">
        <v>0</v>
      </c>
      <c r="G2098" t="s">
        <v>18</v>
      </c>
      <c r="H2098" t="s">
        <v>52</v>
      </c>
      <c r="I2098" t="s">
        <v>1585</v>
      </c>
      <c r="J2098" t="s">
        <v>99</v>
      </c>
      <c r="K2098" t="s">
        <v>1589</v>
      </c>
      <c r="M2098" t="s">
        <v>470</v>
      </c>
    </row>
    <row r="2099" spans="2:13" hidden="1">
      <c r="B2099">
        <v>2097</v>
      </c>
      <c r="C2099">
        <v>186</v>
      </c>
      <c r="D2099">
        <v>27</v>
      </c>
      <c r="E2099">
        <v>6</v>
      </c>
      <c r="F2099">
        <v>0</v>
      </c>
      <c r="G2099" t="s">
        <v>18</v>
      </c>
      <c r="H2099" t="s">
        <v>52</v>
      </c>
      <c r="I2099" t="s">
        <v>1585</v>
      </c>
      <c r="J2099" t="s">
        <v>55</v>
      </c>
      <c r="K2099" t="s">
        <v>1590</v>
      </c>
      <c r="M2099" t="s">
        <v>470</v>
      </c>
    </row>
    <row r="2100" spans="2:13" hidden="1">
      <c r="B2100">
        <v>2098</v>
      </c>
      <c r="C2100">
        <v>186</v>
      </c>
      <c r="D2100">
        <v>27</v>
      </c>
      <c r="E2100">
        <v>7</v>
      </c>
      <c r="F2100">
        <v>0</v>
      </c>
      <c r="G2100" t="s">
        <v>18</v>
      </c>
      <c r="H2100" t="s">
        <v>52</v>
      </c>
      <c r="I2100" t="s">
        <v>1585</v>
      </c>
      <c r="J2100" t="s">
        <v>55</v>
      </c>
      <c r="K2100" t="s">
        <v>1591</v>
      </c>
      <c r="M2100" t="s">
        <v>470</v>
      </c>
    </row>
    <row r="2101" spans="2:13" hidden="1">
      <c r="B2101">
        <v>2099</v>
      </c>
      <c r="C2101">
        <v>186</v>
      </c>
      <c r="D2101">
        <v>27</v>
      </c>
      <c r="E2101">
        <v>8</v>
      </c>
      <c r="F2101">
        <v>0</v>
      </c>
      <c r="G2101" t="s">
        <v>18</v>
      </c>
      <c r="H2101" t="s">
        <v>52</v>
      </c>
      <c r="I2101" t="s">
        <v>1585</v>
      </c>
      <c r="J2101" t="s">
        <v>55</v>
      </c>
      <c r="K2101" t="s">
        <v>1592</v>
      </c>
      <c r="M2101" t="s">
        <v>470</v>
      </c>
    </row>
    <row r="2102" spans="2:13" hidden="1">
      <c r="B2102">
        <v>2100</v>
      </c>
      <c r="C2102">
        <v>186</v>
      </c>
      <c r="D2102">
        <v>27</v>
      </c>
      <c r="E2102">
        <v>9</v>
      </c>
      <c r="F2102">
        <v>0</v>
      </c>
      <c r="G2102" t="s">
        <v>18</v>
      </c>
      <c r="H2102" t="s">
        <v>52</v>
      </c>
      <c r="I2102" t="s">
        <v>1585</v>
      </c>
      <c r="J2102" t="s">
        <v>55</v>
      </c>
      <c r="K2102" t="s">
        <v>1593</v>
      </c>
      <c r="M2102" t="s">
        <v>470</v>
      </c>
    </row>
    <row r="2103" spans="2:13" hidden="1">
      <c r="B2103">
        <v>2101</v>
      </c>
      <c r="C2103">
        <v>186</v>
      </c>
      <c r="D2103">
        <v>27</v>
      </c>
      <c r="E2103">
        <v>10</v>
      </c>
      <c r="F2103">
        <v>0</v>
      </c>
      <c r="G2103" t="s">
        <v>18</v>
      </c>
      <c r="H2103" t="s">
        <v>52</v>
      </c>
      <c r="I2103" t="s">
        <v>1585</v>
      </c>
      <c r="J2103" t="s">
        <v>55</v>
      </c>
      <c r="K2103" t="s">
        <v>1594</v>
      </c>
      <c r="M2103" t="s">
        <v>470</v>
      </c>
    </row>
    <row r="2104" spans="2:13" hidden="1">
      <c r="B2104">
        <v>2102</v>
      </c>
      <c r="C2104">
        <v>186</v>
      </c>
      <c r="D2104">
        <v>27</v>
      </c>
      <c r="E2104">
        <v>11</v>
      </c>
      <c r="F2104">
        <v>0</v>
      </c>
      <c r="G2104" t="s">
        <v>18</v>
      </c>
      <c r="H2104" t="s">
        <v>52</v>
      </c>
      <c r="I2104" t="s">
        <v>1585</v>
      </c>
      <c r="J2104" t="s">
        <v>55</v>
      </c>
      <c r="K2104" t="s">
        <v>1595</v>
      </c>
      <c r="M2104" t="s">
        <v>470</v>
      </c>
    </row>
    <row r="2105" spans="2:13" hidden="1">
      <c r="B2105">
        <v>2103</v>
      </c>
      <c r="C2105">
        <v>186</v>
      </c>
      <c r="D2105">
        <v>27</v>
      </c>
      <c r="E2105">
        <v>12</v>
      </c>
      <c r="F2105">
        <v>0</v>
      </c>
      <c r="G2105" t="s">
        <v>18</v>
      </c>
      <c r="H2105" t="s">
        <v>52</v>
      </c>
      <c r="I2105" t="s">
        <v>1585</v>
      </c>
      <c r="J2105" t="s">
        <v>479</v>
      </c>
      <c r="K2105" t="s">
        <v>1596</v>
      </c>
      <c r="M2105" t="s">
        <v>470</v>
      </c>
    </row>
    <row r="2106" spans="2:13" hidden="1">
      <c r="B2106">
        <v>2104</v>
      </c>
      <c r="C2106">
        <v>186</v>
      </c>
      <c r="D2106">
        <v>27</v>
      </c>
      <c r="E2106">
        <v>13</v>
      </c>
      <c r="F2106">
        <v>0</v>
      </c>
      <c r="G2106" t="s">
        <v>18</v>
      </c>
      <c r="H2106" t="s">
        <v>52</v>
      </c>
      <c r="I2106" t="s">
        <v>1585</v>
      </c>
      <c r="J2106" t="s">
        <v>55</v>
      </c>
      <c r="K2106" t="s">
        <v>1597</v>
      </c>
      <c r="M2106" t="s">
        <v>470</v>
      </c>
    </row>
    <row r="2107" spans="2:13" hidden="1">
      <c r="B2107">
        <v>2105</v>
      </c>
      <c r="C2107">
        <v>186</v>
      </c>
      <c r="D2107">
        <v>27</v>
      </c>
      <c r="E2107">
        <v>14</v>
      </c>
      <c r="F2107">
        <v>0</v>
      </c>
      <c r="G2107" t="s">
        <v>18</v>
      </c>
      <c r="H2107" t="s">
        <v>52</v>
      </c>
      <c r="I2107" t="s">
        <v>1585</v>
      </c>
      <c r="J2107" t="s">
        <v>55</v>
      </c>
      <c r="K2107" t="s">
        <v>1598</v>
      </c>
      <c r="M2107" t="s">
        <v>470</v>
      </c>
    </row>
    <row r="2108" spans="2:13" hidden="1">
      <c r="B2108">
        <v>2106</v>
      </c>
      <c r="C2108">
        <v>186</v>
      </c>
      <c r="D2108">
        <v>27</v>
      </c>
      <c r="E2108">
        <v>15</v>
      </c>
      <c r="F2108">
        <v>0</v>
      </c>
      <c r="G2108" t="s">
        <v>18</v>
      </c>
      <c r="H2108" t="s">
        <v>52</v>
      </c>
      <c r="I2108" t="s">
        <v>1585</v>
      </c>
      <c r="J2108" t="s">
        <v>55</v>
      </c>
      <c r="K2108" t="s">
        <v>1599</v>
      </c>
      <c r="M2108" t="s">
        <v>470</v>
      </c>
    </row>
    <row r="2109" spans="2:13" hidden="1">
      <c r="B2109">
        <v>2107</v>
      </c>
      <c r="C2109">
        <v>186</v>
      </c>
      <c r="D2109">
        <v>27</v>
      </c>
      <c r="E2109">
        <v>16</v>
      </c>
      <c r="F2109">
        <v>0</v>
      </c>
      <c r="G2109" t="s">
        <v>18</v>
      </c>
      <c r="H2109" t="s">
        <v>52</v>
      </c>
      <c r="I2109" t="s">
        <v>1585</v>
      </c>
      <c r="J2109" t="s">
        <v>55</v>
      </c>
      <c r="K2109" t="s">
        <v>1600</v>
      </c>
      <c r="M2109" t="s">
        <v>470</v>
      </c>
    </row>
    <row r="2110" spans="2:13" hidden="1">
      <c r="B2110">
        <v>2108</v>
      </c>
      <c r="C2110">
        <v>186</v>
      </c>
      <c r="D2110">
        <v>27</v>
      </c>
      <c r="E2110">
        <v>17</v>
      </c>
      <c r="F2110">
        <v>0</v>
      </c>
      <c r="G2110" t="s">
        <v>18</v>
      </c>
      <c r="H2110" t="s">
        <v>52</v>
      </c>
      <c r="I2110" t="s">
        <v>1585</v>
      </c>
      <c r="J2110" t="s">
        <v>55</v>
      </c>
      <c r="K2110" t="s">
        <v>1601</v>
      </c>
      <c r="M2110" t="s">
        <v>470</v>
      </c>
    </row>
    <row r="2111" spans="2:13" hidden="1">
      <c r="B2111">
        <v>2109</v>
      </c>
      <c r="C2111">
        <v>186</v>
      </c>
      <c r="D2111">
        <v>27</v>
      </c>
      <c r="E2111">
        <v>18</v>
      </c>
      <c r="F2111">
        <v>0</v>
      </c>
      <c r="G2111" t="s">
        <v>18</v>
      </c>
      <c r="H2111" t="s">
        <v>52</v>
      </c>
      <c r="I2111" t="s">
        <v>1585</v>
      </c>
      <c r="J2111" t="s">
        <v>55</v>
      </c>
      <c r="K2111" t="s">
        <v>1602</v>
      </c>
      <c r="M2111" t="s">
        <v>470</v>
      </c>
    </row>
    <row r="2112" spans="2:13" hidden="1">
      <c r="B2112">
        <v>2110</v>
      </c>
      <c r="C2112">
        <v>186</v>
      </c>
      <c r="D2112">
        <v>27</v>
      </c>
      <c r="E2112">
        <v>19</v>
      </c>
      <c r="F2112">
        <v>0</v>
      </c>
      <c r="G2112" t="s">
        <v>18</v>
      </c>
      <c r="H2112" t="s">
        <v>52</v>
      </c>
      <c r="I2112" t="s">
        <v>1585</v>
      </c>
      <c r="J2112" t="s">
        <v>55</v>
      </c>
      <c r="K2112" t="s">
        <v>1603</v>
      </c>
      <c r="M2112" t="s">
        <v>470</v>
      </c>
    </row>
    <row r="2113" spans="2:13" hidden="1">
      <c r="B2113">
        <v>2111</v>
      </c>
      <c r="C2113">
        <v>186</v>
      </c>
      <c r="D2113">
        <v>27</v>
      </c>
      <c r="E2113">
        <v>20</v>
      </c>
      <c r="F2113">
        <v>0</v>
      </c>
      <c r="G2113" t="s">
        <v>18</v>
      </c>
      <c r="H2113" t="s">
        <v>52</v>
      </c>
      <c r="I2113" t="s">
        <v>1585</v>
      </c>
      <c r="J2113" t="s">
        <v>55</v>
      </c>
      <c r="K2113" t="s">
        <v>1604</v>
      </c>
      <c r="M2113" t="s">
        <v>470</v>
      </c>
    </row>
    <row r="2114" spans="2:13" hidden="1">
      <c r="B2114">
        <v>2112</v>
      </c>
      <c r="C2114">
        <v>186</v>
      </c>
      <c r="D2114">
        <v>27</v>
      </c>
      <c r="E2114">
        <v>21</v>
      </c>
      <c r="F2114">
        <v>0</v>
      </c>
      <c r="G2114" t="s">
        <v>18</v>
      </c>
      <c r="H2114" t="s">
        <v>52</v>
      </c>
      <c r="I2114" t="s">
        <v>1585</v>
      </c>
      <c r="J2114" t="s">
        <v>479</v>
      </c>
      <c r="K2114" t="s">
        <v>1605</v>
      </c>
      <c r="M2114" t="s">
        <v>470</v>
      </c>
    </row>
    <row r="2115" spans="2:13" hidden="1">
      <c r="B2115">
        <v>2113</v>
      </c>
      <c r="C2115">
        <v>186</v>
      </c>
      <c r="D2115">
        <v>27</v>
      </c>
      <c r="E2115">
        <v>22</v>
      </c>
      <c r="F2115">
        <v>0</v>
      </c>
      <c r="G2115" t="s">
        <v>18</v>
      </c>
      <c r="H2115" t="s">
        <v>52</v>
      </c>
      <c r="I2115" t="s">
        <v>1585</v>
      </c>
      <c r="J2115" t="s">
        <v>722</v>
      </c>
      <c r="K2115" t="s">
        <v>1605</v>
      </c>
      <c r="M2115" t="s">
        <v>470</v>
      </c>
    </row>
    <row r="2116" spans="2:13" hidden="1">
      <c r="B2116">
        <v>2114</v>
      </c>
      <c r="C2116">
        <v>186</v>
      </c>
      <c r="D2116">
        <v>27</v>
      </c>
      <c r="E2116">
        <v>23</v>
      </c>
      <c r="F2116">
        <v>0</v>
      </c>
      <c r="G2116" t="s">
        <v>18</v>
      </c>
      <c r="H2116" t="s">
        <v>52</v>
      </c>
      <c r="I2116" t="s">
        <v>1585</v>
      </c>
      <c r="J2116" t="s">
        <v>214</v>
      </c>
      <c r="K2116" t="s">
        <v>1606</v>
      </c>
      <c r="M2116" t="s">
        <v>470</v>
      </c>
    </row>
    <row r="2117" spans="2:13" hidden="1">
      <c r="B2117">
        <v>2115</v>
      </c>
      <c r="C2117">
        <v>186</v>
      </c>
      <c r="D2117">
        <v>27</v>
      </c>
      <c r="E2117">
        <v>24</v>
      </c>
      <c r="F2117">
        <v>0</v>
      </c>
      <c r="G2117" t="s">
        <v>18</v>
      </c>
      <c r="H2117" t="s">
        <v>52</v>
      </c>
      <c r="I2117" t="s">
        <v>1585</v>
      </c>
      <c r="J2117" t="s">
        <v>55</v>
      </c>
      <c r="K2117" t="s">
        <v>1607</v>
      </c>
      <c r="M2117" t="s">
        <v>470</v>
      </c>
    </row>
    <row r="2118" spans="2:13" hidden="1">
      <c r="B2118">
        <v>2116</v>
      </c>
      <c r="C2118">
        <v>186</v>
      </c>
      <c r="D2118">
        <v>27</v>
      </c>
      <c r="E2118">
        <v>25</v>
      </c>
      <c r="F2118">
        <v>0</v>
      </c>
      <c r="G2118" t="s">
        <v>18</v>
      </c>
      <c r="H2118" t="s">
        <v>52</v>
      </c>
      <c r="I2118" t="s">
        <v>1585</v>
      </c>
      <c r="J2118" t="s">
        <v>55</v>
      </c>
      <c r="K2118" t="s">
        <v>1608</v>
      </c>
      <c r="M2118" t="s">
        <v>470</v>
      </c>
    </row>
    <row r="2119" spans="2:13" hidden="1">
      <c r="B2119">
        <v>2117</v>
      </c>
      <c r="C2119">
        <v>186</v>
      </c>
      <c r="D2119">
        <v>27</v>
      </c>
      <c r="E2119">
        <v>26</v>
      </c>
      <c r="F2119">
        <v>0</v>
      </c>
      <c r="G2119" t="s">
        <v>18</v>
      </c>
      <c r="H2119" t="s">
        <v>52</v>
      </c>
      <c r="I2119" t="s">
        <v>1585</v>
      </c>
      <c r="J2119" t="s">
        <v>55</v>
      </c>
      <c r="K2119" t="s">
        <v>1609</v>
      </c>
      <c r="M2119" t="s">
        <v>470</v>
      </c>
    </row>
    <row r="2120" spans="2:13" hidden="1">
      <c r="B2120">
        <v>2118</v>
      </c>
      <c r="C2120">
        <v>186</v>
      </c>
      <c r="D2120">
        <v>27</v>
      </c>
      <c r="E2120">
        <v>27</v>
      </c>
      <c r="F2120">
        <v>0</v>
      </c>
      <c r="G2120" t="s">
        <v>18</v>
      </c>
      <c r="H2120" t="s">
        <v>52</v>
      </c>
      <c r="I2120" t="s">
        <v>1585</v>
      </c>
      <c r="J2120" t="s">
        <v>64</v>
      </c>
      <c r="K2120" t="s">
        <v>1610</v>
      </c>
      <c r="M2120" t="s">
        <v>470</v>
      </c>
    </row>
    <row r="2121" spans="2:13" hidden="1">
      <c r="B2121">
        <v>2119</v>
      </c>
      <c r="C2121">
        <v>187</v>
      </c>
      <c r="D2121">
        <v>19</v>
      </c>
      <c r="E2121">
        <v>0</v>
      </c>
      <c r="F2121">
        <v>0</v>
      </c>
      <c r="G2121" t="s">
        <v>18</v>
      </c>
      <c r="H2121" t="s">
        <v>52</v>
      </c>
      <c r="I2121" t="s">
        <v>1611</v>
      </c>
      <c r="J2121" t="s">
        <v>478</v>
      </c>
      <c r="K2121" t="s">
        <v>1611</v>
      </c>
      <c r="M2121" t="s">
        <v>470</v>
      </c>
    </row>
    <row r="2122" spans="2:13" hidden="1">
      <c r="B2122">
        <v>2120</v>
      </c>
      <c r="C2122">
        <v>187</v>
      </c>
      <c r="D2122">
        <v>19</v>
      </c>
      <c r="E2122">
        <v>1</v>
      </c>
      <c r="F2122">
        <v>0</v>
      </c>
      <c r="G2122" t="s">
        <v>18</v>
      </c>
      <c r="H2122" t="s">
        <v>52</v>
      </c>
      <c r="I2122" t="s">
        <v>1611</v>
      </c>
      <c r="J2122" t="s">
        <v>479</v>
      </c>
      <c r="K2122" t="s">
        <v>1612</v>
      </c>
      <c r="M2122" t="s">
        <v>470</v>
      </c>
    </row>
    <row r="2123" spans="2:13" hidden="1">
      <c r="B2123">
        <v>2121</v>
      </c>
      <c r="C2123">
        <v>187</v>
      </c>
      <c r="D2123">
        <v>19</v>
      </c>
      <c r="E2123">
        <v>2</v>
      </c>
      <c r="F2123">
        <v>0</v>
      </c>
      <c r="G2123" t="s">
        <v>18</v>
      </c>
      <c r="H2123" t="s">
        <v>52</v>
      </c>
      <c r="I2123" t="s">
        <v>1611</v>
      </c>
      <c r="J2123" t="s">
        <v>722</v>
      </c>
      <c r="K2123" t="s">
        <v>1612</v>
      </c>
      <c r="M2123" t="s">
        <v>470</v>
      </c>
    </row>
    <row r="2124" spans="2:13" hidden="1">
      <c r="B2124">
        <v>2122</v>
      </c>
      <c r="C2124">
        <v>187</v>
      </c>
      <c r="D2124">
        <v>19</v>
      </c>
      <c r="E2124">
        <v>3</v>
      </c>
      <c r="F2124">
        <v>0</v>
      </c>
      <c r="G2124" t="s">
        <v>18</v>
      </c>
      <c r="H2124" t="s">
        <v>52</v>
      </c>
      <c r="I2124" t="s">
        <v>1611</v>
      </c>
      <c r="J2124" t="s">
        <v>214</v>
      </c>
      <c r="K2124" t="s">
        <v>1613</v>
      </c>
      <c r="M2124" t="s">
        <v>470</v>
      </c>
    </row>
    <row r="2125" spans="2:13" hidden="1">
      <c r="B2125">
        <v>2123</v>
      </c>
      <c r="C2125">
        <v>187</v>
      </c>
      <c r="D2125">
        <v>19</v>
      </c>
      <c r="E2125">
        <v>4</v>
      </c>
      <c r="F2125">
        <v>0</v>
      </c>
      <c r="G2125" t="s">
        <v>18</v>
      </c>
      <c r="H2125" t="s">
        <v>52</v>
      </c>
      <c r="I2125" t="s">
        <v>1611</v>
      </c>
      <c r="J2125" t="s">
        <v>214</v>
      </c>
      <c r="K2125" t="s">
        <v>1614</v>
      </c>
      <c r="M2125" t="s">
        <v>470</v>
      </c>
    </row>
    <row r="2126" spans="2:13" hidden="1">
      <c r="B2126">
        <v>2124</v>
      </c>
      <c r="C2126">
        <v>187</v>
      </c>
      <c r="D2126">
        <v>19</v>
      </c>
      <c r="E2126">
        <v>5</v>
      </c>
      <c r="F2126">
        <v>0</v>
      </c>
      <c r="G2126" t="s">
        <v>18</v>
      </c>
      <c r="H2126" t="s">
        <v>52</v>
      </c>
      <c r="I2126" t="s">
        <v>1611</v>
      </c>
      <c r="J2126" t="s">
        <v>437</v>
      </c>
      <c r="K2126" t="s">
        <v>1615</v>
      </c>
      <c r="L2126" t="s">
        <v>1616</v>
      </c>
      <c r="M2126" t="s">
        <v>470</v>
      </c>
    </row>
    <row r="2127" spans="2:13" hidden="1">
      <c r="B2127">
        <v>2125</v>
      </c>
      <c r="C2127">
        <v>187</v>
      </c>
      <c r="D2127">
        <v>19</v>
      </c>
      <c r="E2127">
        <v>6</v>
      </c>
      <c r="F2127">
        <v>0</v>
      </c>
      <c r="G2127" t="s">
        <v>18</v>
      </c>
      <c r="H2127" t="s">
        <v>52</v>
      </c>
      <c r="I2127" t="s">
        <v>1611</v>
      </c>
      <c r="J2127" t="s">
        <v>479</v>
      </c>
      <c r="K2127" t="s">
        <v>1617</v>
      </c>
      <c r="M2127" t="s">
        <v>470</v>
      </c>
    </row>
    <row r="2128" spans="2:13" hidden="1">
      <c r="B2128">
        <v>2126</v>
      </c>
      <c r="C2128">
        <v>187</v>
      </c>
      <c r="D2128">
        <v>19</v>
      </c>
      <c r="E2128">
        <v>7</v>
      </c>
      <c r="F2128">
        <v>0</v>
      </c>
      <c r="G2128" t="s">
        <v>18</v>
      </c>
      <c r="H2128" t="s">
        <v>52</v>
      </c>
      <c r="I2128" t="s">
        <v>1611</v>
      </c>
      <c r="J2128" t="s">
        <v>722</v>
      </c>
      <c r="K2128" t="s">
        <v>1617</v>
      </c>
      <c r="M2128" t="s">
        <v>470</v>
      </c>
    </row>
    <row r="2129" spans="2:13" hidden="1">
      <c r="B2129">
        <v>2127</v>
      </c>
      <c r="C2129">
        <v>187</v>
      </c>
      <c r="D2129">
        <v>19</v>
      </c>
      <c r="E2129">
        <v>8</v>
      </c>
      <c r="F2129">
        <v>0</v>
      </c>
      <c r="G2129" t="s">
        <v>18</v>
      </c>
      <c r="H2129" t="s">
        <v>52</v>
      </c>
      <c r="I2129" t="s">
        <v>1611</v>
      </c>
      <c r="J2129" t="s">
        <v>214</v>
      </c>
      <c r="K2129" t="s">
        <v>1618</v>
      </c>
      <c r="M2129" t="s">
        <v>470</v>
      </c>
    </row>
    <row r="2130" spans="2:13" hidden="1">
      <c r="B2130">
        <v>2128</v>
      </c>
      <c r="C2130">
        <v>187</v>
      </c>
      <c r="D2130">
        <v>19</v>
      </c>
      <c r="E2130">
        <v>9</v>
      </c>
      <c r="F2130">
        <v>0</v>
      </c>
      <c r="G2130" t="s">
        <v>18</v>
      </c>
      <c r="H2130" t="s">
        <v>52</v>
      </c>
      <c r="I2130" t="s">
        <v>1611</v>
      </c>
      <c r="J2130" t="s">
        <v>214</v>
      </c>
      <c r="K2130" t="s">
        <v>1619</v>
      </c>
      <c r="M2130" t="s">
        <v>470</v>
      </c>
    </row>
    <row r="2131" spans="2:13" hidden="1">
      <c r="B2131">
        <v>2129</v>
      </c>
      <c r="C2131">
        <v>187</v>
      </c>
      <c r="D2131">
        <v>19</v>
      </c>
      <c r="E2131">
        <v>10</v>
      </c>
      <c r="F2131">
        <v>0</v>
      </c>
      <c r="G2131" t="s">
        <v>18</v>
      </c>
      <c r="H2131" t="s">
        <v>52</v>
      </c>
      <c r="I2131" t="s">
        <v>1611</v>
      </c>
      <c r="J2131" t="s">
        <v>214</v>
      </c>
      <c r="K2131" t="s">
        <v>1620</v>
      </c>
      <c r="M2131" t="s">
        <v>470</v>
      </c>
    </row>
    <row r="2132" spans="2:13" hidden="1">
      <c r="B2132">
        <v>2130</v>
      </c>
      <c r="C2132">
        <v>187</v>
      </c>
      <c r="D2132">
        <v>19</v>
      </c>
      <c r="E2132">
        <v>11</v>
      </c>
      <c r="F2132">
        <v>0</v>
      </c>
      <c r="G2132" t="s">
        <v>18</v>
      </c>
      <c r="H2132" t="s">
        <v>52</v>
      </c>
      <c r="I2132" t="s">
        <v>1611</v>
      </c>
      <c r="J2132" t="s">
        <v>55</v>
      </c>
      <c r="K2132" t="s">
        <v>1621</v>
      </c>
      <c r="M2132" t="s">
        <v>470</v>
      </c>
    </row>
    <row r="2133" spans="2:13" hidden="1">
      <c r="B2133">
        <v>2131</v>
      </c>
      <c r="C2133">
        <v>187</v>
      </c>
      <c r="D2133">
        <v>19</v>
      </c>
      <c r="E2133">
        <v>12</v>
      </c>
      <c r="F2133">
        <v>0</v>
      </c>
      <c r="G2133" t="s">
        <v>18</v>
      </c>
      <c r="H2133" t="s">
        <v>52</v>
      </c>
      <c r="I2133" t="s">
        <v>1611</v>
      </c>
      <c r="J2133" t="s">
        <v>479</v>
      </c>
      <c r="K2133" t="s">
        <v>1622</v>
      </c>
      <c r="M2133" t="s">
        <v>470</v>
      </c>
    </row>
    <row r="2134" spans="2:13" hidden="1">
      <c r="B2134">
        <v>2132</v>
      </c>
      <c r="C2134">
        <v>187</v>
      </c>
      <c r="D2134">
        <v>19</v>
      </c>
      <c r="E2134">
        <v>13</v>
      </c>
      <c r="F2134">
        <v>0</v>
      </c>
      <c r="G2134" t="s">
        <v>18</v>
      </c>
      <c r="H2134" t="s">
        <v>52</v>
      </c>
      <c r="I2134" t="s">
        <v>1611</v>
      </c>
      <c r="J2134" t="s">
        <v>55</v>
      </c>
      <c r="K2134" t="s">
        <v>1623</v>
      </c>
      <c r="M2134" t="s">
        <v>470</v>
      </c>
    </row>
    <row r="2135" spans="2:13" hidden="1">
      <c r="B2135">
        <v>2133</v>
      </c>
      <c r="C2135">
        <v>187</v>
      </c>
      <c r="D2135">
        <v>19</v>
      </c>
      <c r="E2135">
        <v>14</v>
      </c>
      <c r="F2135">
        <v>0</v>
      </c>
      <c r="G2135" t="s">
        <v>18</v>
      </c>
      <c r="H2135" t="s">
        <v>52</v>
      </c>
      <c r="I2135" t="s">
        <v>1611</v>
      </c>
      <c r="J2135" t="s">
        <v>55</v>
      </c>
      <c r="K2135" t="s">
        <v>1624</v>
      </c>
      <c r="M2135" t="s">
        <v>470</v>
      </c>
    </row>
    <row r="2136" spans="2:13" hidden="1">
      <c r="B2136">
        <v>2134</v>
      </c>
      <c r="C2136">
        <v>187</v>
      </c>
      <c r="D2136">
        <v>19</v>
      </c>
      <c r="E2136">
        <v>15</v>
      </c>
      <c r="F2136">
        <v>0</v>
      </c>
      <c r="G2136" t="s">
        <v>18</v>
      </c>
      <c r="H2136" t="s">
        <v>52</v>
      </c>
      <c r="I2136" t="s">
        <v>1611</v>
      </c>
      <c r="J2136" t="s">
        <v>55</v>
      </c>
      <c r="K2136" t="s">
        <v>1625</v>
      </c>
      <c r="M2136" t="s">
        <v>470</v>
      </c>
    </row>
    <row r="2137" spans="2:13" hidden="1">
      <c r="B2137">
        <v>2135</v>
      </c>
      <c r="C2137">
        <v>187</v>
      </c>
      <c r="D2137">
        <v>19</v>
      </c>
      <c r="E2137">
        <v>16</v>
      </c>
      <c r="F2137">
        <v>0</v>
      </c>
      <c r="G2137" t="s">
        <v>18</v>
      </c>
      <c r="H2137" t="s">
        <v>52</v>
      </c>
      <c r="I2137" t="s">
        <v>1611</v>
      </c>
      <c r="J2137" t="s">
        <v>55</v>
      </c>
      <c r="K2137" t="s">
        <v>1626</v>
      </c>
      <c r="M2137" t="s">
        <v>470</v>
      </c>
    </row>
    <row r="2138" spans="2:13" hidden="1">
      <c r="B2138">
        <v>2136</v>
      </c>
      <c r="C2138">
        <v>187</v>
      </c>
      <c r="D2138">
        <v>19</v>
      </c>
      <c r="E2138">
        <v>17</v>
      </c>
      <c r="F2138">
        <v>0</v>
      </c>
      <c r="G2138" t="s">
        <v>18</v>
      </c>
      <c r="H2138" t="s">
        <v>52</v>
      </c>
      <c r="I2138" t="s">
        <v>1611</v>
      </c>
      <c r="J2138" t="s">
        <v>55</v>
      </c>
      <c r="K2138" t="s">
        <v>1627</v>
      </c>
      <c r="M2138" t="s">
        <v>470</v>
      </c>
    </row>
    <row r="2139" spans="2:13" hidden="1">
      <c r="B2139">
        <v>2137</v>
      </c>
      <c r="C2139">
        <v>187</v>
      </c>
      <c r="D2139">
        <v>19</v>
      </c>
      <c r="E2139">
        <v>18</v>
      </c>
      <c r="F2139">
        <v>0</v>
      </c>
      <c r="G2139" t="s">
        <v>18</v>
      </c>
      <c r="H2139" t="s">
        <v>52</v>
      </c>
      <c r="I2139" t="s">
        <v>1611</v>
      </c>
      <c r="J2139" t="s">
        <v>55</v>
      </c>
      <c r="K2139" t="s">
        <v>1628</v>
      </c>
      <c r="M2139" t="s">
        <v>470</v>
      </c>
    </row>
    <row r="2140" spans="2:13" hidden="1">
      <c r="B2140">
        <v>2138</v>
      </c>
      <c r="C2140">
        <v>187</v>
      </c>
      <c r="D2140">
        <v>19</v>
      </c>
      <c r="E2140">
        <v>19</v>
      </c>
      <c r="F2140">
        <v>0</v>
      </c>
      <c r="G2140" t="s">
        <v>18</v>
      </c>
      <c r="H2140" t="s">
        <v>52</v>
      </c>
      <c r="I2140" t="s">
        <v>1611</v>
      </c>
      <c r="J2140" t="s">
        <v>64</v>
      </c>
      <c r="K2140" t="s">
        <v>1610</v>
      </c>
      <c r="M2140" t="s">
        <v>470</v>
      </c>
    </row>
    <row r="2141" spans="2:13" hidden="1">
      <c r="B2141">
        <v>2139</v>
      </c>
      <c r="C2141">
        <v>188</v>
      </c>
      <c r="D2141">
        <v>8</v>
      </c>
      <c r="E2141">
        <v>0</v>
      </c>
      <c r="F2141">
        <v>0</v>
      </c>
      <c r="G2141" t="s">
        <v>18</v>
      </c>
      <c r="H2141" t="s">
        <v>52</v>
      </c>
      <c r="I2141" t="s">
        <v>1629</v>
      </c>
      <c r="J2141" t="s">
        <v>54</v>
      </c>
      <c r="K2141" t="s">
        <v>1629</v>
      </c>
      <c r="M2141" t="s">
        <v>31</v>
      </c>
    </row>
    <row r="2142" spans="2:13" hidden="1">
      <c r="B2142">
        <v>2140</v>
      </c>
      <c r="C2142">
        <v>188</v>
      </c>
      <c r="D2142">
        <v>8</v>
      </c>
      <c r="E2142">
        <v>1</v>
      </c>
      <c r="F2142">
        <v>0</v>
      </c>
      <c r="G2142" t="s">
        <v>18</v>
      </c>
      <c r="H2142" t="s">
        <v>52</v>
      </c>
      <c r="I2142" t="s">
        <v>1629</v>
      </c>
      <c r="J2142" t="s">
        <v>55</v>
      </c>
      <c r="K2142" t="s">
        <v>62</v>
      </c>
      <c r="M2142" t="s">
        <v>31</v>
      </c>
    </row>
    <row r="2143" spans="2:13" hidden="1">
      <c r="B2143">
        <v>2141</v>
      </c>
      <c r="C2143">
        <v>188</v>
      </c>
      <c r="D2143">
        <v>8</v>
      </c>
      <c r="E2143">
        <v>2</v>
      </c>
      <c r="F2143">
        <v>0</v>
      </c>
      <c r="G2143" t="s">
        <v>18</v>
      </c>
      <c r="H2143" t="s">
        <v>52</v>
      </c>
      <c r="I2143" t="s">
        <v>1629</v>
      </c>
      <c r="J2143" t="s">
        <v>55</v>
      </c>
      <c r="K2143" t="s">
        <v>1581</v>
      </c>
      <c r="M2143" t="s">
        <v>31</v>
      </c>
    </row>
    <row r="2144" spans="2:13" hidden="1">
      <c r="B2144">
        <v>2142</v>
      </c>
      <c r="C2144">
        <v>188</v>
      </c>
      <c r="D2144">
        <v>8</v>
      </c>
      <c r="E2144">
        <v>3</v>
      </c>
      <c r="F2144">
        <v>0</v>
      </c>
      <c r="G2144" t="s">
        <v>18</v>
      </c>
      <c r="H2144" t="s">
        <v>52</v>
      </c>
      <c r="I2144" t="s">
        <v>1629</v>
      </c>
      <c r="J2144" t="s">
        <v>55</v>
      </c>
      <c r="K2144" t="s">
        <v>1582</v>
      </c>
      <c r="M2144" t="s">
        <v>31</v>
      </c>
    </row>
    <row r="2145" spans="2:13" hidden="1">
      <c r="B2145">
        <v>2143</v>
      </c>
      <c r="C2145">
        <v>188</v>
      </c>
      <c r="D2145">
        <v>8</v>
      </c>
      <c r="E2145">
        <v>4</v>
      </c>
      <c r="F2145">
        <v>0</v>
      </c>
      <c r="G2145" t="s">
        <v>18</v>
      </c>
      <c r="H2145" t="s">
        <v>52</v>
      </c>
      <c r="I2145" t="s">
        <v>1629</v>
      </c>
      <c r="J2145" t="s">
        <v>55</v>
      </c>
      <c r="K2145" t="s">
        <v>63</v>
      </c>
      <c r="M2145" t="s">
        <v>31</v>
      </c>
    </row>
    <row r="2146" spans="2:13" hidden="1">
      <c r="B2146">
        <v>2144</v>
      </c>
      <c r="C2146">
        <v>188</v>
      </c>
      <c r="D2146">
        <v>8</v>
      </c>
      <c r="E2146">
        <v>5</v>
      </c>
      <c r="F2146">
        <v>0</v>
      </c>
      <c r="G2146" t="s">
        <v>18</v>
      </c>
      <c r="H2146" t="s">
        <v>52</v>
      </c>
      <c r="I2146" t="s">
        <v>1629</v>
      </c>
      <c r="J2146" t="s">
        <v>64</v>
      </c>
      <c r="K2146" t="s">
        <v>65</v>
      </c>
      <c r="M2146" t="s">
        <v>31</v>
      </c>
    </row>
    <row r="2147" spans="2:13" hidden="1">
      <c r="B2147">
        <v>2145</v>
      </c>
      <c r="C2147">
        <v>188</v>
      </c>
      <c r="D2147">
        <v>8</v>
      </c>
      <c r="E2147">
        <v>6</v>
      </c>
      <c r="F2147">
        <v>0</v>
      </c>
      <c r="G2147" t="s">
        <v>18</v>
      </c>
      <c r="H2147" t="s">
        <v>52</v>
      </c>
      <c r="I2147" t="s">
        <v>1629</v>
      </c>
      <c r="J2147" t="s">
        <v>55</v>
      </c>
      <c r="K2147" t="s">
        <v>1630</v>
      </c>
      <c r="M2147" t="s">
        <v>31</v>
      </c>
    </row>
    <row r="2148" spans="2:13" hidden="1">
      <c r="B2148">
        <v>2146</v>
      </c>
      <c r="C2148">
        <v>188</v>
      </c>
      <c r="D2148">
        <v>8</v>
      </c>
      <c r="E2148">
        <v>7</v>
      </c>
      <c r="F2148">
        <v>0</v>
      </c>
      <c r="G2148" t="s">
        <v>18</v>
      </c>
      <c r="H2148" t="s">
        <v>52</v>
      </c>
      <c r="I2148" t="s">
        <v>1629</v>
      </c>
      <c r="J2148" t="s">
        <v>55</v>
      </c>
      <c r="K2148" t="s">
        <v>1609</v>
      </c>
      <c r="M2148" t="s">
        <v>31</v>
      </c>
    </row>
    <row r="2149" spans="2:13" hidden="1">
      <c r="B2149">
        <v>2147</v>
      </c>
      <c r="C2149">
        <v>188</v>
      </c>
      <c r="D2149">
        <v>8</v>
      </c>
      <c r="E2149">
        <v>8</v>
      </c>
      <c r="F2149">
        <v>0</v>
      </c>
      <c r="G2149" t="s">
        <v>18</v>
      </c>
      <c r="H2149" t="s">
        <v>52</v>
      </c>
      <c r="I2149" t="s">
        <v>1629</v>
      </c>
      <c r="J2149" t="s">
        <v>64</v>
      </c>
      <c r="K2149" t="s">
        <v>1610</v>
      </c>
      <c r="M2149" t="s">
        <v>31</v>
      </c>
    </row>
    <row r="2150" spans="2:13" hidden="1">
      <c r="B2150">
        <v>2148</v>
      </c>
      <c r="C2150">
        <v>189</v>
      </c>
      <c r="D2150">
        <v>6</v>
      </c>
      <c r="E2150">
        <v>0</v>
      </c>
      <c r="F2150">
        <v>0</v>
      </c>
      <c r="G2150" t="s">
        <v>18</v>
      </c>
      <c r="H2150" t="s">
        <v>52</v>
      </c>
      <c r="I2150" t="s">
        <v>1631</v>
      </c>
      <c r="J2150" t="s">
        <v>54</v>
      </c>
      <c r="K2150" t="s">
        <v>1631</v>
      </c>
      <c r="M2150" t="s">
        <v>6</v>
      </c>
    </row>
    <row r="2151" spans="2:13" hidden="1">
      <c r="B2151">
        <v>2149</v>
      </c>
      <c r="C2151">
        <v>189</v>
      </c>
      <c r="D2151">
        <v>6</v>
      </c>
      <c r="E2151">
        <v>1</v>
      </c>
      <c r="F2151">
        <v>0</v>
      </c>
      <c r="G2151" t="s">
        <v>18</v>
      </c>
      <c r="H2151" t="s">
        <v>52</v>
      </c>
      <c r="I2151" t="s">
        <v>1631</v>
      </c>
      <c r="J2151" t="s">
        <v>55</v>
      </c>
      <c r="K2151" t="s">
        <v>62</v>
      </c>
      <c r="M2151" t="s">
        <v>6</v>
      </c>
    </row>
    <row r="2152" spans="2:13" hidden="1">
      <c r="B2152">
        <v>2150</v>
      </c>
      <c r="C2152">
        <v>189</v>
      </c>
      <c r="D2152">
        <v>6</v>
      </c>
      <c r="E2152">
        <v>2</v>
      </c>
      <c r="F2152">
        <v>0</v>
      </c>
      <c r="G2152" t="s">
        <v>18</v>
      </c>
      <c r="H2152" t="s">
        <v>52</v>
      </c>
      <c r="I2152" t="s">
        <v>1631</v>
      </c>
      <c r="J2152" t="s">
        <v>55</v>
      </c>
      <c r="K2152" t="s">
        <v>1581</v>
      </c>
      <c r="M2152" t="s">
        <v>6</v>
      </c>
    </row>
    <row r="2153" spans="2:13" hidden="1">
      <c r="B2153">
        <v>2151</v>
      </c>
      <c r="C2153">
        <v>189</v>
      </c>
      <c r="D2153">
        <v>6</v>
      </c>
      <c r="E2153">
        <v>3</v>
      </c>
      <c r="F2153">
        <v>0</v>
      </c>
      <c r="G2153" t="s">
        <v>18</v>
      </c>
      <c r="H2153" t="s">
        <v>52</v>
      </c>
      <c r="I2153" t="s">
        <v>1631</v>
      </c>
      <c r="J2153" t="s">
        <v>55</v>
      </c>
      <c r="K2153" t="s">
        <v>1582</v>
      </c>
      <c r="M2153" t="s">
        <v>6</v>
      </c>
    </row>
    <row r="2154" spans="2:13" hidden="1">
      <c r="B2154">
        <v>2152</v>
      </c>
      <c r="C2154">
        <v>189</v>
      </c>
      <c r="D2154">
        <v>6</v>
      </c>
      <c r="E2154">
        <v>4</v>
      </c>
      <c r="F2154">
        <v>0</v>
      </c>
      <c r="G2154" t="s">
        <v>18</v>
      </c>
      <c r="H2154" t="s">
        <v>52</v>
      </c>
      <c r="I2154" t="s">
        <v>1631</v>
      </c>
      <c r="J2154" t="s">
        <v>55</v>
      </c>
      <c r="K2154" t="s">
        <v>63</v>
      </c>
      <c r="M2154" t="s">
        <v>6</v>
      </c>
    </row>
    <row r="2155" spans="2:13" hidden="1">
      <c r="B2155">
        <v>2153</v>
      </c>
      <c r="C2155">
        <v>189</v>
      </c>
      <c r="D2155">
        <v>6</v>
      </c>
      <c r="E2155">
        <v>5</v>
      </c>
      <c r="F2155">
        <v>0</v>
      </c>
      <c r="G2155" t="s">
        <v>18</v>
      </c>
      <c r="H2155" t="s">
        <v>52</v>
      </c>
      <c r="I2155" t="s">
        <v>1631</v>
      </c>
      <c r="J2155" t="s">
        <v>64</v>
      </c>
      <c r="K2155" t="s">
        <v>65</v>
      </c>
      <c r="M2155" t="s">
        <v>6</v>
      </c>
    </row>
    <row r="2156" spans="2:13" hidden="1">
      <c r="B2156">
        <v>2154</v>
      </c>
      <c r="C2156">
        <v>189</v>
      </c>
      <c r="D2156">
        <v>6</v>
      </c>
      <c r="E2156">
        <v>6</v>
      </c>
      <c r="F2156">
        <v>0</v>
      </c>
      <c r="G2156" t="s">
        <v>18</v>
      </c>
      <c r="H2156" t="s">
        <v>52</v>
      </c>
      <c r="I2156" t="s">
        <v>1631</v>
      </c>
      <c r="J2156" t="s">
        <v>55</v>
      </c>
      <c r="K2156" t="s">
        <v>1632</v>
      </c>
      <c r="M2156" t="s">
        <v>6</v>
      </c>
    </row>
    <row r="2157" spans="2:13" hidden="1">
      <c r="B2157">
        <v>2155</v>
      </c>
      <c r="C2157">
        <v>190</v>
      </c>
      <c r="D2157">
        <v>4</v>
      </c>
      <c r="E2157">
        <v>0</v>
      </c>
      <c r="F2157">
        <v>0</v>
      </c>
      <c r="G2157" t="s">
        <v>18</v>
      </c>
      <c r="H2157" t="s">
        <v>52</v>
      </c>
      <c r="I2157" t="s">
        <v>1633</v>
      </c>
      <c r="J2157" t="s">
        <v>54</v>
      </c>
      <c r="K2157" t="s">
        <v>1633</v>
      </c>
      <c r="M2157" t="s">
        <v>6</v>
      </c>
    </row>
    <row r="2158" spans="2:13" hidden="1">
      <c r="B2158">
        <v>2156</v>
      </c>
      <c r="C2158">
        <v>190</v>
      </c>
      <c r="D2158">
        <v>4</v>
      </c>
      <c r="E2158">
        <v>1</v>
      </c>
      <c r="F2158">
        <v>0</v>
      </c>
      <c r="G2158" t="s">
        <v>18</v>
      </c>
      <c r="H2158" t="s">
        <v>52</v>
      </c>
      <c r="I2158" t="s">
        <v>1633</v>
      </c>
      <c r="J2158" t="s">
        <v>55</v>
      </c>
      <c r="K2158" t="s">
        <v>62</v>
      </c>
      <c r="M2158" t="s">
        <v>6</v>
      </c>
    </row>
    <row r="2159" spans="2:13" hidden="1">
      <c r="B2159">
        <v>2157</v>
      </c>
      <c r="C2159">
        <v>190</v>
      </c>
      <c r="D2159">
        <v>4</v>
      </c>
      <c r="E2159">
        <v>2</v>
      </c>
      <c r="F2159">
        <v>0</v>
      </c>
      <c r="G2159" t="s">
        <v>18</v>
      </c>
      <c r="H2159" t="s">
        <v>52</v>
      </c>
      <c r="I2159" t="s">
        <v>1633</v>
      </c>
      <c r="J2159" t="s">
        <v>55</v>
      </c>
      <c r="K2159" t="s">
        <v>63</v>
      </c>
      <c r="M2159" t="s">
        <v>6</v>
      </c>
    </row>
    <row r="2160" spans="2:13" hidden="1">
      <c r="B2160">
        <v>2158</v>
      </c>
      <c r="C2160">
        <v>190</v>
      </c>
      <c r="D2160">
        <v>4</v>
      </c>
      <c r="E2160">
        <v>3</v>
      </c>
      <c r="F2160">
        <v>0</v>
      </c>
      <c r="G2160" t="s">
        <v>18</v>
      </c>
      <c r="H2160" t="s">
        <v>52</v>
      </c>
      <c r="I2160" t="s">
        <v>1633</v>
      </c>
      <c r="J2160" t="s">
        <v>64</v>
      </c>
      <c r="K2160" t="s">
        <v>65</v>
      </c>
      <c r="M2160" t="s">
        <v>6</v>
      </c>
    </row>
    <row r="2161" spans="2:13" hidden="1">
      <c r="B2161">
        <v>2159</v>
      </c>
      <c r="C2161">
        <v>190</v>
      </c>
      <c r="D2161">
        <v>4</v>
      </c>
      <c r="E2161">
        <v>4</v>
      </c>
      <c r="F2161">
        <v>0</v>
      </c>
      <c r="G2161" t="s">
        <v>18</v>
      </c>
      <c r="H2161" t="s">
        <v>52</v>
      </c>
      <c r="I2161" t="s">
        <v>1633</v>
      </c>
      <c r="J2161" t="s">
        <v>55</v>
      </c>
      <c r="K2161" t="s">
        <v>1634</v>
      </c>
      <c r="M2161" t="s">
        <v>6</v>
      </c>
    </row>
    <row r="2162" spans="2:13" hidden="1">
      <c r="B2162">
        <v>2160</v>
      </c>
      <c r="C2162">
        <v>191</v>
      </c>
      <c r="D2162">
        <v>5</v>
      </c>
      <c r="E2162">
        <v>0</v>
      </c>
      <c r="F2162">
        <v>0</v>
      </c>
      <c r="G2162" t="s">
        <v>18</v>
      </c>
      <c r="H2162" t="s">
        <v>52</v>
      </c>
      <c r="I2162" t="s">
        <v>1635</v>
      </c>
      <c r="J2162" t="s">
        <v>54</v>
      </c>
      <c r="K2162" t="s">
        <v>1635</v>
      </c>
      <c r="M2162" t="s">
        <v>6</v>
      </c>
    </row>
    <row r="2163" spans="2:13" hidden="1">
      <c r="B2163">
        <v>2161</v>
      </c>
      <c r="C2163">
        <v>191</v>
      </c>
      <c r="D2163">
        <v>5</v>
      </c>
      <c r="E2163">
        <v>1</v>
      </c>
      <c r="F2163">
        <v>0</v>
      </c>
      <c r="G2163" t="s">
        <v>18</v>
      </c>
      <c r="H2163" t="s">
        <v>52</v>
      </c>
      <c r="I2163" t="s">
        <v>1635</v>
      </c>
      <c r="J2163" t="s">
        <v>55</v>
      </c>
      <c r="K2163" t="s">
        <v>62</v>
      </c>
      <c r="M2163" t="s">
        <v>6</v>
      </c>
    </row>
    <row r="2164" spans="2:13" hidden="1">
      <c r="B2164">
        <v>2162</v>
      </c>
      <c r="C2164">
        <v>191</v>
      </c>
      <c r="D2164">
        <v>5</v>
      </c>
      <c r="E2164">
        <v>2</v>
      </c>
      <c r="F2164">
        <v>0</v>
      </c>
      <c r="G2164" t="s">
        <v>18</v>
      </c>
      <c r="H2164" t="s">
        <v>52</v>
      </c>
      <c r="I2164" t="s">
        <v>1635</v>
      </c>
      <c r="J2164" t="s">
        <v>55</v>
      </c>
      <c r="K2164" t="s">
        <v>63</v>
      </c>
      <c r="M2164" t="s">
        <v>6</v>
      </c>
    </row>
    <row r="2165" spans="2:13" hidden="1">
      <c r="B2165">
        <v>2163</v>
      </c>
      <c r="C2165">
        <v>191</v>
      </c>
      <c r="D2165">
        <v>5</v>
      </c>
      <c r="E2165">
        <v>3</v>
      </c>
      <c r="F2165">
        <v>0</v>
      </c>
      <c r="G2165" t="s">
        <v>18</v>
      </c>
      <c r="H2165" t="s">
        <v>52</v>
      </c>
      <c r="I2165" t="s">
        <v>1635</v>
      </c>
      <c r="J2165" t="s">
        <v>55</v>
      </c>
      <c r="K2165" t="s">
        <v>1636</v>
      </c>
      <c r="M2165" t="s">
        <v>6</v>
      </c>
    </row>
    <row r="2166" spans="2:13" hidden="1">
      <c r="B2166">
        <v>2164</v>
      </c>
      <c r="C2166">
        <v>191</v>
      </c>
      <c r="D2166">
        <v>5</v>
      </c>
      <c r="E2166">
        <v>4</v>
      </c>
      <c r="F2166">
        <v>0</v>
      </c>
      <c r="G2166" t="s">
        <v>18</v>
      </c>
      <c r="H2166" t="s">
        <v>52</v>
      </c>
      <c r="I2166" t="s">
        <v>1635</v>
      </c>
      <c r="J2166" t="s">
        <v>64</v>
      </c>
      <c r="K2166" t="s">
        <v>65</v>
      </c>
      <c r="M2166" t="s">
        <v>6</v>
      </c>
    </row>
    <row r="2167" spans="2:13" hidden="1">
      <c r="B2167">
        <v>2165</v>
      </c>
      <c r="C2167">
        <v>191</v>
      </c>
      <c r="D2167">
        <v>5</v>
      </c>
      <c r="E2167">
        <v>5</v>
      </c>
      <c r="F2167">
        <v>0</v>
      </c>
      <c r="G2167" t="s">
        <v>18</v>
      </c>
      <c r="H2167" t="s">
        <v>52</v>
      </c>
      <c r="I2167" t="s">
        <v>1635</v>
      </c>
      <c r="J2167" t="s">
        <v>55</v>
      </c>
      <c r="K2167" t="s">
        <v>1637</v>
      </c>
      <c r="M2167" t="s">
        <v>6</v>
      </c>
    </row>
    <row r="2168" spans="2:13" hidden="1">
      <c r="B2168">
        <v>2166</v>
      </c>
      <c r="C2168">
        <v>192</v>
      </c>
      <c r="D2168">
        <v>4</v>
      </c>
      <c r="E2168">
        <v>0</v>
      </c>
      <c r="F2168">
        <v>0</v>
      </c>
      <c r="G2168" t="s">
        <v>18</v>
      </c>
      <c r="H2168" t="s">
        <v>52</v>
      </c>
      <c r="I2168" t="s">
        <v>1638</v>
      </c>
      <c r="J2168" t="s">
        <v>54</v>
      </c>
      <c r="K2168" t="s">
        <v>1638</v>
      </c>
      <c r="M2168" t="s">
        <v>6</v>
      </c>
    </row>
    <row r="2169" spans="2:13" hidden="1">
      <c r="B2169">
        <v>2167</v>
      </c>
      <c r="C2169">
        <v>192</v>
      </c>
      <c r="D2169">
        <v>4</v>
      </c>
      <c r="E2169">
        <v>1</v>
      </c>
      <c r="F2169">
        <v>0</v>
      </c>
      <c r="G2169" t="s">
        <v>18</v>
      </c>
      <c r="H2169" t="s">
        <v>52</v>
      </c>
      <c r="I2169" t="s">
        <v>1638</v>
      </c>
      <c r="J2169" t="s">
        <v>55</v>
      </c>
      <c r="K2169" t="s">
        <v>62</v>
      </c>
      <c r="M2169" t="s">
        <v>6</v>
      </c>
    </row>
    <row r="2170" spans="2:13" hidden="1">
      <c r="B2170">
        <v>2168</v>
      </c>
      <c r="C2170">
        <v>192</v>
      </c>
      <c r="D2170">
        <v>4</v>
      </c>
      <c r="E2170">
        <v>2</v>
      </c>
      <c r="F2170">
        <v>0</v>
      </c>
      <c r="G2170" t="s">
        <v>18</v>
      </c>
      <c r="H2170" t="s">
        <v>52</v>
      </c>
      <c r="I2170" t="s">
        <v>1638</v>
      </c>
      <c r="J2170" t="s">
        <v>55</v>
      </c>
      <c r="K2170" t="s">
        <v>63</v>
      </c>
      <c r="M2170" t="s">
        <v>6</v>
      </c>
    </row>
    <row r="2171" spans="2:13" hidden="1">
      <c r="B2171">
        <v>2169</v>
      </c>
      <c r="C2171">
        <v>192</v>
      </c>
      <c r="D2171">
        <v>4</v>
      </c>
      <c r="E2171">
        <v>3</v>
      </c>
      <c r="F2171">
        <v>0</v>
      </c>
      <c r="G2171" t="s">
        <v>18</v>
      </c>
      <c r="H2171" t="s">
        <v>52</v>
      </c>
      <c r="I2171" t="s">
        <v>1638</v>
      </c>
      <c r="J2171" t="s">
        <v>64</v>
      </c>
      <c r="K2171" t="s">
        <v>65</v>
      </c>
      <c r="M2171" t="s">
        <v>6</v>
      </c>
    </row>
    <row r="2172" spans="2:13" hidden="1">
      <c r="B2172">
        <v>2170</v>
      </c>
      <c r="C2172">
        <v>192</v>
      </c>
      <c r="D2172">
        <v>4</v>
      </c>
      <c r="E2172">
        <v>4</v>
      </c>
      <c r="F2172">
        <v>0</v>
      </c>
      <c r="G2172" t="s">
        <v>18</v>
      </c>
      <c r="H2172" t="s">
        <v>52</v>
      </c>
      <c r="I2172" t="s">
        <v>1638</v>
      </c>
      <c r="J2172" t="s">
        <v>55</v>
      </c>
      <c r="K2172" t="s">
        <v>1639</v>
      </c>
      <c r="M2172" t="s">
        <v>6</v>
      </c>
    </row>
    <row r="2173" spans="2:13" hidden="1">
      <c r="B2173">
        <v>2171</v>
      </c>
      <c r="C2173">
        <v>193</v>
      </c>
      <c r="D2173">
        <v>4</v>
      </c>
      <c r="E2173">
        <v>0</v>
      </c>
      <c r="F2173">
        <v>0</v>
      </c>
      <c r="G2173" t="s">
        <v>18</v>
      </c>
      <c r="H2173" t="s">
        <v>52</v>
      </c>
      <c r="I2173" t="s">
        <v>1640</v>
      </c>
      <c r="J2173" t="s">
        <v>54</v>
      </c>
      <c r="K2173" t="s">
        <v>1640</v>
      </c>
      <c r="M2173" t="s">
        <v>6</v>
      </c>
    </row>
    <row r="2174" spans="2:13" hidden="1">
      <c r="B2174">
        <v>2172</v>
      </c>
      <c r="C2174">
        <v>193</v>
      </c>
      <c r="D2174">
        <v>4</v>
      </c>
      <c r="E2174">
        <v>1</v>
      </c>
      <c r="F2174">
        <v>0</v>
      </c>
      <c r="G2174" t="s">
        <v>18</v>
      </c>
      <c r="H2174" t="s">
        <v>52</v>
      </c>
      <c r="I2174" t="s">
        <v>1640</v>
      </c>
      <c r="J2174" t="s">
        <v>55</v>
      </c>
      <c r="K2174" t="s">
        <v>62</v>
      </c>
      <c r="M2174" t="s">
        <v>6</v>
      </c>
    </row>
    <row r="2175" spans="2:13" hidden="1">
      <c r="B2175">
        <v>2173</v>
      </c>
      <c r="C2175">
        <v>193</v>
      </c>
      <c r="D2175">
        <v>4</v>
      </c>
      <c r="E2175">
        <v>2</v>
      </c>
      <c r="F2175">
        <v>0</v>
      </c>
      <c r="G2175" t="s">
        <v>18</v>
      </c>
      <c r="H2175" t="s">
        <v>52</v>
      </c>
      <c r="I2175" t="s">
        <v>1640</v>
      </c>
      <c r="J2175" t="s">
        <v>55</v>
      </c>
      <c r="K2175" t="s">
        <v>63</v>
      </c>
      <c r="M2175" t="s">
        <v>6</v>
      </c>
    </row>
    <row r="2176" spans="2:13" hidden="1">
      <c r="B2176">
        <v>2174</v>
      </c>
      <c r="C2176">
        <v>193</v>
      </c>
      <c r="D2176">
        <v>4</v>
      </c>
      <c r="E2176">
        <v>3</v>
      </c>
      <c r="F2176">
        <v>0</v>
      </c>
      <c r="G2176" t="s">
        <v>18</v>
      </c>
      <c r="H2176" t="s">
        <v>52</v>
      </c>
      <c r="I2176" t="s">
        <v>1640</v>
      </c>
      <c r="J2176" t="s">
        <v>64</v>
      </c>
      <c r="K2176" t="s">
        <v>65</v>
      </c>
      <c r="M2176" t="s">
        <v>6</v>
      </c>
    </row>
    <row r="2177" spans="2:13" hidden="1">
      <c r="B2177">
        <v>2175</v>
      </c>
      <c r="C2177">
        <v>193</v>
      </c>
      <c r="D2177">
        <v>4</v>
      </c>
      <c r="E2177">
        <v>4</v>
      </c>
      <c r="F2177">
        <v>0</v>
      </c>
      <c r="G2177" t="s">
        <v>18</v>
      </c>
      <c r="H2177" t="s">
        <v>52</v>
      </c>
      <c r="I2177" t="s">
        <v>1640</v>
      </c>
      <c r="J2177" t="s">
        <v>55</v>
      </c>
      <c r="K2177" t="s">
        <v>660</v>
      </c>
      <c r="M2177" t="s">
        <v>6</v>
      </c>
    </row>
    <row r="2178" spans="2:13" hidden="1">
      <c r="B2178">
        <v>2176</v>
      </c>
      <c r="C2178">
        <v>194</v>
      </c>
      <c r="D2178">
        <v>4</v>
      </c>
      <c r="E2178">
        <v>0</v>
      </c>
      <c r="F2178">
        <v>0</v>
      </c>
      <c r="G2178" t="s">
        <v>18</v>
      </c>
      <c r="H2178" t="s">
        <v>52</v>
      </c>
      <c r="I2178" t="s">
        <v>1641</v>
      </c>
      <c r="J2178" t="s">
        <v>54</v>
      </c>
      <c r="K2178" t="s">
        <v>1641</v>
      </c>
      <c r="M2178" t="s">
        <v>6</v>
      </c>
    </row>
    <row r="2179" spans="2:13" hidden="1">
      <c r="B2179">
        <v>2177</v>
      </c>
      <c r="C2179">
        <v>194</v>
      </c>
      <c r="D2179">
        <v>4</v>
      </c>
      <c r="E2179">
        <v>1</v>
      </c>
      <c r="F2179">
        <v>0</v>
      </c>
      <c r="G2179" t="s">
        <v>18</v>
      </c>
      <c r="H2179" t="s">
        <v>52</v>
      </c>
      <c r="I2179" t="s">
        <v>1641</v>
      </c>
      <c r="J2179" t="s">
        <v>55</v>
      </c>
      <c r="K2179" t="s">
        <v>62</v>
      </c>
      <c r="M2179" t="s">
        <v>6</v>
      </c>
    </row>
    <row r="2180" spans="2:13" hidden="1">
      <c r="B2180">
        <v>2178</v>
      </c>
      <c r="C2180">
        <v>194</v>
      </c>
      <c r="D2180">
        <v>4</v>
      </c>
      <c r="E2180">
        <v>2</v>
      </c>
      <c r="F2180">
        <v>0</v>
      </c>
      <c r="G2180" t="s">
        <v>18</v>
      </c>
      <c r="H2180" t="s">
        <v>52</v>
      </c>
      <c r="I2180" t="s">
        <v>1641</v>
      </c>
      <c r="J2180" t="s">
        <v>55</v>
      </c>
      <c r="K2180" t="s">
        <v>63</v>
      </c>
      <c r="M2180" t="s">
        <v>6</v>
      </c>
    </row>
    <row r="2181" spans="2:13" hidden="1">
      <c r="B2181">
        <v>2179</v>
      </c>
      <c r="C2181">
        <v>194</v>
      </c>
      <c r="D2181">
        <v>4</v>
      </c>
      <c r="E2181">
        <v>3</v>
      </c>
      <c r="F2181">
        <v>0</v>
      </c>
      <c r="G2181" t="s">
        <v>18</v>
      </c>
      <c r="H2181" t="s">
        <v>52</v>
      </c>
      <c r="I2181" t="s">
        <v>1641</v>
      </c>
      <c r="J2181" t="s">
        <v>64</v>
      </c>
      <c r="K2181" t="s">
        <v>65</v>
      </c>
      <c r="M2181" t="s">
        <v>6</v>
      </c>
    </row>
    <row r="2182" spans="2:13" hidden="1">
      <c r="B2182">
        <v>2180</v>
      </c>
      <c r="C2182">
        <v>194</v>
      </c>
      <c r="D2182">
        <v>4</v>
      </c>
      <c r="E2182">
        <v>4</v>
      </c>
      <c r="F2182">
        <v>0</v>
      </c>
      <c r="G2182" t="s">
        <v>18</v>
      </c>
      <c r="H2182" t="s">
        <v>52</v>
      </c>
      <c r="I2182" t="s">
        <v>1641</v>
      </c>
      <c r="J2182" t="s">
        <v>55</v>
      </c>
      <c r="K2182" t="s">
        <v>1642</v>
      </c>
      <c r="M2182" t="s">
        <v>6</v>
      </c>
    </row>
    <row r="2183" spans="2:13" hidden="1">
      <c r="B2183">
        <v>2181</v>
      </c>
      <c r="C2183">
        <v>195</v>
      </c>
      <c r="D2183">
        <v>4</v>
      </c>
      <c r="E2183">
        <v>0</v>
      </c>
      <c r="F2183">
        <v>0</v>
      </c>
      <c r="G2183" t="s">
        <v>18</v>
      </c>
      <c r="H2183" t="s">
        <v>52</v>
      </c>
      <c r="I2183" t="s">
        <v>1643</v>
      </c>
      <c r="J2183" t="s">
        <v>54</v>
      </c>
      <c r="K2183" t="s">
        <v>1643</v>
      </c>
      <c r="M2183" t="s">
        <v>6</v>
      </c>
    </row>
    <row r="2184" spans="2:13" hidden="1">
      <c r="B2184">
        <v>2182</v>
      </c>
      <c r="C2184">
        <v>195</v>
      </c>
      <c r="D2184">
        <v>4</v>
      </c>
      <c r="E2184">
        <v>1</v>
      </c>
      <c r="F2184">
        <v>0</v>
      </c>
      <c r="G2184" t="s">
        <v>18</v>
      </c>
      <c r="H2184" t="s">
        <v>52</v>
      </c>
      <c r="I2184" t="s">
        <v>1643</v>
      </c>
      <c r="J2184" t="s">
        <v>55</v>
      </c>
      <c r="K2184" t="s">
        <v>62</v>
      </c>
      <c r="M2184" t="s">
        <v>6</v>
      </c>
    </row>
    <row r="2185" spans="2:13" hidden="1">
      <c r="B2185">
        <v>2183</v>
      </c>
      <c r="C2185">
        <v>195</v>
      </c>
      <c r="D2185">
        <v>4</v>
      </c>
      <c r="E2185">
        <v>2</v>
      </c>
      <c r="F2185">
        <v>0</v>
      </c>
      <c r="G2185" t="s">
        <v>18</v>
      </c>
      <c r="H2185" t="s">
        <v>52</v>
      </c>
      <c r="I2185" t="s">
        <v>1643</v>
      </c>
      <c r="J2185" t="s">
        <v>55</v>
      </c>
      <c r="K2185" t="s">
        <v>63</v>
      </c>
      <c r="M2185" t="s">
        <v>6</v>
      </c>
    </row>
    <row r="2186" spans="2:13" hidden="1">
      <c r="B2186">
        <v>2184</v>
      </c>
      <c r="C2186">
        <v>195</v>
      </c>
      <c r="D2186">
        <v>4</v>
      </c>
      <c r="E2186">
        <v>3</v>
      </c>
      <c r="F2186">
        <v>0</v>
      </c>
      <c r="G2186" t="s">
        <v>18</v>
      </c>
      <c r="H2186" t="s">
        <v>52</v>
      </c>
      <c r="I2186" t="s">
        <v>1643</v>
      </c>
      <c r="J2186" t="s">
        <v>64</v>
      </c>
      <c r="K2186" t="s">
        <v>65</v>
      </c>
      <c r="M2186" t="s">
        <v>6</v>
      </c>
    </row>
    <row r="2187" spans="2:13" hidden="1">
      <c r="B2187">
        <v>2185</v>
      </c>
      <c r="C2187">
        <v>195</v>
      </c>
      <c r="D2187">
        <v>4</v>
      </c>
      <c r="E2187">
        <v>4</v>
      </c>
      <c r="F2187">
        <v>0</v>
      </c>
      <c r="G2187" t="s">
        <v>18</v>
      </c>
      <c r="H2187" t="s">
        <v>52</v>
      </c>
      <c r="I2187" t="s">
        <v>1643</v>
      </c>
      <c r="J2187" t="s">
        <v>55</v>
      </c>
      <c r="K2187" t="s">
        <v>1644</v>
      </c>
      <c r="M2187" t="s">
        <v>6</v>
      </c>
    </row>
    <row r="2188" spans="2:13" hidden="1">
      <c r="B2188">
        <v>2186</v>
      </c>
      <c r="C2188">
        <v>196</v>
      </c>
      <c r="D2188">
        <v>4</v>
      </c>
      <c r="E2188">
        <v>0</v>
      </c>
      <c r="F2188">
        <v>0</v>
      </c>
      <c r="G2188" t="s">
        <v>18</v>
      </c>
      <c r="H2188" t="s">
        <v>52</v>
      </c>
      <c r="I2188" t="s">
        <v>1645</v>
      </c>
      <c r="J2188" t="s">
        <v>54</v>
      </c>
      <c r="K2188" t="s">
        <v>1645</v>
      </c>
      <c r="M2188" t="s">
        <v>6</v>
      </c>
    </row>
    <row r="2189" spans="2:13" hidden="1">
      <c r="B2189">
        <v>2187</v>
      </c>
      <c r="C2189">
        <v>196</v>
      </c>
      <c r="D2189">
        <v>4</v>
      </c>
      <c r="E2189">
        <v>1</v>
      </c>
      <c r="F2189">
        <v>0</v>
      </c>
      <c r="G2189" t="s">
        <v>18</v>
      </c>
      <c r="H2189" t="s">
        <v>52</v>
      </c>
      <c r="I2189" t="s">
        <v>1645</v>
      </c>
      <c r="J2189" t="s">
        <v>55</v>
      </c>
      <c r="K2189" t="s">
        <v>62</v>
      </c>
      <c r="M2189" t="s">
        <v>6</v>
      </c>
    </row>
    <row r="2190" spans="2:13" hidden="1">
      <c r="B2190">
        <v>2188</v>
      </c>
      <c r="C2190">
        <v>196</v>
      </c>
      <c r="D2190">
        <v>4</v>
      </c>
      <c r="E2190">
        <v>2</v>
      </c>
      <c r="F2190">
        <v>0</v>
      </c>
      <c r="G2190" t="s">
        <v>18</v>
      </c>
      <c r="H2190" t="s">
        <v>52</v>
      </c>
      <c r="I2190" t="s">
        <v>1645</v>
      </c>
      <c r="J2190" t="s">
        <v>55</v>
      </c>
      <c r="K2190" t="s">
        <v>63</v>
      </c>
      <c r="M2190" t="s">
        <v>6</v>
      </c>
    </row>
    <row r="2191" spans="2:13" hidden="1">
      <c r="B2191">
        <v>2189</v>
      </c>
      <c r="C2191">
        <v>196</v>
      </c>
      <c r="D2191">
        <v>4</v>
      </c>
      <c r="E2191">
        <v>3</v>
      </c>
      <c r="F2191">
        <v>0</v>
      </c>
      <c r="G2191" t="s">
        <v>18</v>
      </c>
      <c r="H2191" t="s">
        <v>52</v>
      </c>
      <c r="I2191" t="s">
        <v>1645</v>
      </c>
      <c r="J2191" t="s">
        <v>64</v>
      </c>
      <c r="K2191" t="s">
        <v>65</v>
      </c>
      <c r="M2191" t="s">
        <v>6</v>
      </c>
    </row>
    <row r="2192" spans="2:13" hidden="1">
      <c r="B2192">
        <v>2190</v>
      </c>
      <c r="C2192">
        <v>196</v>
      </c>
      <c r="D2192">
        <v>4</v>
      </c>
      <c r="E2192">
        <v>4</v>
      </c>
      <c r="F2192">
        <v>0</v>
      </c>
      <c r="G2192" t="s">
        <v>18</v>
      </c>
      <c r="H2192" t="s">
        <v>52</v>
      </c>
      <c r="I2192" t="s">
        <v>1645</v>
      </c>
      <c r="J2192" t="s">
        <v>55</v>
      </c>
      <c r="K2192" t="s">
        <v>1646</v>
      </c>
      <c r="M2192" t="s">
        <v>6</v>
      </c>
    </row>
    <row r="2193" spans="2:13" hidden="1">
      <c r="B2193">
        <v>2191</v>
      </c>
      <c r="C2193">
        <v>197</v>
      </c>
      <c r="D2193">
        <v>4</v>
      </c>
      <c r="E2193">
        <v>0</v>
      </c>
      <c r="F2193">
        <v>0</v>
      </c>
      <c r="G2193" t="s">
        <v>18</v>
      </c>
      <c r="H2193" t="s">
        <v>52</v>
      </c>
      <c r="I2193" t="s">
        <v>1647</v>
      </c>
      <c r="J2193" t="s">
        <v>54</v>
      </c>
      <c r="K2193" t="s">
        <v>1647</v>
      </c>
      <c r="M2193" t="s">
        <v>6</v>
      </c>
    </row>
    <row r="2194" spans="2:13" hidden="1">
      <c r="B2194">
        <v>2192</v>
      </c>
      <c r="C2194">
        <v>197</v>
      </c>
      <c r="D2194">
        <v>4</v>
      </c>
      <c r="E2194">
        <v>1</v>
      </c>
      <c r="F2194">
        <v>0</v>
      </c>
      <c r="G2194" t="s">
        <v>18</v>
      </c>
      <c r="H2194" t="s">
        <v>52</v>
      </c>
      <c r="I2194" t="s">
        <v>1647</v>
      </c>
      <c r="J2194" t="s">
        <v>55</v>
      </c>
      <c r="K2194" t="s">
        <v>62</v>
      </c>
      <c r="M2194" t="s">
        <v>6</v>
      </c>
    </row>
    <row r="2195" spans="2:13" hidden="1">
      <c r="B2195">
        <v>2193</v>
      </c>
      <c r="C2195">
        <v>197</v>
      </c>
      <c r="D2195">
        <v>4</v>
      </c>
      <c r="E2195">
        <v>2</v>
      </c>
      <c r="F2195">
        <v>0</v>
      </c>
      <c r="G2195" t="s">
        <v>18</v>
      </c>
      <c r="H2195" t="s">
        <v>52</v>
      </c>
      <c r="I2195" t="s">
        <v>1647</v>
      </c>
      <c r="J2195" t="s">
        <v>55</v>
      </c>
      <c r="K2195" t="s">
        <v>63</v>
      </c>
      <c r="M2195" t="s">
        <v>6</v>
      </c>
    </row>
    <row r="2196" spans="2:13" hidden="1">
      <c r="B2196">
        <v>2194</v>
      </c>
      <c r="C2196">
        <v>197</v>
      </c>
      <c r="D2196">
        <v>4</v>
      </c>
      <c r="E2196">
        <v>3</v>
      </c>
      <c r="F2196">
        <v>0</v>
      </c>
      <c r="G2196" t="s">
        <v>18</v>
      </c>
      <c r="H2196" t="s">
        <v>52</v>
      </c>
      <c r="I2196" t="s">
        <v>1647</v>
      </c>
      <c r="J2196" t="s">
        <v>64</v>
      </c>
      <c r="K2196" t="s">
        <v>65</v>
      </c>
      <c r="M2196" t="s">
        <v>6</v>
      </c>
    </row>
    <row r="2197" spans="2:13" hidden="1">
      <c r="B2197">
        <v>2195</v>
      </c>
      <c r="C2197">
        <v>197</v>
      </c>
      <c r="D2197">
        <v>4</v>
      </c>
      <c r="E2197">
        <v>4</v>
      </c>
      <c r="F2197">
        <v>0</v>
      </c>
      <c r="G2197" t="s">
        <v>18</v>
      </c>
      <c r="H2197" t="s">
        <v>52</v>
      </c>
      <c r="I2197" t="s">
        <v>1647</v>
      </c>
      <c r="J2197" t="s">
        <v>55</v>
      </c>
      <c r="K2197" t="s">
        <v>1648</v>
      </c>
      <c r="M2197" t="s">
        <v>6</v>
      </c>
    </row>
    <row r="2198" spans="2:13" hidden="1">
      <c r="B2198">
        <v>2196</v>
      </c>
      <c r="C2198">
        <v>198</v>
      </c>
      <c r="D2198">
        <v>4</v>
      </c>
      <c r="E2198">
        <v>0</v>
      </c>
      <c r="F2198">
        <v>0</v>
      </c>
      <c r="G2198" t="s">
        <v>18</v>
      </c>
      <c r="H2198" t="s">
        <v>52</v>
      </c>
      <c r="I2198" t="s">
        <v>1649</v>
      </c>
      <c r="J2198" t="s">
        <v>54</v>
      </c>
      <c r="K2198" t="s">
        <v>1649</v>
      </c>
      <c r="M2198" t="s">
        <v>6</v>
      </c>
    </row>
    <row r="2199" spans="2:13" hidden="1">
      <c r="B2199">
        <v>2197</v>
      </c>
      <c r="C2199">
        <v>198</v>
      </c>
      <c r="D2199">
        <v>4</v>
      </c>
      <c r="E2199">
        <v>1</v>
      </c>
      <c r="F2199">
        <v>0</v>
      </c>
      <c r="G2199" t="s">
        <v>18</v>
      </c>
      <c r="H2199" t="s">
        <v>52</v>
      </c>
      <c r="I2199" t="s">
        <v>1649</v>
      </c>
      <c r="J2199" t="s">
        <v>55</v>
      </c>
      <c r="K2199" t="s">
        <v>62</v>
      </c>
      <c r="M2199" t="s">
        <v>6</v>
      </c>
    </row>
    <row r="2200" spans="2:13" hidden="1">
      <c r="B2200">
        <v>2198</v>
      </c>
      <c r="C2200">
        <v>198</v>
      </c>
      <c r="D2200">
        <v>4</v>
      </c>
      <c r="E2200">
        <v>2</v>
      </c>
      <c r="F2200">
        <v>0</v>
      </c>
      <c r="G2200" t="s">
        <v>18</v>
      </c>
      <c r="H2200" t="s">
        <v>52</v>
      </c>
      <c r="I2200" t="s">
        <v>1649</v>
      </c>
      <c r="J2200" t="s">
        <v>55</v>
      </c>
      <c r="K2200" t="s">
        <v>63</v>
      </c>
      <c r="M2200" t="s">
        <v>6</v>
      </c>
    </row>
    <row r="2201" spans="2:13" hidden="1">
      <c r="B2201">
        <v>2199</v>
      </c>
      <c r="C2201">
        <v>198</v>
      </c>
      <c r="D2201">
        <v>4</v>
      </c>
      <c r="E2201">
        <v>3</v>
      </c>
      <c r="F2201">
        <v>0</v>
      </c>
      <c r="G2201" t="s">
        <v>18</v>
      </c>
      <c r="H2201" t="s">
        <v>52</v>
      </c>
      <c r="I2201" t="s">
        <v>1649</v>
      </c>
      <c r="J2201" t="s">
        <v>64</v>
      </c>
      <c r="K2201" t="s">
        <v>65</v>
      </c>
      <c r="M2201" t="s">
        <v>6</v>
      </c>
    </row>
    <row r="2202" spans="2:13" hidden="1">
      <c r="B2202">
        <v>2200</v>
      </c>
      <c r="C2202">
        <v>198</v>
      </c>
      <c r="D2202">
        <v>4</v>
      </c>
      <c r="E2202">
        <v>4</v>
      </c>
      <c r="F2202">
        <v>0</v>
      </c>
      <c r="G2202" t="s">
        <v>18</v>
      </c>
      <c r="H2202" t="s">
        <v>52</v>
      </c>
      <c r="I2202" t="s">
        <v>1649</v>
      </c>
      <c r="J2202" t="s">
        <v>55</v>
      </c>
      <c r="K2202" t="s">
        <v>1650</v>
      </c>
      <c r="M2202" t="s">
        <v>6</v>
      </c>
    </row>
    <row r="2203" spans="2:13" hidden="1">
      <c r="B2203">
        <v>2201</v>
      </c>
      <c r="C2203">
        <v>199</v>
      </c>
      <c r="D2203">
        <v>26</v>
      </c>
      <c r="E2203">
        <v>0</v>
      </c>
      <c r="F2203">
        <v>0</v>
      </c>
      <c r="G2203" t="s">
        <v>18</v>
      </c>
      <c r="H2203" t="s">
        <v>52</v>
      </c>
      <c r="I2203" t="s">
        <v>1651</v>
      </c>
      <c r="J2203" t="s">
        <v>478</v>
      </c>
      <c r="K2203" t="s">
        <v>1651</v>
      </c>
      <c r="M2203" t="s">
        <v>6</v>
      </c>
    </row>
    <row r="2204" spans="2:13" hidden="1">
      <c r="B2204">
        <v>2202</v>
      </c>
      <c r="C2204">
        <v>199</v>
      </c>
      <c r="D2204">
        <v>26</v>
      </c>
      <c r="E2204">
        <v>1</v>
      </c>
      <c r="F2204">
        <v>0</v>
      </c>
      <c r="G2204" t="s">
        <v>18</v>
      </c>
      <c r="H2204" t="s">
        <v>52</v>
      </c>
      <c r="I2204" t="s">
        <v>1651</v>
      </c>
      <c r="J2204" t="s">
        <v>479</v>
      </c>
      <c r="K2204" t="s">
        <v>1652</v>
      </c>
      <c r="M2204" t="s">
        <v>6</v>
      </c>
    </row>
    <row r="2205" spans="2:13" hidden="1">
      <c r="B2205">
        <v>2203</v>
      </c>
      <c r="C2205">
        <v>199</v>
      </c>
      <c r="D2205">
        <v>26</v>
      </c>
      <c r="E2205">
        <v>2</v>
      </c>
      <c r="F2205">
        <v>0</v>
      </c>
      <c r="G2205" t="s">
        <v>18</v>
      </c>
      <c r="H2205" t="s">
        <v>52</v>
      </c>
      <c r="I2205" t="s">
        <v>1651</v>
      </c>
      <c r="J2205" t="s">
        <v>55</v>
      </c>
      <c r="K2205" t="s">
        <v>1653</v>
      </c>
      <c r="M2205" t="s">
        <v>6</v>
      </c>
    </row>
    <row r="2206" spans="2:13" hidden="1">
      <c r="B2206">
        <v>2204</v>
      </c>
      <c r="C2206">
        <v>199</v>
      </c>
      <c r="D2206">
        <v>26</v>
      </c>
      <c r="E2206">
        <v>3</v>
      </c>
      <c r="F2206">
        <v>0</v>
      </c>
      <c r="G2206" t="s">
        <v>18</v>
      </c>
      <c r="H2206" t="s">
        <v>52</v>
      </c>
      <c r="I2206" t="s">
        <v>1651</v>
      </c>
      <c r="J2206" t="s">
        <v>55</v>
      </c>
      <c r="K2206" t="s">
        <v>1654</v>
      </c>
      <c r="M2206" t="s">
        <v>6</v>
      </c>
    </row>
    <row r="2207" spans="2:13" hidden="1">
      <c r="B2207">
        <v>2205</v>
      </c>
      <c r="C2207">
        <v>199</v>
      </c>
      <c r="D2207">
        <v>26</v>
      </c>
      <c r="E2207">
        <v>4</v>
      </c>
      <c r="F2207">
        <v>0</v>
      </c>
      <c r="G2207" t="s">
        <v>18</v>
      </c>
      <c r="H2207" t="s">
        <v>52</v>
      </c>
      <c r="I2207" t="s">
        <v>1651</v>
      </c>
      <c r="J2207" t="s">
        <v>55</v>
      </c>
      <c r="K2207" t="s">
        <v>1655</v>
      </c>
      <c r="M2207" t="s">
        <v>6</v>
      </c>
    </row>
    <row r="2208" spans="2:13" hidden="1">
      <c r="B2208">
        <v>2206</v>
      </c>
      <c r="C2208">
        <v>199</v>
      </c>
      <c r="D2208">
        <v>26</v>
      </c>
      <c r="E2208">
        <v>5</v>
      </c>
      <c r="F2208">
        <v>0</v>
      </c>
      <c r="G2208" t="s">
        <v>18</v>
      </c>
      <c r="H2208" t="s">
        <v>52</v>
      </c>
      <c r="I2208" t="s">
        <v>1651</v>
      </c>
      <c r="J2208" t="s">
        <v>55</v>
      </c>
      <c r="K2208" t="s">
        <v>1656</v>
      </c>
      <c r="M2208" t="s">
        <v>6</v>
      </c>
    </row>
    <row r="2209" spans="2:13" hidden="1">
      <c r="B2209">
        <v>2207</v>
      </c>
      <c r="C2209">
        <v>199</v>
      </c>
      <c r="D2209">
        <v>26</v>
      </c>
      <c r="E2209">
        <v>6</v>
      </c>
      <c r="F2209">
        <v>0</v>
      </c>
      <c r="G2209" t="s">
        <v>18</v>
      </c>
      <c r="H2209" t="s">
        <v>52</v>
      </c>
      <c r="I2209" t="s">
        <v>1651</v>
      </c>
      <c r="J2209" t="s">
        <v>55</v>
      </c>
      <c r="K2209" t="s">
        <v>1657</v>
      </c>
      <c r="M2209" t="s">
        <v>6</v>
      </c>
    </row>
    <row r="2210" spans="2:13" hidden="1">
      <c r="B2210">
        <v>2208</v>
      </c>
      <c r="C2210">
        <v>199</v>
      </c>
      <c r="D2210">
        <v>26</v>
      </c>
      <c r="E2210">
        <v>7</v>
      </c>
      <c r="F2210">
        <v>0</v>
      </c>
      <c r="G2210" t="s">
        <v>18</v>
      </c>
      <c r="H2210" t="s">
        <v>52</v>
      </c>
      <c r="I2210" t="s">
        <v>1651</v>
      </c>
      <c r="J2210" t="s">
        <v>214</v>
      </c>
      <c r="K2210" t="s">
        <v>1658</v>
      </c>
      <c r="M2210" t="s">
        <v>6</v>
      </c>
    </row>
    <row r="2211" spans="2:13" hidden="1">
      <c r="B2211">
        <v>2209</v>
      </c>
      <c r="C2211">
        <v>199</v>
      </c>
      <c r="D2211">
        <v>26</v>
      </c>
      <c r="E2211">
        <v>8</v>
      </c>
      <c r="F2211">
        <v>0</v>
      </c>
      <c r="G2211" t="s">
        <v>18</v>
      </c>
      <c r="H2211" t="s">
        <v>52</v>
      </c>
      <c r="I2211" t="s">
        <v>1651</v>
      </c>
      <c r="J2211" t="s">
        <v>55</v>
      </c>
      <c r="K2211" t="s">
        <v>1659</v>
      </c>
      <c r="M2211" t="s">
        <v>6</v>
      </c>
    </row>
    <row r="2212" spans="2:13" hidden="1">
      <c r="B2212">
        <v>2210</v>
      </c>
      <c r="C2212">
        <v>199</v>
      </c>
      <c r="D2212">
        <v>26</v>
      </c>
      <c r="E2212">
        <v>9</v>
      </c>
      <c r="F2212">
        <v>0</v>
      </c>
      <c r="G2212" t="s">
        <v>18</v>
      </c>
      <c r="H2212" t="s">
        <v>52</v>
      </c>
      <c r="I2212" t="s">
        <v>1651</v>
      </c>
      <c r="J2212" t="s">
        <v>55</v>
      </c>
      <c r="K2212" t="s">
        <v>1660</v>
      </c>
      <c r="M2212" t="s">
        <v>6</v>
      </c>
    </row>
    <row r="2213" spans="2:13" hidden="1">
      <c r="B2213">
        <v>2211</v>
      </c>
      <c r="C2213">
        <v>199</v>
      </c>
      <c r="D2213">
        <v>26</v>
      </c>
      <c r="E2213">
        <v>10</v>
      </c>
      <c r="F2213">
        <v>0</v>
      </c>
      <c r="G2213" t="s">
        <v>18</v>
      </c>
      <c r="H2213" t="s">
        <v>52</v>
      </c>
      <c r="I2213" t="s">
        <v>1651</v>
      </c>
      <c r="J2213" t="s">
        <v>214</v>
      </c>
      <c r="K2213" t="s">
        <v>1661</v>
      </c>
      <c r="M2213" t="s">
        <v>6</v>
      </c>
    </row>
    <row r="2214" spans="2:13" hidden="1">
      <c r="B2214">
        <v>2212</v>
      </c>
      <c r="C2214">
        <v>199</v>
      </c>
      <c r="D2214">
        <v>26</v>
      </c>
      <c r="E2214">
        <v>11</v>
      </c>
      <c r="F2214">
        <v>0</v>
      </c>
      <c r="G2214" t="s">
        <v>18</v>
      </c>
      <c r="H2214" t="s">
        <v>52</v>
      </c>
      <c r="I2214" t="s">
        <v>1651</v>
      </c>
      <c r="J2214" t="s">
        <v>55</v>
      </c>
      <c r="K2214" t="s">
        <v>1662</v>
      </c>
      <c r="M2214" t="s">
        <v>6</v>
      </c>
    </row>
    <row r="2215" spans="2:13" hidden="1">
      <c r="B2215">
        <v>2213</v>
      </c>
      <c r="C2215">
        <v>199</v>
      </c>
      <c r="D2215">
        <v>26</v>
      </c>
      <c r="E2215">
        <v>12</v>
      </c>
      <c r="F2215">
        <v>0</v>
      </c>
      <c r="G2215" t="s">
        <v>18</v>
      </c>
      <c r="H2215" t="s">
        <v>52</v>
      </c>
      <c r="I2215" t="s">
        <v>1651</v>
      </c>
      <c r="J2215" t="s">
        <v>55</v>
      </c>
      <c r="K2215" t="s">
        <v>1663</v>
      </c>
      <c r="M2215" t="s">
        <v>6</v>
      </c>
    </row>
    <row r="2216" spans="2:13" hidden="1">
      <c r="B2216">
        <v>2214</v>
      </c>
      <c r="C2216">
        <v>199</v>
      </c>
      <c r="D2216">
        <v>26</v>
      </c>
      <c r="E2216">
        <v>13</v>
      </c>
      <c r="F2216">
        <v>0</v>
      </c>
      <c r="G2216" t="s">
        <v>18</v>
      </c>
      <c r="H2216" t="s">
        <v>52</v>
      </c>
      <c r="I2216" t="s">
        <v>1651</v>
      </c>
      <c r="J2216" t="s">
        <v>479</v>
      </c>
      <c r="K2216" t="s">
        <v>1664</v>
      </c>
      <c r="M2216" t="s">
        <v>6</v>
      </c>
    </row>
    <row r="2217" spans="2:13" hidden="1">
      <c r="B2217">
        <v>2215</v>
      </c>
      <c r="C2217">
        <v>199</v>
      </c>
      <c r="D2217">
        <v>26</v>
      </c>
      <c r="E2217">
        <v>14</v>
      </c>
      <c r="F2217">
        <v>0</v>
      </c>
      <c r="G2217" t="s">
        <v>18</v>
      </c>
      <c r="H2217" t="s">
        <v>52</v>
      </c>
      <c r="I2217" t="s">
        <v>1651</v>
      </c>
      <c r="J2217" t="s">
        <v>55</v>
      </c>
      <c r="K2217" t="s">
        <v>1665</v>
      </c>
      <c r="M2217" t="s">
        <v>6</v>
      </c>
    </row>
    <row r="2218" spans="2:13" hidden="1">
      <c r="B2218">
        <v>2216</v>
      </c>
      <c r="C2218">
        <v>199</v>
      </c>
      <c r="D2218">
        <v>26</v>
      </c>
      <c r="E2218">
        <v>15</v>
      </c>
      <c r="F2218">
        <v>0</v>
      </c>
      <c r="G2218" t="s">
        <v>18</v>
      </c>
      <c r="H2218" t="s">
        <v>52</v>
      </c>
      <c r="I2218" t="s">
        <v>1651</v>
      </c>
      <c r="J2218" t="s">
        <v>55</v>
      </c>
      <c r="K2218" t="s">
        <v>1666</v>
      </c>
      <c r="M2218" t="s">
        <v>6</v>
      </c>
    </row>
    <row r="2219" spans="2:13" hidden="1">
      <c r="B2219">
        <v>2217</v>
      </c>
      <c r="C2219">
        <v>199</v>
      </c>
      <c r="D2219">
        <v>26</v>
      </c>
      <c r="E2219">
        <v>16</v>
      </c>
      <c r="F2219">
        <v>0</v>
      </c>
      <c r="G2219" t="s">
        <v>18</v>
      </c>
      <c r="H2219" t="s">
        <v>52</v>
      </c>
      <c r="I2219" t="s">
        <v>1651</v>
      </c>
      <c r="J2219" t="s">
        <v>55</v>
      </c>
      <c r="K2219" t="s">
        <v>1667</v>
      </c>
      <c r="M2219" t="s">
        <v>6</v>
      </c>
    </row>
    <row r="2220" spans="2:13" hidden="1">
      <c r="B2220">
        <v>2218</v>
      </c>
      <c r="C2220">
        <v>199</v>
      </c>
      <c r="D2220">
        <v>26</v>
      </c>
      <c r="E2220">
        <v>17</v>
      </c>
      <c r="F2220">
        <v>0</v>
      </c>
      <c r="G2220" t="s">
        <v>18</v>
      </c>
      <c r="H2220" t="s">
        <v>52</v>
      </c>
      <c r="I2220" t="s">
        <v>1651</v>
      </c>
      <c r="J2220" t="s">
        <v>479</v>
      </c>
      <c r="K2220" t="s">
        <v>1668</v>
      </c>
      <c r="M2220" t="s">
        <v>6</v>
      </c>
    </row>
    <row r="2221" spans="2:13" hidden="1">
      <c r="B2221">
        <v>2219</v>
      </c>
      <c r="C2221">
        <v>199</v>
      </c>
      <c r="D2221">
        <v>26</v>
      </c>
      <c r="E2221">
        <v>18</v>
      </c>
      <c r="F2221">
        <v>0</v>
      </c>
      <c r="G2221" t="s">
        <v>18</v>
      </c>
      <c r="H2221" t="s">
        <v>52</v>
      </c>
      <c r="I2221" t="s">
        <v>1651</v>
      </c>
      <c r="J2221" t="s">
        <v>55</v>
      </c>
      <c r="K2221" t="s">
        <v>1669</v>
      </c>
      <c r="M2221" t="s">
        <v>6</v>
      </c>
    </row>
    <row r="2222" spans="2:13" hidden="1">
      <c r="B2222">
        <v>2220</v>
      </c>
      <c r="C2222">
        <v>199</v>
      </c>
      <c r="D2222">
        <v>26</v>
      </c>
      <c r="E2222">
        <v>19</v>
      </c>
      <c r="F2222">
        <v>0</v>
      </c>
      <c r="G2222" t="s">
        <v>18</v>
      </c>
      <c r="H2222" t="s">
        <v>52</v>
      </c>
      <c r="I2222" t="s">
        <v>1651</v>
      </c>
      <c r="J2222" t="s">
        <v>55</v>
      </c>
      <c r="K2222" t="s">
        <v>1670</v>
      </c>
      <c r="M2222" t="s">
        <v>6</v>
      </c>
    </row>
    <row r="2223" spans="2:13" hidden="1">
      <c r="B2223">
        <v>2221</v>
      </c>
      <c r="C2223">
        <v>199</v>
      </c>
      <c r="D2223">
        <v>26</v>
      </c>
      <c r="E2223">
        <v>20</v>
      </c>
      <c r="F2223">
        <v>0</v>
      </c>
      <c r="G2223" t="s">
        <v>18</v>
      </c>
      <c r="H2223" t="s">
        <v>52</v>
      </c>
      <c r="I2223" t="s">
        <v>1651</v>
      </c>
      <c r="J2223" t="s">
        <v>55</v>
      </c>
      <c r="K2223" t="s">
        <v>1671</v>
      </c>
      <c r="M2223" t="s">
        <v>6</v>
      </c>
    </row>
    <row r="2224" spans="2:13" hidden="1">
      <c r="B2224">
        <v>2222</v>
      </c>
      <c r="C2224">
        <v>199</v>
      </c>
      <c r="D2224">
        <v>26</v>
      </c>
      <c r="E2224">
        <v>21</v>
      </c>
      <c r="F2224">
        <v>0</v>
      </c>
      <c r="G2224" t="s">
        <v>18</v>
      </c>
      <c r="H2224" t="s">
        <v>52</v>
      </c>
      <c r="I2224" t="s">
        <v>1651</v>
      </c>
      <c r="J2224" t="s">
        <v>55</v>
      </c>
      <c r="K2224" t="s">
        <v>1672</v>
      </c>
      <c r="M2224" t="s">
        <v>6</v>
      </c>
    </row>
    <row r="2225" spans="2:13" hidden="1">
      <c r="B2225">
        <v>2223</v>
      </c>
      <c r="C2225">
        <v>199</v>
      </c>
      <c r="D2225">
        <v>26</v>
      </c>
      <c r="E2225">
        <v>22</v>
      </c>
      <c r="F2225">
        <v>0</v>
      </c>
      <c r="G2225" t="s">
        <v>18</v>
      </c>
      <c r="H2225" t="s">
        <v>52</v>
      </c>
      <c r="I2225" t="s">
        <v>1651</v>
      </c>
      <c r="J2225" t="s">
        <v>479</v>
      </c>
      <c r="K2225" t="s">
        <v>1673</v>
      </c>
      <c r="M2225" t="s">
        <v>6</v>
      </c>
    </row>
    <row r="2226" spans="2:13" hidden="1">
      <c r="B2226">
        <v>2224</v>
      </c>
      <c r="C2226">
        <v>199</v>
      </c>
      <c r="D2226">
        <v>26</v>
      </c>
      <c r="E2226">
        <v>23</v>
      </c>
      <c r="F2226">
        <v>0</v>
      </c>
      <c r="G2226" t="s">
        <v>18</v>
      </c>
      <c r="H2226" t="s">
        <v>52</v>
      </c>
      <c r="I2226" t="s">
        <v>1651</v>
      </c>
      <c r="J2226" t="s">
        <v>55</v>
      </c>
      <c r="K2226" t="s">
        <v>1674</v>
      </c>
      <c r="M2226" t="s">
        <v>6</v>
      </c>
    </row>
    <row r="2227" spans="2:13" hidden="1">
      <c r="B2227">
        <v>2225</v>
      </c>
      <c r="C2227">
        <v>199</v>
      </c>
      <c r="D2227">
        <v>26</v>
      </c>
      <c r="E2227">
        <v>24</v>
      </c>
      <c r="F2227">
        <v>0</v>
      </c>
      <c r="G2227" t="s">
        <v>18</v>
      </c>
      <c r="H2227" t="s">
        <v>52</v>
      </c>
      <c r="I2227" t="s">
        <v>1651</v>
      </c>
      <c r="J2227" t="s">
        <v>55</v>
      </c>
      <c r="K2227" t="s">
        <v>1675</v>
      </c>
      <c r="M2227" t="s">
        <v>6</v>
      </c>
    </row>
    <row r="2228" spans="2:13" hidden="1">
      <c r="B2228">
        <v>2226</v>
      </c>
      <c r="C2228">
        <v>199</v>
      </c>
      <c r="D2228">
        <v>26</v>
      </c>
      <c r="E2228">
        <v>25</v>
      </c>
      <c r="F2228">
        <v>0</v>
      </c>
      <c r="G2228" t="s">
        <v>18</v>
      </c>
      <c r="H2228" t="s">
        <v>52</v>
      </c>
      <c r="I2228" t="s">
        <v>1651</v>
      </c>
      <c r="J2228" t="s">
        <v>55</v>
      </c>
      <c r="K2228" t="s">
        <v>1676</v>
      </c>
      <c r="M2228" t="s">
        <v>6</v>
      </c>
    </row>
    <row r="2229" spans="2:13" hidden="1">
      <c r="B2229">
        <v>2227</v>
      </c>
      <c r="C2229">
        <v>199</v>
      </c>
      <c r="D2229">
        <v>26</v>
      </c>
      <c r="E2229">
        <v>26</v>
      </c>
      <c r="F2229">
        <v>0</v>
      </c>
      <c r="G2229" t="s">
        <v>18</v>
      </c>
      <c r="H2229" t="s">
        <v>52</v>
      </c>
      <c r="I2229" t="s">
        <v>1651</v>
      </c>
      <c r="J2229" t="s">
        <v>55</v>
      </c>
      <c r="K2229" t="s">
        <v>1677</v>
      </c>
      <c r="M2229" t="s">
        <v>6</v>
      </c>
    </row>
    <row r="2230" spans="2:13" hidden="1">
      <c r="B2230">
        <v>2228</v>
      </c>
      <c r="C2230">
        <v>200</v>
      </c>
      <c r="D2230">
        <v>4</v>
      </c>
      <c r="E2230">
        <v>0</v>
      </c>
      <c r="F2230">
        <v>0</v>
      </c>
      <c r="G2230" t="s">
        <v>18</v>
      </c>
      <c r="H2230" t="s">
        <v>52</v>
      </c>
      <c r="I2230" t="s">
        <v>1678</v>
      </c>
      <c r="J2230" t="s">
        <v>54</v>
      </c>
      <c r="K2230" t="s">
        <v>1678</v>
      </c>
      <c r="M2230" t="s">
        <v>6</v>
      </c>
    </row>
    <row r="2231" spans="2:13" hidden="1">
      <c r="B2231">
        <v>2229</v>
      </c>
      <c r="C2231">
        <v>200</v>
      </c>
      <c r="D2231">
        <v>4</v>
      </c>
      <c r="E2231">
        <v>1</v>
      </c>
      <c r="F2231">
        <v>0</v>
      </c>
      <c r="G2231" t="s">
        <v>18</v>
      </c>
      <c r="H2231" t="s">
        <v>52</v>
      </c>
      <c r="I2231" t="s">
        <v>1678</v>
      </c>
      <c r="J2231" t="s">
        <v>55</v>
      </c>
      <c r="K2231" t="s">
        <v>62</v>
      </c>
      <c r="M2231" t="s">
        <v>6</v>
      </c>
    </row>
    <row r="2232" spans="2:13" hidden="1">
      <c r="B2232">
        <v>2230</v>
      </c>
      <c r="C2232">
        <v>200</v>
      </c>
      <c r="D2232">
        <v>4</v>
      </c>
      <c r="E2232">
        <v>2</v>
      </c>
      <c r="F2232">
        <v>0</v>
      </c>
      <c r="G2232" t="s">
        <v>18</v>
      </c>
      <c r="H2232" t="s">
        <v>52</v>
      </c>
      <c r="I2232" t="s">
        <v>1678</v>
      </c>
      <c r="J2232" t="s">
        <v>55</v>
      </c>
      <c r="K2232" t="s">
        <v>63</v>
      </c>
      <c r="M2232" t="s">
        <v>6</v>
      </c>
    </row>
    <row r="2233" spans="2:13" hidden="1">
      <c r="B2233">
        <v>2231</v>
      </c>
      <c r="C2233">
        <v>200</v>
      </c>
      <c r="D2233">
        <v>4</v>
      </c>
      <c r="E2233">
        <v>3</v>
      </c>
      <c r="F2233">
        <v>0</v>
      </c>
      <c r="G2233" t="s">
        <v>18</v>
      </c>
      <c r="H2233" t="s">
        <v>52</v>
      </c>
      <c r="I2233" t="s">
        <v>1678</v>
      </c>
      <c r="J2233" t="s">
        <v>64</v>
      </c>
      <c r="K2233" t="s">
        <v>65</v>
      </c>
      <c r="M2233" t="s">
        <v>6</v>
      </c>
    </row>
    <row r="2234" spans="2:13" hidden="1">
      <c r="B2234">
        <v>2232</v>
      </c>
      <c r="C2234">
        <v>200</v>
      </c>
      <c r="D2234">
        <v>4</v>
      </c>
      <c r="E2234">
        <v>4</v>
      </c>
      <c r="F2234">
        <v>0</v>
      </c>
      <c r="G2234" t="s">
        <v>18</v>
      </c>
      <c r="H2234" t="s">
        <v>52</v>
      </c>
      <c r="I2234" t="s">
        <v>1678</v>
      </c>
      <c r="J2234" t="s">
        <v>55</v>
      </c>
      <c r="K2234" t="s">
        <v>1679</v>
      </c>
      <c r="M2234" t="s">
        <v>6</v>
      </c>
    </row>
    <row r="2235" spans="2:13" hidden="1">
      <c r="B2235">
        <v>2233</v>
      </c>
      <c r="C2235">
        <v>201</v>
      </c>
      <c r="D2235">
        <v>4</v>
      </c>
      <c r="E2235">
        <v>0</v>
      </c>
      <c r="F2235">
        <v>0</v>
      </c>
      <c r="G2235" t="s">
        <v>18</v>
      </c>
      <c r="H2235" t="s">
        <v>52</v>
      </c>
      <c r="I2235" t="s">
        <v>1680</v>
      </c>
      <c r="J2235" t="s">
        <v>54</v>
      </c>
      <c r="K2235" t="s">
        <v>1680</v>
      </c>
      <c r="M2235" t="s">
        <v>6</v>
      </c>
    </row>
    <row r="2236" spans="2:13" hidden="1">
      <c r="B2236">
        <v>2234</v>
      </c>
      <c r="C2236">
        <v>201</v>
      </c>
      <c r="D2236">
        <v>4</v>
      </c>
      <c r="E2236">
        <v>1</v>
      </c>
      <c r="F2236">
        <v>0</v>
      </c>
      <c r="G2236" t="s">
        <v>18</v>
      </c>
      <c r="H2236" t="s">
        <v>52</v>
      </c>
      <c r="I2236" t="s">
        <v>1680</v>
      </c>
      <c r="J2236" t="s">
        <v>55</v>
      </c>
      <c r="K2236" t="s">
        <v>62</v>
      </c>
      <c r="M2236" t="s">
        <v>6</v>
      </c>
    </row>
    <row r="2237" spans="2:13" hidden="1">
      <c r="B2237">
        <v>2235</v>
      </c>
      <c r="C2237">
        <v>201</v>
      </c>
      <c r="D2237">
        <v>4</v>
      </c>
      <c r="E2237">
        <v>2</v>
      </c>
      <c r="F2237">
        <v>0</v>
      </c>
      <c r="G2237" t="s">
        <v>18</v>
      </c>
      <c r="H2237" t="s">
        <v>52</v>
      </c>
      <c r="I2237" t="s">
        <v>1680</v>
      </c>
      <c r="J2237" t="s">
        <v>55</v>
      </c>
      <c r="K2237" t="s">
        <v>63</v>
      </c>
      <c r="M2237" t="s">
        <v>6</v>
      </c>
    </row>
    <row r="2238" spans="2:13" hidden="1">
      <c r="B2238">
        <v>2236</v>
      </c>
      <c r="C2238">
        <v>201</v>
      </c>
      <c r="D2238">
        <v>4</v>
      </c>
      <c r="E2238">
        <v>3</v>
      </c>
      <c r="F2238">
        <v>0</v>
      </c>
      <c r="G2238" t="s">
        <v>18</v>
      </c>
      <c r="H2238" t="s">
        <v>52</v>
      </c>
      <c r="I2238" t="s">
        <v>1680</v>
      </c>
      <c r="J2238" t="s">
        <v>64</v>
      </c>
      <c r="K2238" t="s">
        <v>65</v>
      </c>
      <c r="M2238" t="s">
        <v>6</v>
      </c>
    </row>
    <row r="2239" spans="2:13" hidden="1">
      <c r="B2239">
        <v>2237</v>
      </c>
      <c r="C2239">
        <v>201</v>
      </c>
      <c r="D2239">
        <v>4</v>
      </c>
      <c r="E2239">
        <v>4</v>
      </c>
      <c r="F2239">
        <v>0</v>
      </c>
      <c r="G2239" t="s">
        <v>18</v>
      </c>
      <c r="H2239" t="s">
        <v>52</v>
      </c>
      <c r="I2239" t="s">
        <v>1680</v>
      </c>
      <c r="J2239" t="s">
        <v>55</v>
      </c>
      <c r="K2239" t="s">
        <v>1681</v>
      </c>
      <c r="M2239" t="s">
        <v>6</v>
      </c>
    </row>
    <row r="2240" spans="2:13" hidden="1">
      <c r="B2240">
        <v>2238</v>
      </c>
      <c r="C2240">
        <v>202</v>
      </c>
      <c r="D2240">
        <v>4</v>
      </c>
      <c r="E2240">
        <v>0</v>
      </c>
      <c r="F2240">
        <v>0</v>
      </c>
      <c r="G2240" t="s">
        <v>18</v>
      </c>
      <c r="H2240" t="s">
        <v>52</v>
      </c>
      <c r="I2240" t="s">
        <v>1682</v>
      </c>
      <c r="J2240" t="s">
        <v>54</v>
      </c>
      <c r="K2240" t="s">
        <v>1682</v>
      </c>
      <c r="M2240" t="s">
        <v>6</v>
      </c>
    </row>
    <row r="2241" spans="2:13" hidden="1">
      <c r="B2241">
        <v>2239</v>
      </c>
      <c r="C2241">
        <v>202</v>
      </c>
      <c r="D2241">
        <v>4</v>
      </c>
      <c r="E2241">
        <v>1</v>
      </c>
      <c r="F2241">
        <v>0</v>
      </c>
      <c r="G2241" t="s">
        <v>18</v>
      </c>
      <c r="H2241" t="s">
        <v>52</v>
      </c>
      <c r="I2241" t="s">
        <v>1682</v>
      </c>
      <c r="J2241" t="s">
        <v>55</v>
      </c>
      <c r="K2241" t="s">
        <v>62</v>
      </c>
      <c r="M2241" t="s">
        <v>6</v>
      </c>
    </row>
    <row r="2242" spans="2:13" hidden="1">
      <c r="B2242">
        <v>2240</v>
      </c>
      <c r="C2242">
        <v>202</v>
      </c>
      <c r="D2242">
        <v>4</v>
      </c>
      <c r="E2242">
        <v>2</v>
      </c>
      <c r="F2242">
        <v>0</v>
      </c>
      <c r="G2242" t="s">
        <v>18</v>
      </c>
      <c r="H2242" t="s">
        <v>52</v>
      </c>
      <c r="I2242" t="s">
        <v>1682</v>
      </c>
      <c r="J2242" t="s">
        <v>55</v>
      </c>
      <c r="K2242" t="s">
        <v>63</v>
      </c>
      <c r="M2242" t="s">
        <v>6</v>
      </c>
    </row>
    <row r="2243" spans="2:13" hidden="1">
      <c r="B2243">
        <v>2241</v>
      </c>
      <c r="C2243">
        <v>202</v>
      </c>
      <c r="D2243">
        <v>4</v>
      </c>
      <c r="E2243">
        <v>3</v>
      </c>
      <c r="F2243">
        <v>0</v>
      </c>
      <c r="G2243" t="s">
        <v>18</v>
      </c>
      <c r="H2243" t="s">
        <v>52</v>
      </c>
      <c r="I2243" t="s">
        <v>1682</v>
      </c>
      <c r="J2243" t="s">
        <v>64</v>
      </c>
      <c r="K2243" t="s">
        <v>65</v>
      </c>
      <c r="M2243" t="s">
        <v>6</v>
      </c>
    </row>
    <row r="2244" spans="2:13" hidden="1">
      <c r="B2244">
        <v>2242</v>
      </c>
      <c r="C2244">
        <v>202</v>
      </c>
      <c r="D2244">
        <v>4</v>
      </c>
      <c r="E2244">
        <v>4</v>
      </c>
      <c r="F2244">
        <v>0</v>
      </c>
      <c r="G2244" t="s">
        <v>18</v>
      </c>
      <c r="H2244" t="s">
        <v>52</v>
      </c>
      <c r="I2244" t="s">
        <v>1682</v>
      </c>
      <c r="J2244" t="s">
        <v>55</v>
      </c>
      <c r="K2244" t="s">
        <v>1683</v>
      </c>
      <c r="M2244" t="s">
        <v>6</v>
      </c>
    </row>
    <row r="2245" spans="2:13" hidden="1">
      <c r="B2245">
        <v>2243</v>
      </c>
      <c r="C2245">
        <v>203</v>
      </c>
      <c r="D2245">
        <v>12</v>
      </c>
      <c r="E2245">
        <v>0</v>
      </c>
      <c r="F2245">
        <v>0</v>
      </c>
      <c r="G2245" t="s">
        <v>18</v>
      </c>
      <c r="H2245" t="s">
        <v>52</v>
      </c>
      <c r="I2245" t="s">
        <v>1684</v>
      </c>
      <c r="J2245" t="s">
        <v>54</v>
      </c>
      <c r="K2245" t="s">
        <v>1684</v>
      </c>
      <c r="M2245" t="s">
        <v>6</v>
      </c>
    </row>
    <row r="2246" spans="2:13" hidden="1">
      <c r="B2246">
        <v>2244</v>
      </c>
      <c r="C2246">
        <v>203</v>
      </c>
      <c r="D2246">
        <v>12</v>
      </c>
      <c r="E2246">
        <v>1</v>
      </c>
      <c r="F2246">
        <v>0</v>
      </c>
      <c r="G2246" t="s">
        <v>18</v>
      </c>
      <c r="H2246" t="s">
        <v>52</v>
      </c>
      <c r="I2246" t="s">
        <v>1684</v>
      </c>
      <c r="J2246" t="s">
        <v>55</v>
      </c>
      <c r="K2246" t="s">
        <v>1685</v>
      </c>
      <c r="M2246" t="s">
        <v>6</v>
      </c>
    </row>
    <row r="2247" spans="2:13" hidden="1">
      <c r="B2247">
        <v>2245</v>
      </c>
      <c r="C2247">
        <v>203</v>
      </c>
      <c r="D2247">
        <v>12</v>
      </c>
      <c r="E2247">
        <v>2</v>
      </c>
      <c r="F2247">
        <v>0</v>
      </c>
      <c r="G2247" t="s">
        <v>18</v>
      </c>
      <c r="H2247" t="s">
        <v>52</v>
      </c>
      <c r="I2247" t="s">
        <v>1684</v>
      </c>
      <c r="J2247" t="s">
        <v>99</v>
      </c>
      <c r="K2247" t="s">
        <v>1686</v>
      </c>
      <c r="M2247" t="s">
        <v>6</v>
      </c>
    </row>
    <row r="2248" spans="2:13" hidden="1">
      <c r="B2248">
        <v>2246</v>
      </c>
      <c r="C2248">
        <v>203</v>
      </c>
      <c r="D2248">
        <v>12</v>
      </c>
      <c r="E2248">
        <v>3</v>
      </c>
      <c r="F2248">
        <v>0</v>
      </c>
      <c r="G2248" t="s">
        <v>18</v>
      </c>
      <c r="H2248" t="s">
        <v>52</v>
      </c>
      <c r="I2248" t="s">
        <v>1684</v>
      </c>
      <c r="J2248" t="s">
        <v>99</v>
      </c>
      <c r="K2248" t="s">
        <v>1687</v>
      </c>
      <c r="M2248" t="s">
        <v>6</v>
      </c>
    </row>
    <row r="2249" spans="2:13" hidden="1">
      <c r="B2249">
        <v>2247</v>
      </c>
      <c r="C2249">
        <v>203</v>
      </c>
      <c r="D2249">
        <v>12</v>
      </c>
      <c r="E2249">
        <v>4</v>
      </c>
      <c r="F2249">
        <v>0</v>
      </c>
      <c r="G2249" t="s">
        <v>18</v>
      </c>
      <c r="H2249" t="s">
        <v>52</v>
      </c>
      <c r="I2249" t="s">
        <v>1684</v>
      </c>
      <c r="J2249" t="s">
        <v>99</v>
      </c>
      <c r="K2249" t="s">
        <v>1688</v>
      </c>
      <c r="M2249" t="s">
        <v>6</v>
      </c>
    </row>
    <row r="2250" spans="2:13" hidden="1">
      <c r="B2250">
        <v>2248</v>
      </c>
      <c r="C2250">
        <v>203</v>
      </c>
      <c r="D2250">
        <v>12</v>
      </c>
      <c r="E2250">
        <v>5</v>
      </c>
      <c r="F2250">
        <v>0</v>
      </c>
      <c r="G2250" t="s">
        <v>18</v>
      </c>
      <c r="H2250" t="s">
        <v>52</v>
      </c>
      <c r="I2250" t="s">
        <v>1684</v>
      </c>
      <c r="J2250" t="s">
        <v>99</v>
      </c>
      <c r="K2250" t="s">
        <v>1689</v>
      </c>
      <c r="M2250" t="s">
        <v>6</v>
      </c>
    </row>
    <row r="2251" spans="2:13" hidden="1">
      <c r="B2251">
        <v>2249</v>
      </c>
      <c r="C2251">
        <v>203</v>
      </c>
      <c r="D2251">
        <v>12</v>
      </c>
      <c r="E2251">
        <v>6</v>
      </c>
      <c r="F2251">
        <v>0</v>
      </c>
      <c r="G2251" t="s">
        <v>18</v>
      </c>
      <c r="H2251" t="s">
        <v>52</v>
      </c>
      <c r="I2251" t="s">
        <v>1684</v>
      </c>
      <c r="J2251" t="s">
        <v>55</v>
      </c>
      <c r="K2251" t="s">
        <v>1690</v>
      </c>
      <c r="M2251" t="s">
        <v>6</v>
      </c>
    </row>
    <row r="2252" spans="2:13" hidden="1">
      <c r="B2252">
        <v>2250</v>
      </c>
      <c r="C2252">
        <v>203</v>
      </c>
      <c r="D2252">
        <v>12</v>
      </c>
      <c r="E2252">
        <v>7</v>
      </c>
      <c r="F2252">
        <v>0</v>
      </c>
      <c r="G2252" t="s">
        <v>18</v>
      </c>
      <c r="H2252" t="s">
        <v>52</v>
      </c>
      <c r="I2252" t="s">
        <v>1684</v>
      </c>
      <c r="J2252" t="s">
        <v>55</v>
      </c>
      <c r="K2252" t="s">
        <v>1691</v>
      </c>
      <c r="M2252" t="s">
        <v>6</v>
      </c>
    </row>
    <row r="2253" spans="2:13" hidden="1">
      <c r="B2253">
        <v>2251</v>
      </c>
      <c r="C2253">
        <v>203</v>
      </c>
      <c r="D2253">
        <v>12</v>
      </c>
      <c r="E2253">
        <v>8</v>
      </c>
      <c r="F2253">
        <v>0</v>
      </c>
      <c r="G2253" t="s">
        <v>18</v>
      </c>
      <c r="H2253" t="s">
        <v>52</v>
      </c>
      <c r="I2253" t="s">
        <v>1684</v>
      </c>
      <c r="J2253" t="s">
        <v>99</v>
      </c>
      <c r="K2253" t="s">
        <v>1692</v>
      </c>
      <c r="M2253" t="s">
        <v>6</v>
      </c>
    </row>
    <row r="2254" spans="2:13" hidden="1">
      <c r="B2254">
        <v>2252</v>
      </c>
      <c r="C2254">
        <v>203</v>
      </c>
      <c r="D2254">
        <v>12</v>
      </c>
      <c r="E2254">
        <v>9</v>
      </c>
      <c r="F2254">
        <v>0</v>
      </c>
      <c r="G2254" t="s">
        <v>18</v>
      </c>
      <c r="H2254" t="s">
        <v>52</v>
      </c>
      <c r="I2254" t="s">
        <v>1684</v>
      </c>
      <c r="J2254" t="s">
        <v>55</v>
      </c>
      <c r="K2254" t="s">
        <v>1690</v>
      </c>
      <c r="M2254" t="s">
        <v>6</v>
      </c>
    </row>
    <row r="2255" spans="2:13" hidden="1">
      <c r="B2255">
        <v>2253</v>
      </c>
      <c r="C2255">
        <v>203</v>
      </c>
      <c r="D2255">
        <v>12</v>
      </c>
      <c r="E2255">
        <v>10</v>
      </c>
      <c r="F2255">
        <v>0</v>
      </c>
      <c r="G2255" t="s">
        <v>18</v>
      </c>
      <c r="H2255" t="s">
        <v>52</v>
      </c>
      <c r="I2255" t="s">
        <v>1684</v>
      </c>
      <c r="J2255" t="s">
        <v>55</v>
      </c>
      <c r="K2255" t="s">
        <v>63</v>
      </c>
      <c r="M2255" t="s">
        <v>6</v>
      </c>
    </row>
    <row r="2256" spans="2:13" hidden="1">
      <c r="B2256">
        <v>2254</v>
      </c>
      <c r="C2256">
        <v>203</v>
      </c>
      <c r="D2256">
        <v>12</v>
      </c>
      <c r="E2256">
        <v>11</v>
      </c>
      <c r="F2256">
        <v>0</v>
      </c>
      <c r="G2256" t="s">
        <v>18</v>
      </c>
      <c r="H2256" t="s">
        <v>52</v>
      </c>
      <c r="I2256" t="s">
        <v>1684</v>
      </c>
      <c r="J2256" t="s">
        <v>64</v>
      </c>
      <c r="K2256" t="s">
        <v>65</v>
      </c>
      <c r="M2256" t="s">
        <v>6</v>
      </c>
    </row>
    <row r="2257" spans="2:13" hidden="1">
      <c r="B2257">
        <v>2255</v>
      </c>
      <c r="C2257">
        <v>203</v>
      </c>
      <c r="D2257">
        <v>12</v>
      </c>
      <c r="E2257">
        <v>12</v>
      </c>
      <c r="F2257">
        <v>0</v>
      </c>
      <c r="G2257" t="s">
        <v>18</v>
      </c>
      <c r="H2257" t="s">
        <v>52</v>
      </c>
      <c r="I2257" t="s">
        <v>1684</v>
      </c>
      <c r="J2257" t="s">
        <v>55</v>
      </c>
      <c r="K2257" t="s">
        <v>1679</v>
      </c>
      <c r="M2257" t="s">
        <v>6</v>
      </c>
    </row>
    <row r="2258" spans="2:13" hidden="1">
      <c r="B2258">
        <v>2256</v>
      </c>
      <c r="C2258">
        <v>204</v>
      </c>
      <c r="D2258">
        <v>4</v>
      </c>
      <c r="E2258">
        <v>0</v>
      </c>
      <c r="F2258">
        <v>0</v>
      </c>
      <c r="G2258" t="s">
        <v>18</v>
      </c>
      <c r="H2258" t="s">
        <v>52</v>
      </c>
      <c r="I2258" t="s">
        <v>1693</v>
      </c>
      <c r="J2258" t="s">
        <v>54</v>
      </c>
      <c r="K2258" t="s">
        <v>1693</v>
      </c>
      <c r="M2258" t="s">
        <v>6</v>
      </c>
    </row>
    <row r="2259" spans="2:13" hidden="1">
      <c r="B2259">
        <v>2257</v>
      </c>
      <c r="C2259">
        <v>204</v>
      </c>
      <c r="D2259">
        <v>4</v>
      </c>
      <c r="E2259">
        <v>1</v>
      </c>
      <c r="F2259">
        <v>0</v>
      </c>
      <c r="G2259" t="s">
        <v>18</v>
      </c>
      <c r="H2259" t="s">
        <v>52</v>
      </c>
      <c r="I2259" t="s">
        <v>1693</v>
      </c>
      <c r="J2259" t="s">
        <v>55</v>
      </c>
      <c r="K2259" t="s">
        <v>62</v>
      </c>
      <c r="M2259" t="s">
        <v>6</v>
      </c>
    </row>
    <row r="2260" spans="2:13" hidden="1">
      <c r="B2260">
        <v>2258</v>
      </c>
      <c r="C2260">
        <v>204</v>
      </c>
      <c r="D2260">
        <v>4</v>
      </c>
      <c r="E2260">
        <v>2</v>
      </c>
      <c r="F2260">
        <v>0</v>
      </c>
      <c r="G2260" t="s">
        <v>18</v>
      </c>
      <c r="H2260" t="s">
        <v>52</v>
      </c>
      <c r="I2260" t="s">
        <v>1693</v>
      </c>
      <c r="J2260" t="s">
        <v>55</v>
      </c>
      <c r="K2260" t="s">
        <v>63</v>
      </c>
      <c r="M2260" t="s">
        <v>6</v>
      </c>
    </row>
    <row r="2261" spans="2:13" hidden="1">
      <c r="B2261">
        <v>2259</v>
      </c>
      <c r="C2261">
        <v>204</v>
      </c>
      <c r="D2261">
        <v>4</v>
      </c>
      <c r="E2261">
        <v>3</v>
      </c>
      <c r="F2261">
        <v>0</v>
      </c>
      <c r="G2261" t="s">
        <v>18</v>
      </c>
      <c r="H2261" t="s">
        <v>52</v>
      </c>
      <c r="I2261" t="s">
        <v>1693</v>
      </c>
      <c r="J2261" t="s">
        <v>64</v>
      </c>
      <c r="K2261" t="s">
        <v>65</v>
      </c>
      <c r="M2261" t="s">
        <v>6</v>
      </c>
    </row>
    <row r="2262" spans="2:13" hidden="1">
      <c r="B2262">
        <v>2260</v>
      </c>
      <c r="C2262">
        <v>204</v>
      </c>
      <c r="D2262">
        <v>4</v>
      </c>
      <c r="E2262">
        <v>4</v>
      </c>
      <c r="F2262">
        <v>0</v>
      </c>
      <c r="G2262" t="s">
        <v>18</v>
      </c>
      <c r="H2262" t="s">
        <v>52</v>
      </c>
      <c r="I2262" t="s">
        <v>1693</v>
      </c>
      <c r="J2262" t="s">
        <v>55</v>
      </c>
      <c r="K2262" t="s">
        <v>1246</v>
      </c>
      <c r="M2262" t="s">
        <v>6</v>
      </c>
    </row>
    <row r="2263" spans="2:13" hidden="1">
      <c r="B2263">
        <v>2261</v>
      </c>
      <c r="C2263">
        <v>205</v>
      </c>
      <c r="D2263">
        <v>8</v>
      </c>
      <c r="E2263">
        <v>0</v>
      </c>
      <c r="F2263">
        <v>0</v>
      </c>
      <c r="G2263" t="s">
        <v>18</v>
      </c>
      <c r="H2263" t="s">
        <v>9</v>
      </c>
      <c r="I2263" t="s">
        <v>1694</v>
      </c>
      <c r="J2263" t="s">
        <v>54</v>
      </c>
      <c r="K2263" t="s">
        <v>1694</v>
      </c>
      <c r="M2263" t="s">
        <v>6</v>
      </c>
    </row>
    <row r="2264" spans="2:13" hidden="1">
      <c r="B2264">
        <v>2262</v>
      </c>
      <c r="C2264">
        <v>205</v>
      </c>
      <c r="D2264">
        <v>8</v>
      </c>
      <c r="E2264">
        <v>1</v>
      </c>
      <c r="F2264">
        <v>0</v>
      </c>
      <c r="G2264" t="s">
        <v>18</v>
      </c>
      <c r="H2264" t="s">
        <v>9</v>
      </c>
      <c r="I2264" t="s">
        <v>1694</v>
      </c>
      <c r="J2264" t="s">
        <v>269</v>
      </c>
      <c r="K2264" t="s">
        <v>1695</v>
      </c>
      <c r="M2264" t="s">
        <v>6</v>
      </c>
    </row>
    <row r="2265" spans="2:13" hidden="1">
      <c r="B2265">
        <v>2263</v>
      </c>
      <c r="C2265">
        <v>205</v>
      </c>
      <c r="D2265">
        <v>8</v>
      </c>
      <c r="E2265">
        <v>2</v>
      </c>
      <c r="F2265">
        <v>0</v>
      </c>
      <c r="G2265" t="s">
        <v>18</v>
      </c>
      <c r="H2265" t="s">
        <v>9</v>
      </c>
      <c r="I2265" t="s">
        <v>1694</v>
      </c>
      <c r="J2265" t="s">
        <v>1696</v>
      </c>
      <c r="K2265" t="s">
        <v>1697</v>
      </c>
      <c r="M2265" t="s">
        <v>6</v>
      </c>
    </row>
    <row r="2266" spans="2:13" hidden="1">
      <c r="B2266">
        <v>2264</v>
      </c>
      <c r="C2266">
        <v>205</v>
      </c>
      <c r="D2266">
        <v>8</v>
      </c>
      <c r="E2266">
        <v>3</v>
      </c>
      <c r="F2266">
        <v>0</v>
      </c>
      <c r="G2266" t="s">
        <v>18</v>
      </c>
      <c r="H2266" t="s">
        <v>9</v>
      </c>
      <c r="I2266" t="s">
        <v>1694</v>
      </c>
      <c r="J2266" t="s">
        <v>269</v>
      </c>
      <c r="K2266" t="s">
        <v>1698</v>
      </c>
      <c r="M2266" t="s">
        <v>6</v>
      </c>
    </row>
    <row r="2267" spans="2:13" hidden="1">
      <c r="B2267">
        <v>2265</v>
      </c>
      <c r="C2267">
        <v>205</v>
      </c>
      <c r="D2267">
        <v>8</v>
      </c>
      <c r="E2267">
        <v>4</v>
      </c>
      <c r="F2267">
        <v>0</v>
      </c>
      <c r="G2267" t="s">
        <v>18</v>
      </c>
      <c r="H2267" t="s">
        <v>9</v>
      </c>
      <c r="I2267" t="s">
        <v>1694</v>
      </c>
      <c r="J2267" t="s">
        <v>269</v>
      </c>
      <c r="K2267" t="s">
        <v>1699</v>
      </c>
      <c r="M2267" t="s">
        <v>6</v>
      </c>
    </row>
    <row r="2268" spans="2:13" hidden="1">
      <c r="B2268">
        <v>2266</v>
      </c>
      <c r="C2268">
        <v>205</v>
      </c>
      <c r="D2268">
        <v>8</v>
      </c>
      <c r="E2268">
        <v>5</v>
      </c>
      <c r="F2268">
        <v>0</v>
      </c>
      <c r="G2268" t="s">
        <v>18</v>
      </c>
      <c r="H2268" t="s">
        <v>9</v>
      </c>
      <c r="I2268" t="s">
        <v>1694</v>
      </c>
      <c r="J2268" t="s">
        <v>269</v>
      </c>
      <c r="K2268" t="s">
        <v>1700</v>
      </c>
      <c r="M2268" t="s">
        <v>6</v>
      </c>
    </row>
    <row r="2269" spans="2:13" hidden="1">
      <c r="B2269">
        <v>2267</v>
      </c>
      <c r="C2269">
        <v>205</v>
      </c>
      <c r="D2269">
        <v>8</v>
      </c>
      <c r="E2269">
        <v>6</v>
      </c>
      <c r="F2269">
        <v>0</v>
      </c>
      <c r="G2269" t="s">
        <v>18</v>
      </c>
      <c r="H2269" t="s">
        <v>9</v>
      </c>
      <c r="I2269" t="s">
        <v>1694</v>
      </c>
      <c r="J2269" t="s">
        <v>269</v>
      </c>
      <c r="K2269" t="s">
        <v>1701</v>
      </c>
      <c r="M2269" t="s">
        <v>6</v>
      </c>
    </row>
    <row r="2270" spans="2:13" hidden="1">
      <c r="B2270">
        <v>2268</v>
      </c>
      <c r="C2270">
        <v>205</v>
      </c>
      <c r="D2270">
        <v>8</v>
      </c>
      <c r="E2270">
        <v>7</v>
      </c>
      <c r="F2270">
        <v>0</v>
      </c>
      <c r="G2270" t="s">
        <v>18</v>
      </c>
      <c r="H2270" t="s">
        <v>9</v>
      </c>
      <c r="I2270" t="s">
        <v>1694</v>
      </c>
      <c r="J2270" t="s">
        <v>55</v>
      </c>
      <c r="K2270" t="s">
        <v>93</v>
      </c>
      <c r="M2270" t="s">
        <v>6</v>
      </c>
    </row>
    <row r="2271" spans="2:13" hidden="1">
      <c r="B2271">
        <v>2269</v>
      </c>
      <c r="C2271">
        <v>205</v>
      </c>
      <c r="D2271">
        <v>8</v>
      </c>
      <c r="E2271">
        <v>8</v>
      </c>
      <c r="F2271">
        <v>0</v>
      </c>
      <c r="G2271" t="s">
        <v>18</v>
      </c>
      <c r="H2271" t="s">
        <v>9</v>
      </c>
      <c r="I2271" t="s">
        <v>1694</v>
      </c>
      <c r="J2271" t="s">
        <v>64</v>
      </c>
      <c r="K2271" t="s">
        <v>94</v>
      </c>
      <c r="M2271" t="s">
        <v>6</v>
      </c>
    </row>
    <row r="2272" spans="2:13" hidden="1">
      <c r="B2272">
        <v>2270</v>
      </c>
      <c r="C2272">
        <v>206</v>
      </c>
      <c r="D2272">
        <v>14</v>
      </c>
      <c r="E2272">
        <v>0</v>
      </c>
      <c r="F2272">
        <v>0</v>
      </c>
      <c r="G2272" t="s">
        <v>18</v>
      </c>
      <c r="H2272" t="s">
        <v>9</v>
      </c>
      <c r="I2272" t="s">
        <v>1702</v>
      </c>
      <c r="J2272" t="s">
        <v>54</v>
      </c>
      <c r="K2272" t="s">
        <v>1702</v>
      </c>
      <c r="M2272" t="s">
        <v>6</v>
      </c>
    </row>
    <row r="2273" spans="2:13" hidden="1">
      <c r="B2273">
        <v>2271</v>
      </c>
      <c r="C2273">
        <v>206</v>
      </c>
      <c r="D2273">
        <v>14</v>
      </c>
      <c r="E2273">
        <v>1</v>
      </c>
      <c r="F2273">
        <v>0</v>
      </c>
      <c r="G2273" t="s">
        <v>18</v>
      </c>
      <c r="H2273" t="s">
        <v>9</v>
      </c>
      <c r="I2273" t="s">
        <v>1702</v>
      </c>
      <c r="J2273" t="s">
        <v>55</v>
      </c>
      <c r="K2273" t="s">
        <v>1703</v>
      </c>
      <c r="M2273" t="s">
        <v>6</v>
      </c>
    </row>
    <row r="2274" spans="2:13" hidden="1">
      <c r="B2274">
        <v>2272</v>
      </c>
      <c r="C2274">
        <v>206</v>
      </c>
      <c r="D2274">
        <v>14</v>
      </c>
      <c r="E2274">
        <v>2</v>
      </c>
      <c r="F2274">
        <v>0</v>
      </c>
      <c r="G2274" t="s">
        <v>18</v>
      </c>
      <c r="H2274" t="s">
        <v>9</v>
      </c>
      <c r="I2274" t="s">
        <v>1702</v>
      </c>
      <c r="J2274" t="s">
        <v>55</v>
      </c>
      <c r="K2274" t="s">
        <v>1704</v>
      </c>
      <c r="M2274" t="s">
        <v>6</v>
      </c>
    </row>
    <row r="2275" spans="2:13" hidden="1">
      <c r="B2275">
        <v>2273</v>
      </c>
      <c r="C2275">
        <v>206</v>
      </c>
      <c r="D2275">
        <v>14</v>
      </c>
      <c r="E2275">
        <v>3</v>
      </c>
      <c r="F2275">
        <v>0</v>
      </c>
      <c r="G2275" t="s">
        <v>18</v>
      </c>
      <c r="H2275" t="s">
        <v>9</v>
      </c>
      <c r="I2275" t="s">
        <v>1702</v>
      </c>
      <c r="J2275" t="s">
        <v>55</v>
      </c>
      <c r="K2275" t="s">
        <v>1705</v>
      </c>
      <c r="M2275" t="s">
        <v>6</v>
      </c>
    </row>
    <row r="2276" spans="2:13" hidden="1">
      <c r="B2276">
        <v>2274</v>
      </c>
      <c r="C2276">
        <v>206</v>
      </c>
      <c r="D2276">
        <v>14</v>
      </c>
      <c r="E2276">
        <v>4</v>
      </c>
      <c r="F2276">
        <v>0</v>
      </c>
      <c r="G2276" t="s">
        <v>18</v>
      </c>
      <c r="H2276" t="s">
        <v>9</v>
      </c>
      <c r="I2276" t="s">
        <v>1702</v>
      </c>
      <c r="J2276" t="s">
        <v>55</v>
      </c>
      <c r="K2276" t="s">
        <v>1706</v>
      </c>
      <c r="M2276" t="s">
        <v>6</v>
      </c>
    </row>
    <row r="2277" spans="2:13" hidden="1">
      <c r="B2277">
        <v>2275</v>
      </c>
      <c r="C2277">
        <v>206</v>
      </c>
      <c r="D2277">
        <v>14</v>
      </c>
      <c r="E2277">
        <v>5</v>
      </c>
      <c r="F2277">
        <v>0</v>
      </c>
      <c r="G2277" t="s">
        <v>18</v>
      </c>
      <c r="H2277" t="s">
        <v>9</v>
      </c>
      <c r="I2277" t="s">
        <v>1702</v>
      </c>
      <c r="J2277" t="s">
        <v>55</v>
      </c>
      <c r="K2277" t="s">
        <v>1707</v>
      </c>
      <c r="M2277" t="s">
        <v>6</v>
      </c>
    </row>
    <row r="2278" spans="2:13" hidden="1">
      <c r="B2278">
        <v>2276</v>
      </c>
      <c r="C2278">
        <v>206</v>
      </c>
      <c r="D2278">
        <v>14</v>
      </c>
      <c r="E2278">
        <v>6</v>
      </c>
      <c r="F2278">
        <v>0</v>
      </c>
      <c r="G2278" t="s">
        <v>18</v>
      </c>
      <c r="H2278" t="s">
        <v>9</v>
      </c>
      <c r="I2278" t="s">
        <v>1702</v>
      </c>
      <c r="J2278" t="s">
        <v>55</v>
      </c>
      <c r="K2278" t="s">
        <v>1708</v>
      </c>
      <c r="M2278" t="s">
        <v>6</v>
      </c>
    </row>
    <row r="2279" spans="2:13" hidden="1">
      <c r="B2279">
        <v>2277</v>
      </c>
      <c r="C2279">
        <v>206</v>
      </c>
      <c r="D2279">
        <v>14</v>
      </c>
      <c r="E2279">
        <v>7</v>
      </c>
      <c r="F2279">
        <v>0</v>
      </c>
      <c r="G2279" t="s">
        <v>18</v>
      </c>
      <c r="H2279" t="s">
        <v>9</v>
      </c>
      <c r="I2279" t="s">
        <v>1702</v>
      </c>
      <c r="J2279" t="s">
        <v>55</v>
      </c>
      <c r="K2279" t="s">
        <v>1709</v>
      </c>
      <c r="M2279" t="s">
        <v>6</v>
      </c>
    </row>
    <row r="2280" spans="2:13" hidden="1">
      <c r="B2280">
        <v>2278</v>
      </c>
      <c r="C2280">
        <v>206</v>
      </c>
      <c r="D2280">
        <v>14</v>
      </c>
      <c r="E2280">
        <v>8</v>
      </c>
      <c r="F2280">
        <v>0</v>
      </c>
      <c r="G2280" t="s">
        <v>18</v>
      </c>
      <c r="H2280" t="s">
        <v>9</v>
      </c>
      <c r="I2280" t="s">
        <v>1702</v>
      </c>
      <c r="J2280" t="s">
        <v>55</v>
      </c>
      <c r="K2280" t="s">
        <v>1710</v>
      </c>
      <c r="M2280" t="s">
        <v>6</v>
      </c>
    </row>
    <row r="2281" spans="2:13" hidden="1">
      <c r="B2281">
        <v>2279</v>
      </c>
      <c r="C2281">
        <v>206</v>
      </c>
      <c r="D2281">
        <v>14</v>
      </c>
      <c r="E2281">
        <v>9</v>
      </c>
      <c r="F2281">
        <v>0</v>
      </c>
      <c r="G2281" t="s">
        <v>18</v>
      </c>
      <c r="H2281" t="s">
        <v>9</v>
      </c>
      <c r="I2281" t="s">
        <v>1702</v>
      </c>
      <c r="J2281" t="s">
        <v>55</v>
      </c>
      <c r="K2281" t="s">
        <v>1711</v>
      </c>
      <c r="M2281" t="s">
        <v>6</v>
      </c>
    </row>
    <row r="2282" spans="2:13" hidden="1">
      <c r="B2282">
        <v>2280</v>
      </c>
      <c r="C2282">
        <v>206</v>
      </c>
      <c r="D2282">
        <v>14</v>
      </c>
      <c r="E2282">
        <v>10</v>
      </c>
      <c r="F2282">
        <v>0</v>
      </c>
      <c r="G2282" t="s">
        <v>18</v>
      </c>
      <c r="H2282" t="s">
        <v>9</v>
      </c>
      <c r="I2282" t="s">
        <v>1702</v>
      </c>
      <c r="J2282" t="s">
        <v>55</v>
      </c>
      <c r="K2282" t="s">
        <v>1712</v>
      </c>
      <c r="M2282" t="s">
        <v>6</v>
      </c>
    </row>
    <row r="2283" spans="2:13" hidden="1">
      <c r="B2283">
        <v>2281</v>
      </c>
      <c r="C2283">
        <v>206</v>
      </c>
      <c r="D2283">
        <v>14</v>
      </c>
      <c r="E2283">
        <v>11</v>
      </c>
      <c r="F2283">
        <v>0</v>
      </c>
      <c r="G2283" t="s">
        <v>18</v>
      </c>
      <c r="H2283" t="s">
        <v>9</v>
      </c>
      <c r="I2283" t="s">
        <v>1702</v>
      </c>
      <c r="J2283" t="s">
        <v>55</v>
      </c>
      <c r="K2283" t="s">
        <v>1713</v>
      </c>
      <c r="M2283" t="s">
        <v>6</v>
      </c>
    </row>
    <row r="2284" spans="2:13" hidden="1">
      <c r="B2284">
        <v>2282</v>
      </c>
      <c r="C2284">
        <v>206</v>
      </c>
      <c r="D2284">
        <v>14</v>
      </c>
      <c r="E2284">
        <v>12</v>
      </c>
      <c r="F2284">
        <v>0</v>
      </c>
      <c r="G2284" t="s">
        <v>18</v>
      </c>
      <c r="H2284" t="s">
        <v>9</v>
      </c>
      <c r="I2284" t="s">
        <v>1702</v>
      </c>
      <c r="J2284" t="s">
        <v>55</v>
      </c>
      <c r="K2284" t="s">
        <v>1714</v>
      </c>
      <c r="M2284" t="s">
        <v>6</v>
      </c>
    </row>
    <row r="2285" spans="2:13" hidden="1">
      <c r="B2285">
        <v>2283</v>
      </c>
      <c r="C2285">
        <v>206</v>
      </c>
      <c r="D2285">
        <v>14</v>
      </c>
      <c r="E2285">
        <v>13</v>
      </c>
      <c r="F2285">
        <v>0</v>
      </c>
      <c r="G2285" t="s">
        <v>18</v>
      </c>
      <c r="H2285" t="s">
        <v>9</v>
      </c>
      <c r="I2285" t="s">
        <v>1702</v>
      </c>
      <c r="J2285" t="s">
        <v>55</v>
      </c>
      <c r="K2285" t="s">
        <v>93</v>
      </c>
      <c r="M2285" t="s">
        <v>6</v>
      </c>
    </row>
    <row r="2286" spans="2:13" hidden="1">
      <c r="B2286">
        <v>2284</v>
      </c>
      <c r="C2286">
        <v>206</v>
      </c>
      <c r="D2286">
        <v>14</v>
      </c>
      <c r="E2286">
        <v>14</v>
      </c>
      <c r="F2286">
        <v>0</v>
      </c>
      <c r="G2286" t="s">
        <v>18</v>
      </c>
      <c r="H2286" t="s">
        <v>9</v>
      </c>
      <c r="I2286" t="s">
        <v>1702</v>
      </c>
      <c r="J2286" t="s">
        <v>64</v>
      </c>
      <c r="K2286" t="s">
        <v>94</v>
      </c>
      <c r="M2286" t="s">
        <v>6</v>
      </c>
    </row>
    <row r="2287" spans="2:13" hidden="1">
      <c r="B2287">
        <v>2285</v>
      </c>
      <c r="C2287">
        <v>207</v>
      </c>
      <c r="D2287">
        <v>51</v>
      </c>
      <c r="E2287">
        <v>0</v>
      </c>
      <c r="F2287">
        <v>0</v>
      </c>
      <c r="G2287" t="s">
        <v>18</v>
      </c>
      <c r="H2287" t="s">
        <v>9</v>
      </c>
      <c r="I2287" t="s">
        <v>1715</v>
      </c>
      <c r="J2287" t="s">
        <v>478</v>
      </c>
      <c r="K2287" t="s">
        <v>1715</v>
      </c>
      <c r="M2287" t="s">
        <v>6</v>
      </c>
    </row>
    <row r="2288" spans="2:13" hidden="1">
      <c r="B2288">
        <v>2286</v>
      </c>
      <c r="C2288">
        <v>207</v>
      </c>
      <c r="D2288">
        <v>51</v>
      </c>
      <c r="E2288">
        <v>1</v>
      </c>
      <c r="F2288">
        <v>0</v>
      </c>
      <c r="G2288" t="s">
        <v>18</v>
      </c>
      <c r="H2288" t="s">
        <v>9</v>
      </c>
      <c r="I2288" t="s">
        <v>1715</v>
      </c>
      <c r="J2288" t="s">
        <v>479</v>
      </c>
      <c r="K2288" t="s">
        <v>1716</v>
      </c>
      <c r="M2288" t="s">
        <v>6</v>
      </c>
    </row>
    <row r="2289" spans="2:13" hidden="1">
      <c r="B2289">
        <v>2287</v>
      </c>
      <c r="C2289">
        <v>207</v>
      </c>
      <c r="D2289">
        <v>51</v>
      </c>
      <c r="E2289">
        <v>2</v>
      </c>
      <c r="F2289">
        <v>0</v>
      </c>
      <c r="G2289" t="s">
        <v>18</v>
      </c>
      <c r="H2289" t="s">
        <v>9</v>
      </c>
      <c r="I2289" t="s">
        <v>1715</v>
      </c>
      <c r="J2289" t="s">
        <v>55</v>
      </c>
      <c r="K2289" t="s">
        <v>1717</v>
      </c>
      <c r="M2289" t="s">
        <v>6</v>
      </c>
    </row>
    <row r="2290" spans="2:13" hidden="1">
      <c r="B2290">
        <v>2288</v>
      </c>
      <c r="C2290">
        <v>207</v>
      </c>
      <c r="D2290">
        <v>51</v>
      </c>
      <c r="E2290">
        <v>3</v>
      </c>
      <c r="F2290">
        <v>0</v>
      </c>
      <c r="G2290" t="s">
        <v>18</v>
      </c>
      <c r="H2290" t="s">
        <v>9</v>
      </c>
      <c r="I2290" t="s">
        <v>1715</v>
      </c>
      <c r="J2290" t="s">
        <v>214</v>
      </c>
      <c r="K2290" t="s">
        <v>1613</v>
      </c>
      <c r="M2290" t="s">
        <v>6</v>
      </c>
    </row>
    <row r="2291" spans="2:13" hidden="1">
      <c r="B2291">
        <v>2289</v>
      </c>
      <c r="C2291">
        <v>207</v>
      </c>
      <c r="D2291">
        <v>51</v>
      </c>
      <c r="E2291">
        <v>4</v>
      </c>
      <c r="F2291">
        <v>0</v>
      </c>
      <c r="G2291" t="s">
        <v>18</v>
      </c>
      <c r="H2291" t="s">
        <v>9</v>
      </c>
      <c r="I2291" t="s">
        <v>1715</v>
      </c>
      <c r="J2291" t="s">
        <v>214</v>
      </c>
      <c r="K2291" t="s">
        <v>1614</v>
      </c>
      <c r="M2291" t="s">
        <v>6</v>
      </c>
    </row>
    <row r="2292" spans="2:13" hidden="1">
      <c r="B2292">
        <v>2290</v>
      </c>
      <c r="C2292">
        <v>207</v>
      </c>
      <c r="D2292">
        <v>51</v>
      </c>
      <c r="E2292">
        <v>5</v>
      </c>
      <c r="F2292">
        <v>0</v>
      </c>
      <c r="G2292" t="s">
        <v>18</v>
      </c>
      <c r="H2292" t="s">
        <v>9</v>
      </c>
      <c r="I2292" t="s">
        <v>1715</v>
      </c>
      <c r="J2292" t="s">
        <v>55</v>
      </c>
      <c r="K2292" t="s">
        <v>1718</v>
      </c>
      <c r="M2292" t="s">
        <v>6</v>
      </c>
    </row>
    <row r="2293" spans="2:13" hidden="1">
      <c r="B2293">
        <v>2291</v>
      </c>
      <c r="C2293">
        <v>207</v>
      </c>
      <c r="D2293">
        <v>51</v>
      </c>
      <c r="E2293">
        <v>6</v>
      </c>
      <c r="F2293">
        <v>0</v>
      </c>
      <c r="G2293" t="s">
        <v>18</v>
      </c>
      <c r="H2293" t="s">
        <v>9</v>
      </c>
      <c r="I2293" t="s">
        <v>1715</v>
      </c>
      <c r="J2293" t="s">
        <v>479</v>
      </c>
      <c r="K2293" t="s">
        <v>1719</v>
      </c>
      <c r="M2293" t="s">
        <v>6</v>
      </c>
    </row>
    <row r="2294" spans="2:13" hidden="1">
      <c r="B2294">
        <v>2292</v>
      </c>
      <c r="C2294">
        <v>207</v>
      </c>
      <c r="D2294">
        <v>51</v>
      </c>
      <c r="E2294">
        <v>7</v>
      </c>
      <c r="F2294">
        <v>0</v>
      </c>
      <c r="G2294" t="s">
        <v>18</v>
      </c>
      <c r="H2294" t="s">
        <v>9</v>
      </c>
      <c r="I2294" t="s">
        <v>1715</v>
      </c>
      <c r="J2294" t="s">
        <v>55</v>
      </c>
      <c r="K2294" t="s">
        <v>1720</v>
      </c>
      <c r="M2294" t="s">
        <v>6</v>
      </c>
    </row>
    <row r="2295" spans="2:13" hidden="1">
      <c r="B2295">
        <v>2293</v>
      </c>
      <c r="C2295">
        <v>207</v>
      </c>
      <c r="D2295">
        <v>51</v>
      </c>
      <c r="E2295">
        <v>8</v>
      </c>
      <c r="F2295">
        <v>0</v>
      </c>
      <c r="G2295" t="s">
        <v>18</v>
      </c>
      <c r="H2295" t="s">
        <v>9</v>
      </c>
      <c r="I2295" t="s">
        <v>1715</v>
      </c>
      <c r="J2295" t="s">
        <v>55</v>
      </c>
      <c r="K2295" t="s">
        <v>474</v>
      </c>
      <c r="M2295" t="s">
        <v>6</v>
      </c>
    </row>
    <row r="2296" spans="2:13" hidden="1">
      <c r="B2296">
        <v>2294</v>
      </c>
      <c r="C2296">
        <v>207</v>
      </c>
      <c r="D2296">
        <v>51</v>
      </c>
      <c r="E2296">
        <v>9</v>
      </c>
      <c r="F2296">
        <v>0</v>
      </c>
      <c r="G2296" t="s">
        <v>18</v>
      </c>
      <c r="H2296" t="s">
        <v>9</v>
      </c>
      <c r="I2296" t="s">
        <v>1715</v>
      </c>
      <c r="J2296" t="s">
        <v>55</v>
      </c>
      <c r="K2296" t="s">
        <v>475</v>
      </c>
      <c r="M2296" t="s">
        <v>6</v>
      </c>
    </row>
    <row r="2297" spans="2:13" hidden="1">
      <c r="B2297">
        <v>2295</v>
      </c>
      <c r="C2297">
        <v>207</v>
      </c>
      <c r="D2297">
        <v>51</v>
      </c>
      <c r="E2297">
        <v>10</v>
      </c>
      <c r="F2297">
        <v>0</v>
      </c>
      <c r="G2297" t="s">
        <v>18</v>
      </c>
      <c r="H2297" t="s">
        <v>9</v>
      </c>
      <c r="I2297" t="s">
        <v>1715</v>
      </c>
      <c r="J2297" t="s">
        <v>55</v>
      </c>
      <c r="K2297" t="s">
        <v>476</v>
      </c>
      <c r="M2297" t="s">
        <v>6</v>
      </c>
    </row>
    <row r="2298" spans="2:13" hidden="1">
      <c r="B2298">
        <v>2296</v>
      </c>
      <c r="C2298">
        <v>207</v>
      </c>
      <c r="D2298">
        <v>51</v>
      </c>
      <c r="E2298">
        <v>11</v>
      </c>
      <c r="F2298">
        <v>0</v>
      </c>
      <c r="G2298" t="s">
        <v>18</v>
      </c>
      <c r="H2298" t="s">
        <v>9</v>
      </c>
      <c r="I2298" t="s">
        <v>1715</v>
      </c>
      <c r="J2298" t="s">
        <v>479</v>
      </c>
      <c r="K2298" t="s">
        <v>1721</v>
      </c>
      <c r="M2298" t="s">
        <v>6</v>
      </c>
    </row>
    <row r="2299" spans="2:13" hidden="1">
      <c r="B2299">
        <v>2297</v>
      </c>
      <c r="C2299">
        <v>207</v>
      </c>
      <c r="D2299">
        <v>51</v>
      </c>
      <c r="E2299">
        <v>12</v>
      </c>
      <c r="F2299">
        <v>0</v>
      </c>
      <c r="G2299" t="s">
        <v>18</v>
      </c>
      <c r="H2299" t="s">
        <v>9</v>
      </c>
      <c r="I2299" t="s">
        <v>1715</v>
      </c>
      <c r="J2299" t="s">
        <v>55</v>
      </c>
      <c r="K2299" t="s">
        <v>1722</v>
      </c>
      <c r="M2299" t="s">
        <v>6</v>
      </c>
    </row>
    <row r="2300" spans="2:13" hidden="1">
      <c r="B2300">
        <v>2298</v>
      </c>
      <c r="C2300">
        <v>207</v>
      </c>
      <c r="D2300">
        <v>51</v>
      </c>
      <c r="E2300">
        <v>13</v>
      </c>
      <c r="F2300">
        <v>0</v>
      </c>
      <c r="G2300" t="s">
        <v>18</v>
      </c>
      <c r="H2300" t="s">
        <v>9</v>
      </c>
      <c r="I2300" t="s">
        <v>1715</v>
      </c>
      <c r="J2300" t="s">
        <v>55</v>
      </c>
      <c r="K2300" t="s">
        <v>1723</v>
      </c>
      <c r="M2300" t="s">
        <v>6</v>
      </c>
    </row>
    <row r="2301" spans="2:13" hidden="1">
      <c r="B2301">
        <v>2299</v>
      </c>
      <c r="C2301">
        <v>207</v>
      </c>
      <c r="D2301">
        <v>51</v>
      </c>
      <c r="E2301">
        <v>14</v>
      </c>
      <c r="F2301">
        <v>0</v>
      </c>
      <c r="G2301" t="s">
        <v>18</v>
      </c>
      <c r="H2301" t="s">
        <v>9</v>
      </c>
      <c r="I2301" t="s">
        <v>1715</v>
      </c>
      <c r="J2301" t="s">
        <v>55</v>
      </c>
      <c r="K2301" t="s">
        <v>1724</v>
      </c>
      <c r="M2301" t="s">
        <v>6</v>
      </c>
    </row>
    <row r="2302" spans="2:13" hidden="1">
      <c r="B2302">
        <v>2300</v>
      </c>
      <c r="C2302">
        <v>207</v>
      </c>
      <c r="D2302">
        <v>51</v>
      </c>
      <c r="E2302">
        <v>15</v>
      </c>
      <c r="F2302">
        <v>0</v>
      </c>
      <c r="G2302" t="s">
        <v>18</v>
      </c>
      <c r="H2302" t="s">
        <v>9</v>
      </c>
      <c r="I2302" t="s">
        <v>1715</v>
      </c>
      <c r="J2302" t="s">
        <v>55</v>
      </c>
      <c r="K2302" t="s">
        <v>1725</v>
      </c>
      <c r="M2302" t="s">
        <v>6</v>
      </c>
    </row>
    <row r="2303" spans="2:13" hidden="1">
      <c r="B2303">
        <v>2301</v>
      </c>
      <c r="C2303">
        <v>207</v>
      </c>
      <c r="D2303">
        <v>51</v>
      </c>
      <c r="E2303">
        <v>16</v>
      </c>
      <c r="F2303">
        <v>0</v>
      </c>
      <c r="G2303" t="s">
        <v>18</v>
      </c>
      <c r="H2303" t="s">
        <v>9</v>
      </c>
      <c r="I2303" t="s">
        <v>1715</v>
      </c>
      <c r="J2303" t="s">
        <v>55</v>
      </c>
      <c r="K2303" t="s">
        <v>1726</v>
      </c>
      <c r="M2303" t="s">
        <v>6</v>
      </c>
    </row>
    <row r="2304" spans="2:13" hidden="1">
      <c r="B2304">
        <v>2302</v>
      </c>
      <c r="C2304">
        <v>207</v>
      </c>
      <c r="D2304">
        <v>51</v>
      </c>
      <c r="E2304">
        <v>17</v>
      </c>
      <c r="F2304">
        <v>0</v>
      </c>
      <c r="G2304" t="s">
        <v>18</v>
      </c>
      <c r="H2304" t="s">
        <v>9</v>
      </c>
      <c r="I2304" t="s">
        <v>1715</v>
      </c>
      <c r="J2304" t="s">
        <v>99</v>
      </c>
      <c r="K2304" t="s">
        <v>1727</v>
      </c>
      <c r="M2304" t="s">
        <v>6</v>
      </c>
    </row>
    <row r="2305" spans="2:13" hidden="1">
      <c r="B2305">
        <v>2303</v>
      </c>
      <c r="C2305">
        <v>207</v>
      </c>
      <c r="D2305">
        <v>51</v>
      </c>
      <c r="E2305">
        <v>18</v>
      </c>
      <c r="F2305">
        <v>0</v>
      </c>
      <c r="G2305" t="s">
        <v>18</v>
      </c>
      <c r="H2305" t="s">
        <v>9</v>
      </c>
      <c r="I2305" t="s">
        <v>1715</v>
      </c>
      <c r="J2305" t="s">
        <v>99</v>
      </c>
      <c r="K2305" t="s">
        <v>1728</v>
      </c>
      <c r="M2305" t="s">
        <v>6</v>
      </c>
    </row>
    <row r="2306" spans="2:13" hidden="1">
      <c r="B2306">
        <v>2304</v>
      </c>
      <c r="C2306">
        <v>207</v>
      </c>
      <c r="D2306">
        <v>51</v>
      </c>
      <c r="E2306">
        <v>19</v>
      </c>
      <c r="F2306">
        <v>0</v>
      </c>
      <c r="G2306" t="s">
        <v>18</v>
      </c>
      <c r="H2306" t="s">
        <v>9</v>
      </c>
      <c r="I2306" t="s">
        <v>1715</v>
      </c>
      <c r="J2306" t="s">
        <v>55</v>
      </c>
      <c r="K2306" t="s">
        <v>1729</v>
      </c>
      <c r="M2306" t="s">
        <v>6</v>
      </c>
    </row>
    <row r="2307" spans="2:13" hidden="1">
      <c r="B2307">
        <v>2305</v>
      </c>
      <c r="C2307">
        <v>207</v>
      </c>
      <c r="D2307">
        <v>51</v>
      </c>
      <c r="E2307">
        <v>20</v>
      </c>
      <c r="F2307">
        <v>0</v>
      </c>
      <c r="G2307" t="s">
        <v>18</v>
      </c>
      <c r="H2307" t="s">
        <v>9</v>
      </c>
      <c r="I2307" t="s">
        <v>1715</v>
      </c>
      <c r="J2307" t="s">
        <v>55</v>
      </c>
      <c r="K2307" t="s">
        <v>1730</v>
      </c>
      <c r="M2307" t="s">
        <v>6</v>
      </c>
    </row>
    <row r="2308" spans="2:13" hidden="1">
      <c r="B2308">
        <v>2306</v>
      </c>
      <c r="C2308">
        <v>207</v>
      </c>
      <c r="D2308">
        <v>51</v>
      </c>
      <c r="E2308">
        <v>21</v>
      </c>
      <c r="F2308">
        <v>0</v>
      </c>
      <c r="G2308" t="s">
        <v>18</v>
      </c>
      <c r="H2308" t="s">
        <v>9</v>
      </c>
      <c r="I2308" t="s">
        <v>1715</v>
      </c>
      <c r="J2308" t="s">
        <v>55</v>
      </c>
      <c r="K2308" t="s">
        <v>1731</v>
      </c>
      <c r="M2308" t="s">
        <v>6</v>
      </c>
    </row>
    <row r="2309" spans="2:13" hidden="1">
      <c r="B2309">
        <v>2307</v>
      </c>
      <c r="C2309">
        <v>207</v>
      </c>
      <c r="D2309">
        <v>51</v>
      </c>
      <c r="E2309">
        <v>22</v>
      </c>
      <c r="F2309">
        <v>0</v>
      </c>
      <c r="G2309" t="s">
        <v>18</v>
      </c>
      <c r="H2309" t="s">
        <v>9</v>
      </c>
      <c r="I2309" t="s">
        <v>1715</v>
      </c>
      <c r="J2309" t="s">
        <v>55</v>
      </c>
      <c r="K2309" t="s">
        <v>1732</v>
      </c>
      <c r="M2309" t="s">
        <v>6</v>
      </c>
    </row>
    <row r="2310" spans="2:13" hidden="1">
      <c r="B2310">
        <v>2308</v>
      </c>
      <c r="C2310">
        <v>207</v>
      </c>
      <c r="D2310">
        <v>51</v>
      </c>
      <c r="E2310">
        <v>23</v>
      </c>
      <c r="F2310">
        <v>0</v>
      </c>
      <c r="G2310" t="s">
        <v>18</v>
      </c>
      <c r="H2310" t="s">
        <v>9</v>
      </c>
      <c r="I2310" t="s">
        <v>1715</v>
      </c>
      <c r="J2310" t="s">
        <v>55</v>
      </c>
      <c r="K2310" t="s">
        <v>1583</v>
      </c>
      <c r="M2310" t="s">
        <v>6</v>
      </c>
    </row>
    <row r="2311" spans="2:13" hidden="1">
      <c r="B2311">
        <v>2309</v>
      </c>
      <c r="C2311">
        <v>207</v>
      </c>
      <c r="D2311">
        <v>51</v>
      </c>
      <c r="E2311">
        <v>24</v>
      </c>
      <c r="F2311">
        <v>0</v>
      </c>
      <c r="G2311" t="s">
        <v>18</v>
      </c>
      <c r="H2311" t="s">
        <v>9</v>
      </c>
      <c r="I2311" t="s">
        <v>1715</v>
      </c>
      <c r="J2311" t="s">
        <v>55</v>
      </c>
      <c r="K2311" t="s">
        <v>1733</v>
      </c>
      <c r="M2311" t="s">
        <v>6</v>
      </c>
    </row>
    <row r="2312" spans="2:13" hidden="1">
      <c r="B2312">
        <v>2310</v>
      </c>
      <c r="C2312">
        <v>207</v>
      </c>
      <c r="D2312">
        <v>51</v>
      </c>
      <c r="E2312">
        <v>25</v>
      </c>
      <c r="F2312">
        <v>0</v>
      </c>
      <c r="G2312" t="s">
        <v>18</v>
      </c>
      <c r="H2312" t="s">
        <v>9</v>
      </c>
      <c r="I2312" t="s">
        <v>1715</v>
      </c>
      <c r="J2312" t="s">
        <v>479</v>
      </c>
      <c r="K2312" t="s">
        <v>1734</v>
      </c>
      <c r="M2312" t="s">
        <v>6</v>
      </c>
    </row>
    <row r="2313" spans="2:13" hidden="1">
      <c r="B2313">
        <v>2311</v>
      </c>
      <c r="C2313">
        <v>207</v>
      </c>
      <c r="D2313">
        <v>51</v>
      </c>
      <c r="E2313">
        <v>26</v>
      </c>
      <c r="F2313">
        <v>0</v>
      </c>
      <c r="G2313" t="s">
        <v>18</v>
      </c>
      <c r="H2313" t="s">
        <v>9</v>
      </c>
      <c r="I2313" t="s">
        <v>1715</v>
      </c>
      <c r="J2313" t="s">
        <v>55</v>
      </c>
      <c r="K2313" t="s">
        <v>1735</v>
      </c>
      <c r="M2313" t="s">
        <v>6</v>
      </c>
    </row>
    <row r="2314" spans="2:13" hidden="1">
      <c r="B2314">
        <v>2312</v>
      </c>
      <c r="C2314">
        <v>207</v>
      </c>
      <c r="D2314">
        <v>51</v>
      </c>
      <c r="E2314">
        <v>27</v>
      </c>
      <c r="F2314">
        <v>0</v>
      </c>
      <c r="G2314" t="s">
        <v>18</v>
      </c>
      <c r="H2314" t="s">
        <v>9</v>
      </c>
      <c r="I2314" t="s">
        <v>1715</v>
      </c>
      <c r="J2314" t="s">
        <v>55</v>
      </c>
      <c r="K2314" t="s">
        <v>1736</v>
      </c>
      <c r="M2314" t="s">
        <v>6</v>
      </c>
    </row>
    <row r="2315" spans="2:13" hidden="1">
      <c r="B2315">
        <v>2313</v>
      </c>
      <c r="C2315">
        <v>207</v>
      </c>
      <c r="D2315">
        <v>51</v>
      </c>
      <c r="E2315">
        <v>28</v>
      </c>
      <c r="F2315">
        <v>0</v>
      </c>
      <c r="G2315" t="s">
        <v>18</v>
      </c>
      <c r="H2315" t="s">
        <v>9</v>
      </c>
      <c r="I2315" t="s">
        <v>1715</v>
      </c>
      <c r="J2315" t="s">
        <v>55</v>
      </c>
      <c r="K2315" t="s">
        <v>1737</v>
      </c>
      <c r="M2315" t="s">
        <v>6</v>
      </c>
    </row>
    <row r="2316" spans="2:13" hidden="1">
      <c r="B2316">
        <v>2314</v>
      </c>
      <c r="C2316">
        <v>207</v>
      </c>
      <c r="D2316">
        <v>51</v>
      </c>
      <c r="E2316">
        <v>29</v>
      </c>
      <c r="F2316">
        <v>0</v>
      </c>
      <c r="G2316" t="s">
        <v>18</v>
      </c>
      <c r="H2316" t="s">
        <v>9</v>
      </c>
      <c r="I2316" t="s">
        <v>1715</v>
      </c>
      <c r="J2316" t="s">
        <v>55</v>
      </c>
      <c r="K2316" t="s">
        <v>1738</v>
      </c>
      <c r="M2316" t="s">
        <v>6</v>
      </c>
    </row>
    <row r="2317" spans="2:13" hidden="1">
      <c r="B2317">
        <v>2315</v>
      </c>
      <c r="C2317">
        <v>207</v>
      </c>
      <c r="D2317">
        <v>51</v>
      </c>
      <c r="E2317">
        <v>30</v>
      </c>
      <c r="F2317">
        <v>0</v>
      </c>
      <c r="G2317" t="s">
        <v>18</v>
      </c>
      <c r="H2317" t="s">
        <v>9</v>
      </c>
      <c r="I2317" t="s">
        <v>1715</v>
      </c>
      <c r="J2317" t="s">
        <v>479</v>
      </c>
      <c r="K2317" t="s">
        <v>1739</v>
      </c>
      <c r="M2317" t="s">
        <v>6</v>
      </c>
    </row>
    <row r="2318" spans="2:13" hidden="1">
      <c r="B2318">
        <v>2316</v>
      </c>
      <c r="C2318">
        <v>207</v>
      </c>
      <c r="D2318">
        <v>51</v>
      </c>
      <c r="E2318">
        <v>31</v>
      </c>
      <c r="F2318">
        <v>0</v>
      </c>
      <c r="G2318" t="s">
        <v>18</v>
      </c>
      <c r="H2318" t="s">
        <v>9</v>
      </c>
      <c r="I2318" t="s">
        <v>1715</v>
      </c>
      <c r="J2318" t="s">
        <v>55</v>
      </c>
      <c r="K2318" t="s">
        <v>1740</v>
      </c>
      <c r="M2318" t="s">
        <v>6</v>
      </c>
    </row>
    <row r="2319" spans="2:13" hidden="1">
      <c r="B2319">
        <v>2317</v>
      </c>
      <c r="C2319">
        <v>207</v>
      </c>
      <c r="D2319">
        <v>51</v>
      </c>
      <c r="E2319">
        <v>32</v>
      </c>
      <c r="F2319">
        <v>0</v>
      </c>
      <c r="G2319" t="s">
        <v>18</v>
      </c>
      <c r="H2319" t="s">
        <v>9</v>
      </c>
      <c r="I2319" t="s">
        <v>1715</v>
      </c>
      <c r="J2319" t="s">
        <v>214</v>
      </c>
      <c r="K2319" t="s">
        <v>1741</v>
      </c>
      <c r="M2319" t="s">
        <v>6</v>
      </c>
    </row>
    <row r="2320" spans="2:13" hidden="1">
      <c r="B2320">
        <v>2318</v>
      </c>
      <c r="C2320">
        <v>207</v>
      </c>
      <c r="D2320">
        <v>51</v>
      </c>
      <c r="E2320">
        <v>33</v>
      </c>
      <c r="F2320">
        <v>0</v>
      </c>
      <c r="G2320" t="s">
        <v>18</v>
      </c>
      <c r="H2320" t="s">
        <v>9</v>
      </c>
      <c r="I2320" t="s">
        <v>1715</v>
      </c>
      <c r="J2320" t="s">
        <v>214</v>
      </c>
      <c r="K2320" t="s">
        <v>1618</v>
      </c>
      <c r="L2320" t="s">
        <v>1742</v>
      </c>
      <c r="M2320" t="s">
        <v>6</v>
      </c>
    </row>
    <row r="2321" spans="2:13" hidden="1">
      <c r="B2321">
        <v>2319</v>
      </c>
      <c r="C2321">
        <v>207</v>
      </c>
      <c r="D2321">
        <v>51</v>
      </c>
      <c r="E2321">
        <v>34</v>
      </c>
      <c r="F2321">
        <v>0</v>
      </c>
      <c r="G2321" t="s">
        <v>18</v>
      </c>
      <c r="H2321" t="s">
        <v>9</v>
      </c>
      <c r="I2321" t="s">
        <v>1715</v>
      </c>
      <c r="J2321" t="s">
        <v>214</v>
      </c>
      <c r="K2321" t="s">
        <v>1619</v>
      </c>
      <c r="L2321" t="s">
        <v>1742</v>
      </c>
      <c r="M2321" t="s">
        <v>6</v>
      </c>
    </row>
    <row r="2322" spans="2:13" hidden="1">
      <c r="B2322">
        <v>2320</v>
      </c>
      <c r="C2322">
        <v>207</v>
      </c>
      <c r="D2322">
        <v>51</v>
      </c>
      <c r="E2322">
        <v>35</v>
      </c>
      <c r="F2322">
        <v>0</v>
      </c>
      <c r="G2322" t="s">
        <v>18</v>
      </c>
      <c r="H2322" t="s">
        <v>9</v>
      </c>
      <c r="I2322" t="s">
        <v>1715</v>
      </c>
      <c r="J2322" t="s">
        <v>214</v>
      </c>
      <c r="K2322" t="s">
        <v>1620</v>
      </c>
      <c r="L2322" t="s">
        <v>1743</v>
      </c>
      <c r="M2322" t="s">
        <v>6</v>
      </c>
    </row>
    <row r="2323" spans="2:13" hidden="1">
      <c r="B2323">
        <v>2321</v>
      </c>
      <c r="C2323">
        <v>207</v>
      </c>
      <c r="D2323">
        <v>51</v>
      </c>
      <c r="E2323">
        <v>36</v>
      </c>
      <c r="F2323">
        <v>0</v>
      </c>
      <c r="G2323" t="s">
        <v>18</v>
      </c>
      <c r="H2323" t="s">
        <v>9</v>
      </c>
      <c r="I2323" t="s">
        <v>1715</v>
      </c>
      <c r="J2323" t="s">
        <v>437</v>
      </c>
      <c r="K2323" t="s">
        <v>1621</v>
      </c>
      <c r="L2323" t="s">
        <v>1272</v>
      </c>
      <c r="M2323" t="s">
        <v>6</v>
      </c>
    </row>
    <row r="2324" spans="2:13" hidden="1">
      <c r="B2324">
        <v>2322</v>
      </c>
      <c r="C2324">
        <v>207</v>
      </c>
      <c r="D2324">
        <v>51</v>
      </c>
      <c r="E2324">
        <v>37</v>
      </c>
      <c r="F2324">
        <v>0</v>
      </c>
      <c r="G2324" t="s">
        <v>18</v>
      </c>
      <c r="H2324" t="s">
        <v>9</v>
      </c>
      <c r="I2324" t="s">
        <v>1715</v>
      </c>
      <c r="J2324" t="s">
        <v>55</v>
      </c>
      <c r="K2324" t="s">
        <v>1581</v>
      </c>
      <c r="M2324" t="s">
        <v>6</v>
      </c>
    </row>
    <row r="2325" spans="2:13" hidden="1">
      <c r="B2325">
        <v>2323</v>
      </c>
      <c r="C2325">
        <v>207</v>
      </c>
      <c r="D2325">
        <v>51</v>
      </c>
      <c r="E2325">
        <v>38</v>
      </c>
      <c r="F2325">
        <v>0</v>
      </c>
      <c r="G2325" t="s">
        <v>18</v>
      </c>
      <c r="H2325" t="s">
        <v>9</v>
      </c>
      <c r="I2325" t="s">
        <v>1715</v>
      </c>
      <c r="J2325" t="s">
        <v>55</v>
      </c>
      <c r="K2325" t="s">
        <v>1582</v>
      </c>
      <c r="M2325" t="s">
        <v>6</v>
      </c>
    </row>
    <row r="2326" spans="2:13" hidden="1">
      <c r="B2326">
        <v>2324</v>
      </c>
      <c r="C2326">
        <v>207</v>
      </c>
      <c r="D2326">
        <v>51</v>
      </c>
      <c r="E2326">
        <v>39</v>
      </c>
      <c r="F2326">
        <v>0</v>
      </c>
      <c r="G2326" t="s">
        <v>18</v>
      </c>
      <c r="H2326" t="s">
        <v>9</v>
      </c>
      <c r="I2326" t="s">
        <v>1715</v>
      </c>
      <c r="J2326" t="s">
        <v>479</v>
      </c>
      <c r="K2326" t="s">
        <v>1744</v>
      </c>
      <c r="M2326" t="s">
        <v>6</v>
      </c>
    </row>
    <row r="2327" spans="2:13" hidden="1">
      <c r="B2327">
        <v>2325</v>
      </c>
      <c r="C2327">
        <v>207</v>
      </c>
      <c r="D2327">
        <v>51</v>
      </c>
      <c r="E2327">
        <v>40</v>
      </c>
      <c r="F2327">
        <v>0</v>
      </c>
      <c r="G2327" t="s">
        <v>18</v>
      </c>
      <c r="H2327" t="s">
        <v>9</v>
      </c>
      <c r="I2327" t="s">
        <v>1715</v>
      </c>
      <c r="J2327" t="s">
        <v>55</v>
      </c>
      <c r="K2327" t="s">
        <v>1745</v>
      </c>
      <c r="M2327" t="s">
        <v>6</v>
      </c>
    </row>
    <row r="2328" spans="2:13" hidden="1">
      <c r="B2328">
        <v>2326</v>
      </c>
      <c r="C2328">
        <v>207</v>
      </c>
      <c r="D2328">
        <v>51</v>
      </c>
      <c r="E2328">
        <v>41</v>
      </c>
      <c r="F2328">
        <v>0</v>
      </c>
      <c r="G2328" t="s">
        <v>18</v>
      </c>
      <c r="H2328" t="s">
        <v>9</v>
      </c>
      <c r="I2328" t="s">
        <v>1715</v>
      </c>
      <c r="J2328" t="s">
        <v>55</v>
      </c>
      <c r="K2328" t="s">
        <v>1746</v>
      </c>
      <c r="M2328" t="s">
        <v>6</v>
      </c>
    </row>
    <row r="2329" spans="2:13" hidden="1">
      <c r="B2329">
        <v>2327</v>
      </c>
      <c r="C2329">
        <v>207</v>
      </c>
      <c r="D2329">
        <v>51</v>
      </c>
      <c r="E2329">
        <v>42</v>
      </c>
      <c r="F2329">
        <v>0</v>
      </c>
      <c r="G2329" t="s">
        <v>18</v>
      </c>
      <c r="H2329" t="s">
        <v>9</v>
      </c>
      <c r="I2329" t="s">
        <v>1715</v>
      </c>
      <c r="J2329" t="s">
        <v>437</v>
      </c>
      <c r="K2329" t="s">
        <v>1747</v>
      </c>
      <c r="L2329" t="s">
        <v>1272</v>
      </c>
      <c r="M2329" t="s">
        <v>6</v>
      </c>
    </row>
    <row r="2330" spans="2:13" hidden="1">
      <c r="B2330">
        <v>2328</v>
      </c>
      <c r="C2330">
        <v>207</v>
      </c>
      <c r="D2330">
        <v>51</v>
      </c>
      <c r="E2330">
        <v>43</v>
      </c>
      <c r="F2330">
        <v>0</v>
      </c>
      <c r="G2330" t="s">
        <v>18</v>
      </c>
      <c r="H2330" t="s">
        <v>9</v>
      </c>
      <c r="I2330" t="s">
        <v>1715</v>
      </c>
      <c r="J2330" t="s">
        <v>55</v>
      </c>
      <c r="K2330" t="s">
        <v>1748</v>
      </c>
      <c r="M2330" t="s">
        <v>6</v>
      </c>
    </row>
    <row r="2331" spans="2:13" hidden="1">
      <c r="B2331">
        <v>2329</v>
      </c>
      <c r="C2331">
        <v>207</v>
      </c>
      <c r="D2331">
        <v>51</v>
      </c>
      <c r="E2331">
        <v>44</v>
      </c>
      <c r="F2331">
        <v>0</v>
      </c>
      <c r="G2331" t="s">
        <v>18</v>
      </c>
      <c r="H2331" t="s">
        <v>9</v>
      </c>
      <c r="I2331" t="s">
        <v>1715</v>
      </c>
      <c r="J2331" t="s">
        <v>55</v>
      </c>
      <c r="K2331" t="s">
        <v>1749</v>
      </c>
      <c r="M2331" t="s">
        <v>6</v>
      </c>
    </row>
    <row r="2332" spans="2:13" hidden="1">
      <c r="B2332">
        <v>2330</v>
      </c>
      <c r="C2332">
        <v>207</v>
      </c>
      <c r="D2332">
        <v>51</v>
      </c>
      <c r="E2332">
        <v>45</v>
      </c>
      <c r="F2332">
        <v>0</v>
      </c>
      <c r="G2332" t="s">
        <v>18</v>
      </c>
      <c r="H2332" t="s">
        <v>9</v>
      </c>
      <c r="I2332" t="s">
        <v>1715</v>
      </c>
      <c r="J2332" t="s">
        <v>55</v>
      </c>
      <c r="K2332" t="s">
        <v>1750</v>
      </c>
      <c r="M2332" t="s">
        <v>6</v>
      </c>
    </row>
    <row r="2333" spans="2:13" hidden="1">
      <c r="B2333">
        <v>2331</v>
      </c>
      <c r="C2333">
        <v>207</v>
      </c>
      <c r="D2333">
        <v>51</v>
      </c>
      <c r="E2333">
        <v>46</v>
      </c>
      <c r="F2333">
        <v>0</v>
      </c>
      <c r="G2333" t="s">
        <v>18</v>
      </c>
      <c r="H2333" t="s">
        <v>9</v>
      </c>
      <c r="I2333" t="s">
        <v>1715</v>
      </c>
      <c r="J2333" t="s">
        <v>479</v>
      </c>
      <c r="K2333" t="s">
        <v>1751</v>
      </c>
      <c r="M2333" t="s">
        <v>6</v>
      </c>
    </row>
    <row r="2334" spans="2:13" hidden="1">
      <c r="B2334">
        <v>2332</v>
      </c>
      <c r="C2334">
        <v>207</v>
      </c>
      <c r="D2334">
        <v>51</v>
      </c>
      <c r="E2334">
        <v>47</v>
      </c>
      <c r="F2334">
        <v>0</v>
      </c>
      <c r="G2334" t="s">
        <v>18</v>
      </c>
      <c r="H2334" t="s">
        <v>9</v>
      </c>
      <c r="I2334" t="s">
        <v>1715</v>
      </c>
      <c r="J2334" t="s">
        <v>55</v>
      </c>
      <c r="K2334" t="s">
        <v>1752</v>
      </c>
      <c r="M2334" t="s">
        <v>6</v>
      </c>
    </row>
    <row r="2335" spans="2:13" hidden="1">
      <c r="B2335">
        <v>2333</v>
      </c>
      <c r="C2335">
        <v>207</v>
      </c>
      <c r="D2335">
        <v>51</v>
      </c>
      <c r="E2335">
        <v>48</v>
      </c>
      <c r="F2335">
        <v>0</v>
      </c>
      <c r="G2335" t="s">
        <v>18</v>
      </c>
      <c r="H2335" t="s">
        <v>9</v>
      </c>
      <c r="I2335" t="s">
        <v>1715</v>
      </c>
      <c r="J2335" t="s">
        <v>64</v>
      </c>
      <c r="K2335" t="s">
        <v>1753</v>
      </c>
      <c r="M2335" t="s">
        <v>6</v>
      </c>
    </row>
    <row r="2336" spans="2:13" hidden="1">
      <c r="B2336">
        <v>2334</v>
      </c>
      <c r="C2336">
        <v>207</v>
      </c>
      <c r="D2336">
        <v>51</v>
      </c>
      <c r="E2336">
        <v>49</v>
      </c>
      <c r="F2336">
        <v>0</v>
      </c>
      <c r="G2336" t="s">
        <v>18</v>
      </c>
      <c r="H2336" t="s">
        <v>9</v>
      </c>
      <c r="I2336" t="s">
        <v>1715</v>
      </c>
      <c r="J2336" t="s">
        <v>55</v>
      </c>
      <c r="K2336" t="s">
        <v>1754</v>
      </c>
      <c r="M2336" t="s">
        <v>6</v>
      </c>
    </row>
    <row r="2337" spans="2:13" hidden="1">
      <c r="B2337">
        <v>2335</v>
      </c>
      <c r="C2337">
        <v>207</v>
      </c>
      <c r="D2337">
        <v>51</v>
      </c>
      <c r="E2337">
        <v>50</v>
      </c>
      <c r="F2337">
        <v>0</v>
      </c>
      <c r="G2337" t="s">
        <v>18</v>
      </c>
      <c r="H2337" t="s">
        <v>9</v>
      </c>
      <c r="I2337" t="s">
        <v>1715</v>
      </c>
      <c r="J2337" t="s">
        <v>55</v>
      </c>
      <c r="K2337" t="s">
        <v>93</v>
      </c>
      <c r="M2337" t="s">
        <v>6</v>
      </c>
    </row>
    <row r="2338" spans="2:13" hidden="1">
      <c r="B2338">
        <v>2336</v>
      </c>
      <c r="C2338">
        <v>207</v>
      </c>
      <c r="D2338">
        <v>51</v>
      </c>
      <c r="E2338">
        <v>51</v>
      </c>
      <c r="F2338">
        <v>0</v>
      </c>
      <c r="G2338" t="s">
        <v>18</v>
      </c>
      <c r="H2338" t="s">
        <v>9</v>
      </c>
      <c r="I2338" t="s">
        <v>1715</v>
      </c>
      <c r="J2338" t="s">
        <v>64</v>
      </c>
      <c r="K2338" t="s">
        <v>94</v>
      </c>
      <c r="M2338" t="s">
        <v>6</v>
      </c>
    </row>
    <row r="2339" spans="2:13" hidden="1">
      <c r="B2339">
        <v>2337</v>
      </c>
      <c r="C2339">
        <v>208</v>
      </c>
      <c r="D2339">
        <v>37</v>
      </c>
      <c r="E2339">
        <v>0</v>
      </c>
      <c r="F2339">
        <v>0</v>
      </c>
      <c r="G2339" t="s">
        <v>18</v>
      </c>
      <c r="H2339" t="s">
        <v>9</v>
      </c>
      <c r="I2339" t="s">
        <v>1755</v>
      </c>
      <c r="J2339" t="s">
        <v>478</v>
      </c>
      <c r="K2339" t="s">
        <v>1755</v>
      </c>
      <c r="M2339" t="s">
        <v>6</v>
      </c>
    </row>
    <row r="2340" spans="2:13" hidden="1">
      <c r="B2340">
        <v>2338</v>
      </c>
      <c r="C2340">
        <v>208</v>
      </c>
      <c r="D2340">
        <v>37</v>
      </c>
      <c r="E2340">
        <v>1</v>
      </c>
      <c r="F2340">
        <v>0</v>
      </c>
      <c r="G2340" t="s">
        <v>18</v>
      </c>
      <c r="H2340" t="s">
        <v>9</v>
      </c>
      <c r="I2340" t="s">
        <v>1755</v>
      </c>
      <c r="J2340" t="s">
        <v>479</v>
      </c>
      <c r="K2340" t="s">
        <v>1716</v>
      </c>
      <c r="M2340" t="s">
        <v>6</v>
      </c>
    </row>
    <row r="2341" spans="2:13" hidden="1">
      <c r="B2341">
        <v>2339</v>
      </c>
      <c r="C2341">
        <v>208</v>
      </c>
      <c r="D2341">
        <v>37</v>
      </c>
      <c r="E2341">
        <v>2</v>
      </c>
      <c r="F2341">
        <v>0</v>
      </c>
      <c r="G2341" t="s">
        <v>18</v>
      </c>
      <c r="H2341" t="s">
        <v>9</v>
      </c>
      <c r="I2341" t="s">
        <v>1755</v>
      </c>
      <c r="J2341" t="s">
        <v>55</v>
      </c>
      <c r="K2341" t="s">
        <v>1717</v>
      </c>
      <c r="M2341" t="s">
        <v>6</v>
      </c>
    </row>
    <row r="2342" spans="2:13" hidden="1">
      <c r="B2342">
        <v>2340</v>
      </c>
      <c r="C2342">
        <v>208</v>
      </c>
      <c r="D2342">
        <v>37</v>
      </c>
      <c r="E2342">
        <v>3</v>
      </c>
      <c r="F2342">
        <v>0</v>
      </c>
      <c r="G2342" t="s">
        <v>18</v>
      </c>
      <c r="H2342" t="s">
        <v>9</v>
      </c>
      <c r="I2342" t="s">
        <v>1755</v>
      </c>
      <c r="J2342" t="s">
        <v>214</v>
      </c>
      <c r="K2342" t="s">
        <v>1613</v>
      </c>
      <c r="M2342" t="s">
        <v>6</v>
      </c>
    </row>
    <row r="2343" spans="2:13" hidden="1">
      <c r="B2343">
        <v>2341</v>
      </c>
      <c r="C2343">
        <v>208</v>
      </c>
      <c r="D2343">
        <v>37</v>
      </c>
      <c r="E2343">
        <v>4</v>
      </c>
      <c r="F2343">
        <v>0</v>
      </c>
      <c r="G2343" t="s">
        <v>18</v>
      </c>
      <c r="H2343" t="s">
        <v>9</v>
      </c>
      <c r="I2343" t="s">
        <v>1755</v>
      </c>
      <c r="J2343" t="s">
        <v>214</v>
      </c>
      <c r="K2343" t="s">
        <v>1614</v>
      </c>
      <c r="M2343" t="s">
        <v>6</v>
      </c>
    </row>
    <row r="2344" spans="2:13" hidden="1">
      <c r="B2344">
        <v>2342</v>
      </c>
      <c r="C2344">
        <v>208</v>
      </c>
      <c r="D2344">
        <v>37</v>
      </c>
      <c r="E2344">
        <v>5</v>
      </c>
      <c r="F2344">
        <v>0</v>
      </c>
      <c r="G2344" t="s">
        <v>18</v>
      </c>
      <c r="H2344" t="s">
        <v>9</v>
      </c>
      <c r="I2344" t="s">
        <v>1755</v>
      </c>
      <c r="J2344" t="s">
        <v>55</v>
      </c>
      <c r="K2344" t="s">
        <v>1718</v>
      </c>
      <c r="M2344" t="s">
        <v>6</v>
      </c>
    </row>
    <row r="2345" spans="2:13" hidden="1">
      <c r="B2345">
        <v>2343</v>
      </c>
      <c r="C2345">
        <v>208</v>
      </c>
      <c r="D2345">
        <v>37</v>
      </c>
      <c r="E2345">
        <v>6</v>
      </c>
      <c r="F2345">
        <v>0</v>
      </c>
      <c r="G2345" t="s">
        <v>18</v>
      </c>
      <c r="H2345" t="s">
        <v>9</v>
      </c>
      <c r="I2345" t="s">
        <v>1755</v>
      </c>
      <c r="J2345" t="s">
        <v>479</v>
      </c>
      <c r="K2345" t="s">
        <v>1719</v>
      </c>
      <c r="M2345" t="s">
        <v>6</v>
      </c>
    </row>
    <row r="2346" spans="2:13" hidden="1">
      <c r="B2346">
        <v>2344</v>
      </c>
      <c r="C2346">
        <v>208</v>
      </c>
      <c r="D2346">
        <v>37</v>
      </c>
      <c r="E2346">
        <v>7</v>
      </c>
      <c r="F2346">
        <v>0</v>
      </c>
      <c r="G2346" t="s">
        <v>18</v>
      </c>
      <c r="H2346" t="s">
        <v>9</v>
      </c>
      <c r="I2346" t="s">
        <v>1755</v>
      </c>
      <c r="J2346" t="s">
        <v>55</v>
      </c>
      <c r="K2346" t="s">
        <v>1720</v>
      </c>
      <c r="M2346" t="s">
        <v>6</v>
      </c>
    </row>
    <row r="2347" spans="2:13" hidden="1">
      <c r="B2347">
        <v>2345</v>
      </c>
      <c r="C2347">
        <v>208</v>
      </c>
      <c r="D2347">
        <v>37</v>
      </c>
      <c r="E2347">
        <v>8</v>
      </c>
      <c r="F2347">
        <v>0</v>
      </c>
      <c r="G2347" t="s">
        <v>18</v>
      </c>
      <c r="H2347" t="s">
        <v>9</v>
      </c>
      <c r="I2347" t="s">
        <v>1755</v>
      </c>
      <c r="J2347" t="s">
        <v>55</v>
      </c>
      <c r="K2347" t="s">
        <v>474</v>
      </c>
      <c r="M2347" t="s">
        <v>6</v>
      </c>
    </row>
    <row r="2348" spans="2:13" hidden="1">
      <c r="B2348">
        <v>2346</v>
      </c>
      <c r="C2348">
        <v>208</v>
      </c>
      <c r="D2348">
        <v>37</v>
      </c>
      <c r="E2348">
        <v>9</v>
      </c>
      <c r="F2348">
        <v>0</v>
      </c>
      <c r="G2348" t="s">
        <v>18</v>
      </c>
      <c r="H2348" t="s">
        <v>9</v>
      </c>
      <c r="I2348" t="s">
        <v>1755</v>
      </c>
      <c r="J2348" t="s">
        <v>55</v>
      </c>
      <c r="K2348" t="s">
        <v>475</v>
      </c>
      <c r="M2348" t="s">
        <v>6</v>
      </c>
    </row>
    <row r="2349" spans="2:13" hidden="1">
      <c r="B2349">
        <v>2347</v>
      </c>
      <c r="C2349">
        <v>208</v>
      </c>
      <c r="D2349">
        <v>37</v>
      </c>
      <c r="E2349">
        <v>10</v>
      </c>
      <c r="F2349">
        <v>0</v>
      </c>
      <c r="G2349" t="s">
        <v>18</v>
      </c>
      <c r="H2349" t="s">
        <v>9</v>
      </c>
      <c r="I2349" t="s">
        <v>1755</v>
      </c>
      <c r="J2349" t="s">
        <v>55</v>
      </c>
      <c r="K2349" t="s">
        <v>476</v>
      </c>
      <c r="M2349" t="s">
        <v>6</v>
      </c>
    </row>
    <row r="2350" spans="2:13" hidden="1">
      <c r="B2350">
        <v>2348</v>
      </c>
      <c r="C2350">
        <v>208</v>
      </c>
      <c r="D2350">
        <v>37</v>
      </c>
      <c r="E2350">
        <v>11</v>
      </c>
      <c r="F2350">
        <v>0</v>
      </c>
      <c r="G2350" t="s">
        <v>18</v>
      </c>
      <c r="H2350" t="s">
        <v>9</v>
      </c>
      <c r="I2350" t="s">
        <v>1755</v>
      </c>
      <c r="J2350" t="s">
        <v>479</v>
      </c>
      <c r="K2350" t="s">
        <v>1734</v>
      </c>
      <c r="M2350" t="s">
        <v>6</v>
      </c>
    </row>
    <row r="2351" spans="2:13" hidden="1">
      <c r="B2351">
        <v>2349</v>
      </c>
      <c r="C2351">
        <v>208</v>
      </c>
      <c r="D2351">
        <v>37</v>
      </c>
      <c r="E2351">
        <v>12</v>
      </c>
      <c r="F2351">
        <v>0</v>
      </c>
      <c r="G2351" t="s">
        <v>18</v>
      </c>
      <c r="H2351" t="s">
        <v>9</v>
      </c>
      <c r="I2351" t="s">
        <v>1755</v>
      </c>
      <c r="J2351" t="s">
        <v>55</v>
      </c>
      <c r="K2351" t="s">
        <v>1735</v>
      </c>
      <c r="M2351" t="s">
        <v>6</v>
      </c>
    </row>
    <row r="2352" spans="2:13" hidden="1">
      <c r="B2352">
        <v>2350</v>
      </c>
      <c r="C2352">
        <v>208</v>
      </c>
      <c r="D2352">
        <v>37</v>
      </c>
      <c r="E2352">
        <v>13</v>
      </c>
      <c r="F2352">
        <v>0</v>
      </c>
      <c r="G2352" t="s">
        <v>18</v>
      </c>
      <c r="H2352" t="s">
        <v>9</v>
      </c>
      <c r="I2352" t="s">
        <v>1755</v>
      </c>
      <c r="J2352" t="s">
        <v>55</v>
      </c>
      <c r="K2352" t="s">
        <v>1736</v>
      </c>
      <c r="M2352" t="s">
        <v>6</v>
      </c>
    </row>
    <row r="2353" spans="2:13" hidden="1">
      <c r="B2353">
        <v>2351</v>
      </c>
      <c r="C2353">
        <v>208</v>
      </c>
      <c r="D2353">
        <v>37</v>
      </c>
      <c r="E2353">
        <v>14</v>
      </c>
      <c r="F2353">
        <v>0</v>
      </c>
      <c r="G2353" t="s">
        <v>18</v>
      </c>
      <c r="H2353" t="s">
        <v>9</v>
      </c>
      <c r="I2353" t="s">
        <v>1755</v>
      </c>
      <c r="J2353" t="s">
        <v>55</v>
      </c>
      <c r="K2353" t="s">
        <v>1737</v>
      </c>
      <c r="M2353" t="s">
        <v>6</v>
      </c>
    </row>
    <row r="2354" spans="2:13" hidden="1">
      <c r="B2354">
        <v>2352</v>
      </c>
      <c r="C2354">
        <v>208</v>
      </c>
      <c r="D2354">
        <v>37</v>
      </c>
      <c r="E2354">
        <v>15</v>
      </c>
      <c r="F2354">
        <v>0</v>
      </c>
      <c r="G2354" t="s">
        <v>18</v>
      </c>
      <c r="H2354" t="s">
        <v>9</v>
      </c>
      <c r="I2354" t="s">
        <v>1755</v>
      </c>
      <c r="J2354" t="s">
        <v>55</v>
      </c>
      <c r="K2354" t="s">
        <v>1738</v>
      </c>
      <c r="M2354" t="s">
        <v>6</v>
      </c>
    </row>
    <row r="2355" spans="2:13" hidden="1">
      <c r="B2355">
        <v>2353</v>
      </c>
      <c r="C2355">
        <v>208</v>
      </c>
      <c r="D2355">
        <v>37</v>
      </c>
      <c r="E2355">
        <v>16</v>
      </c>
      <c r="F2355">
        <v>0</v>
      </c>
      <c r="G2355" t="s">
        <v>18</v>
      </c>
      <c r="H2355" t="s">
        <v>9</v>
      </c>
      <c r="I2355" t="s">
        <v>1755</v>
      </c>
      <c r="J2355" t="s">
        <v>479</v>
      </c>
      <c r="K2355" t="s">
        <v>1739</v>
      </c>
      <c r="M2355" t="s">
        <v>6</v>
      </c>
    </row>
    <row r="2356" spans="2:13" hidden="1">
      <c r="B2356">
        <v>2354</v>
      </c>
      <c r="C2356">
        <v>208</v>
      </c>
      <c r="D2356">
        <v>37</v>
      </c>
      <c r="E2356">
        <v>17</v>
      </c>
      <c r="F2356">
        <v>0</v>
      </c>
      <c r="G2356" t="s">
        <v>18</v>
      </c>
      <c r="H2356" t="s">
        <v>9</v>
      </c>
      <c r="I2356" t="s">
        <v>1755</v>
      </c>
      <c r="J2356" t="s">
        <v>55</v>
      </c>
      <c r="K2356" t="s">
        <v>1740</v>
      </c>
      <c r="M2356" t="s">
        <v>6</v>
      </c>
    </row>
    <row r="2357" spans="2:13" hidden="1">
      <c r="B2357">
        <v>2355</v>
      </c>
      <c r="C2357">
        <v>208</v>
      </c>
      <c r="D2357">
        <v>37</v>
      </c>
      <c r="E2357">
        <v>18</v>
      </c>
      <c r="F2357">
        <v>0</v>
      </c>
      <c r="G2357" t="s">
        <v>18</v>
      </c>
      <c r="H2357" t="s">
        <v>9</v>
      </c>
      <c r="I2357" t="s">
        <v>1755</v>
      </c>
      <c r="J2357" t="s">
        <v>214</v>
      </c>
      <c r="K2357" t="s">
        <v>1741</v>
      </c>
      <c r="M2357" t="s">
        <v>6</v>
      </c>
    </row>
    <row r="2358" spans="2:13" hidden="1">
      <c r="B2358">
        <v>2356</v>
      </c>
      <c r="C2358">
        <v>208</v>
      </c>
      <c r="D2358">
        <v>37</v>
      </c>
      <c r="E2358">
        <v>19</v>
      </c>
      <c r="F2358">
        <v>0</v>
      </c>
      <c r="G2358" t="s">
        <v>18</v>
      </c>
      <c r="H2358" t="s">
        <v>9</v>
      </c>
      <c r="I2358" t="s">
        <v>1755</v>
      </c>
      <c r="J2358" t="s">
        <v>214</v>
      </c>
      <c r="K2358" t="s">
        <v>1618</v>
      </c>
      <c r="M2358" t="s">
        <v>6</v>
      </c>
    </row>
    <row r="2359" spans="2:13" hidden="1">
      <c r="B2359">
        <v>2357</v>
      </c>
      <c r="C2359">
        <v>208</v>
      </c>
      <c r="D2359">
        <v>37</v>
      </c>
      <c r="E2359">
        <v>20</v>
      </c>
      <c r="F2359">
        <v>0</v>
      </c>
      <c r="G2359" t="s">
        <v>18</v>
      </c>
      <c r="H2359" t="s">
        <v>9</v>
      </c>
      <c r="I2359" t="s">
        <v>1755</v>
      </c>
      <c r="J2359" t="s">
        <v>214</v>
      </c>
      <c r="K2359" t="s">
        <v>1619</v>
      </c>
      <c r="M2359" t="s">
        <v>6</v>
      </c>
    </row>
    <row r="2360" spans="2:13" hidden="1">
      <c r="B2360">
        <v>2358</v>
      </c>
      <c r="C2360">
        <v>208</v>
      </c>
      <c r="D2360">
        <v>37</v>
      </c>
      <c r="E2360">
        <v>21</v>
      </c>
      <c r="F2360">
        <v>0</v>
      </c>
      <c r="G2360" t="s">
        <v>18</v>
      </c>
      <c r="H2360" t="s">
        <v>9</v>
      </c>
      <c r="I2360" t="s">
        <v>1755</v>
      </c>
      <c r="J2360" t="s">
        <v>214</v>
      </c>
      <c r="K2360" t="s">
        <v>1620</v>
      </c>
      <c r="M2360" t="s">
        <v>6</v>
      </c>
    </row>
    <row r="2361" spans="2:13" hidden="1">
      <c r="B2361">
        <v>2359</v>
      </c>
      <c r="C2361">
        <v>208</v>
      </c>
      <c r="D2361">
        <v>37</v>
      </c>
      <c r="E2361">
        <v>22</v>
      </c>
      <c r="F2361">
        <v>0</v>
      </c>
      <c r="G2361" t="s">
        <v>18</v>
      </c>
      <c r="H2361" t="s">
        <v>9</v>
      </c>
      <c r="I2361" t="s">
        <v>1755</v>
      </c>
      <c r="J2361" t="s">
        <v>437</v>
      </c>
      <c r="K2361" t="s">
        <v>1621</v>
      </c>
      <c r="L2361" t="s">
        <v>1272</v>
      </c>
      <c r="M2361" t="s">
        <v>6</v>
      </c>
    </row>
    <row r="2362" spans="2:13" hidden="1">
      <c r="B2362">
        <v>2360</v>
      </c>
      <c r="C2362">
        <v>208</v>
      </c>
      <c r="D2362">
        <v>37</v>
      </c>
      <c r="E2362">
        <v>23</v>
      </c>
      <c r="F2362">
        <v>0</v>
      </c>
      <c r="G2362" t="s">
        <v>18</v>
      </c>
      <c r="H2362" t="s">
        <v>9</v>
      </c>
      <c r="I2362" t="s">
        <v>1755</v>
      </c>
      <c r="J2362" t="s">
        <v>55</v>
      </c>
      <c r="K2362" t="s">
        <v>1581</v>
      </c>
      <c r="M2362" t="s">
        <v>6</v>
      </c>
    </row>
    <row r="2363" spans="2:13" hidden="1">
      <c r="B2363">
        <v>2361</v>
      </c>
      <c r="C2363">
        <v>208</v>
      </c>
      <c r="D2363">
        <v>37</v>
      </c>
      <c r="E2363">
        <v>24</v>
      </c>
      <c r="F2363">
        <v>0</v>
      </c>
      <c r="G2363" t="s">
        <v>18</v>
      </c>
      <c r="H2363" t="s">
        <v>9</v>
      </c>
      <c r="I2363" t="s">
        <v>1755</v>
      </c>
      <c r="J2363" t="s">
        <v>55</v>
      </c>
      <c r="K2363" t="s">
        <v>1582</v>
      </c>
      <c r="M2363" t="s">
        <v>6</v>
      </c>
    </row>
    <row r="2364" spans="2:13" hidden="1">
      <c r="B2364">
        <v>2362</v>
      </c>
      <c r="C2364">
        <v>208</v>
      </c>
      <c r="D2364">
        <v>37</v>
      </c>
      <c r="E2364">
        <v>25</v>
      </c>
      <c r="F2364">
        <v>0</v>
      </c>
      <c r="G2364" t="s">
        <v>18</v>
      </c>
      <c r="H2364" t="s">
        <v>9</v>
      </c>
      <c r="I2364" t="s">
        <v>1755</v>
      </c>
      <c r="J2364" t="s">
        <v>479</v>
      </c>
      <c r="K2364" t="s">
        <v>1744</v>
      </c>
      <c r="M2364" t="s">
        <v>6</v>
      </c>
    </row>
    <row r="2365" spans="2:13" hidden="1">
      <c r="B2365">
        <v>2363</v>
      </c>
      <c r="C2365">
        <v>208</v>
      </c>
      <c r="D2365">
        <v>37</v>
      </c>
      <c r="E2365">
        <v>26</v>
      </c>
      <c r="F2365">
        <v>0</v>
      </c>
      <c r="G2365" t="s">
        <v>18</v>
      </c>
      <c r="H2365" t="s">
        <v>9</v>
      </c>
      <c r="I2365" t="s">
        <v>1755</v>
      </c>
      <c r="J2365" t="s">
        <v>55</v>
      </c>
      <c r="K2365" t="s">
        <v>1745</v>
      </c>
      <c r="M2365" t="s">
        <v>6</v>
      </c>
    </row>
    <row r="2366" spans="2:13" hidden="1">
      <c r="B2366">
        <v>2364</v>
      </c>
      <c r="C2366">
        <v>208</v>
      </c>
      <c r="D2366">
        <v>37</v>
      </c>
      <c r="E2366">
        <v>27</v>
      </c>
      <c r="F2366">
        <v>0</v>
      </c>
      <c r="G2366" t="s">
        <v>18</v>
      </c>
      <c r="H2366" t="s">
        <v>9</v>
      </c>
      <c r="I2366" t="s">
        <v>1755</v>
      </c>
      <c r="J2366" t="s">
        <v>55</v>
      </c>
      <c r="K2366" t="s">
        <v>1746</v>
      </c>
      <c r="M2366" t="s">
        <v>6</v>
      </c>
    </row>
    <row r="2367" spans="2:13" hidden="1">
      <c r="B2367">
        <v>2365</v>
      </c>
      <c r="C2367">
        <v>208</v>
      </c>
      <c r="D2367">
        <v>37</v>
      </c>
      <c r="E2367">
        <v>28</v>
      </c>
      <c r="F2367">
        <v>0</v>
      </c>
      <c r="G2367" t="s">
        <v>18</v>
      </c>
      <c r="H2367" t="s">
        <v>9</v>
      </c>
      <c r="I2367" t="s">
        <v>1755</v>
      </c>
      <c r="J2367" t="s">
        <v>437</v>
      </c>
      <c r="K2367" t="s">
        <v>1747</v>
      </c>
      <c r="L2367" t="s">
        <v>1272</v>
      </c>
      <c r="M2367" t="s">
        <v>6</v>
      </c>
    </row>
    <row r="2368" spans="2:13" hidden="1">
      <c r="B2368">
        <v>2366</v>
      </c>
      <c r="C2368">
        <v>208</v>
      </c>
      <c r="D2368">
        <v>37</v>
      </c>
      <c r="E2368">
        <v>29</v>
      </c>
      <c r="F2368">
        <v>0</v>
      </c>
      <c r="G2368" t="s">
        <v>18</v>
      </c>
      <c r="H2368" t="s">
        <v>9</v>
      </c>
      <c r="I2368" t="s">
        <v>1755</v>
      </c>
      <c r="J2368" t="s">
        <v>55</v>
      </c>
      <c r="K2368" t="s">
        <v>1748</v>
      </c>
      <c r="M2368" t="s">
        <v>6</v>
      </c>
    </row>
    <row r="2369" spans="2:13" hidden="1">
      <c r="B2369">
        <v>2367</v>
      </c>
      <c r="C2369">
        <v>208</v>
      </c>
      <c r="D2369">
        <v>37</v>
      </c>
      <c r="E2369">
        <v>30</v>
      </c>
      <c r="F2369">
        <v>0</v>
      </c>
      <c r="G2369" t="s">
        <v>18</v>
      </c>
      <c r="H2369" t="s">
        <v>9</v>
      </c>
      <c r="I2369" t="s">
        <v>1755</v>
      </c>
      <c r="J2369" t="s">
        <v>55</v>
      </c>
      <c r="K2369" t="s">
        <v>1749</v>
      </c>
      <c r="M2369" t="s">
        <v>6</v>
      </c>
    </row>
    <row r="2370" spans="2:13" hidden="1">
      <c r="B2370">
        <v>2368</v>
      </c>
      <c r="C2370">
        <v>208</v>
      </c>
      <c r="D2370">
        <v>37</v>
      </c>
      <c r="E2370">
        <v>31</v>
      </c>
      <c r="F2370">
        <v>0</v>
      </c>
      <c r="G2370" t="s">
        <v>18</v>
      </c>
      <c r="H2370" t="s">
        <v>9</v>
      </c>
      <c r="I2370" t="s">
        <v>1755</v>
      </c>
      <c r="J2370" t="s">
        <v>55</v>
      </c>
      <c r="K2370" t="s">
        <v>1750</v>
      </c>
      <c r="M2370" t="s">
        <v>6</v>
      </c>
    </row>
    <row r="2371" spans="2:13" hidden="1">
      <c r="B2371">
        <v>2369</v>
      </c>
      <c r="C2371">
        <v>208</v>
      </c>
      <c r="D2371">
        <v>37</v>
      </c>
      <c r="E2371">
        <v>32</v>
      </c>
      <c r="F2371">
        <v>0</v>
      </c>
      <c r="G2371" t="s">
        <v>18</v>
      </c>
      <c r="H2371" t="s">
        <v>9</v>
      </c>
      <c r="I2371" t="s">
        <v>1755</v>
      </c>
      <c r="J2371" t="s">
        <v>479</v>
      </c>
      <c r="K2371" t="s">
        <v>1751</v>
      </c>
      <c r="M2371" t="s">
        <v>6</v>
      </c>
    </row>
    <row r="2372" spans="2:13" hidden="1">
      <c r="B2372">
        <v>2370</v>
      </c>
      <c r="C2372">
        <v>208</v>
      </c>
      <c r="D2372">
        <v>37</v>
      </c>
      <c r="E2372">
        <v>33</v>
      </c>
      <c r="F2372">
        <v>0</v>
      </c>
      <c r="G2372" t="s">
        <v>18</v>
      </c>
      <c r="H2372" t="s">
        <v>9</v>
      </c>
      <c r="I2372" t="s">
        <v>1755</v>
      </c>
      <c r="J2372" t="s">
        <v>55</v>
      </c>
      <c r="K2372" t="s">
        <v>1752</v>
      </c>
      <c r="M2372" t="s">
        <v>6</v>
      </c>
    </row>
    <row r="2373" spans="2:13" hidden="1">
      <c r="B2373">
        <v>2371</v>
      </c>
      <c r="C2373">
        <v>208</v>
      </c>
      <c r="D2373">
        <v>37</v>
      </c>
      <c r="E2373">
        <v>34</v>
      </c>
      <c r="F2373">
        <v>0</v>
      </c>
      <c r="G2373" t="s">
        <v>18</v>
      </c>
      <c r="H2373" t="s">
        <v>9</v>
      </c>
      <c r="I2373" t="s">
        <v>1755</v>
      </c>
      <c r="J2373" t="s">
        <v>64</v>
      </c>
      <c r="K2373" t="s">
        <v>1753</v>
      </c>
      <c r="M2373" t="s">
        <v>6</v>
      </c>
    </row>
    <row r="2374" spans="2:13" hidden="1">
      <c r="B2374">
        <v>2372</v>
      </c>
      <c r="C2374">
        <v>208</v>
      </c>
      <c r="D2374">
        <v>37</v>
      </c>
      <c r="E2374">
        <v>35</v>
      </c>
      <c r="F2374">
        <v>0</v>
      </c>
      <c r="G2374" t="s">
        <v>18</v>
      </c>
      <c r="H2374" t="s">
        <v>9</v>
      </c>
      <c r="I2374" t="s">
        <v>1755</v>
      </c>
      <c r="J2374" t="s">
        <v>55</v>
      </c>
      <c r="K2374" t="s">
        <v>1754</v>
      </c>
      <c r="M2374" t="s">
        <v>6</v>
      </c>
    </row>
    <row r="2375" spans="2:13" hidden="1">
      <c r="B2375">
        <v>2373</v>
      </c>
      <c r="C2375">
        <v>208</v>
      </c>
      <c r="D2375">
        <v>37</v>
      </c>
      <c r="E2375">
        <v>36</v>
      </c>
      <c r="F2375">
        <v>0</v>
      </c>
      <c r="G2375" t="s">
        <v>18</v>
      </c>
      <c r="H2375" t="s">
        <v>9</v>
      </c>
      <c r="I2375" t="s">
        <v>1755</v>
      </c>
      <c r="J2375" t="s">
        <v>55</v>
      </c>
      <c r="K2375" t="s">
        <v>93</v>
      </c>
      <c r="M2375" t="s">
        <v>6</v>
      </c>
    </row>
    <row r="2376" spans="2:13" hidden="1">
      <c r="B2376">
        <v>2374</v>
      </c>
      <c r="C2376">
        <v>208</v>
      </c>
      <c r="D2376">
        <v>37</v>
      </c>
      <c r="E2376">
        <v>37</v>
      </c>
      <c r="F2376">
        <v>0</v>
      </c>
      <c r="G2376" t="s">
        <v>18</v>
      </c>
      <c r="H2376" t="s">
        <v>9</v>
      </c>
      <c r="I2376" t="s">
        <v>1755</v>
      </c>
      <c r="J2376" t="s">
        <v>64</v>
      </c>
      <c r="K2376" t="s">
        <v>94</v>
      </c>
      <c r="M2376" t="s">
        <v>6</v>
      </c>
    </row>
    <row r="2377" spans="2:13" hidden="1">
      <c r="B2377">
        <v>2375</v>
      </c>
      <c r="C2377">
        <v>209</v>
      </c>
      <c r="D2377">
        <v>15</v>
      </c>
      <c r="E2377">
        <v>0</v>
      </c>
      <c r="F2377">
        <v>0</v>
      </c>
      <c r="G2377" t="s">
        <v>18</v>
      </c>
      <c r="H2377" t="s">
        <v>9</v>
      </c>
      <c r="I2377" t="s">
        <v>1756</v>
      </c>
      <c r="J2377" t="s">
        <v>54</v>
      </c>
      <c r="K2377" t="s">
        <v>1756</v>
      </c>
      <c r="M2377" t="s">
        <v>6</v>
      </c>
    </row>
    <row r="2378" spans="2:13" hidden="1">
      <c r="B2378">
        <v>2376</v>
      </c>
      <c r="C2378">
        <v>209</v>
      </c>
      <c r="D2378">
        <v>15</v>
      </c>
      <c r="E2378">
        <v>1</v>
      </c>
      <c r="F2378">
        <v>0</v>
      </c>
      <c r="G2378" t="s">
        <v>18</v>
      </c>
      <c r="H2378" t="s">
        <v>9</v>
      </c>
      <c r="I2378" t="s">
        <v>1756</v>
      </c>
      <c r="J2378" t="s">
        <v>55</v>
      </c>
      <c r="K2378" t="s">
        <v>1722</v>
      </c>
      <c r="M2378" t="s">
        <v>6</v>
      </c>
    </row>
    <row r="2379" spans="2:13" hidden="1">
      <c r="B2379">
        <v>2377</v>
      </c>
      <c r="C2379">
        <v>209</v>
      </c>
      <c r="D2379">
        <v>15</v>
      </c>
      <c r="E2379">
        <v>2</v>
      </c>
      <c r="F2379">
        <v>0</v>
      </c>
      <c r="G2379" t="s">
        <v>18</v>
      </c>
      <c r="H2379" t="s">
        <v>9</v>
      </c>
      <c r="I2379" t="s">
        <v>1756</v>
      </c>
      <c r="J2379" t="s">
        <v>55</v>
      </c>
      <c r="K2379" t="s">
        <v>1723</v>
      </c>
      <c r="M2379" t="s">
        <v>6</v>
      </c>
    </row>
    <row r="2380" spans="2:13" hidden="1">
      <c r="B2380">
        <v>2378</v>
      </c>
      <c r="C2380">
        <v>209</v>
      </c>
      <c r="D2380">
        <v>15</v>
      </c>
      <c r="E2380">
        <v>3</v>
      </c>
      <c r="F2380">
        <v>0</v>
      </c>
      <c r="G2380" t="s">
        <v>18</v>
      </c>
      <c r="H2380" t="s">
        <v>9</v>
      </c>
      <c r="I2380" t="s">
        <v>1756</v>
      </c>
      <c r="J2380" t="s">
        <v>55</v>
      </c>
      <c r="K2380" t="s">
        <v>1724</v>
      </c>
      <c r="M2380" t="s">
        <v>6</v>
      </c>
    </row>
    <row r="2381" spans="2:13" hidden="1">
      <c r="B2381">
        <v>2379</v>
      </c>
      <c r="C2381">
        <v>209</v>
      </c>
      <c r="D2381">
        <v>15</v>
      </c>
      <c r="E2381">
        <v>4</v>
      </c>
      <c r="F2381">
        <v>0</v>
      </c>
      <c r="G2381" t="s">
        <v>18</v>
      </c>
      <c r="H2381" t="s">
        <v>9</v>
      </c>
      <c r="I2381" t="s">
        <v>1756</v>
      </c>
      <c r="J2381" t="s">
        <v>55</v>
      </c>
      <c r="K2381" t="s">
        <v>1725</v>
      </c>
      <c r="M2381" t="s">
        <v>6</v>
      </c>
    </row>
    <row r="2382" spans="2:13" hidden="1">
      <c r="B2382">
        <v>2380</v>
      </c>
      <c r="C2382">
        <v>209</v>
      </c>
      <c r="D2382">
        <v>15</v>
      </c>
      <c r="E2382">
        <v>5</v>
      </c>
      <c r="F2382">
        <v>0</v>
      </c>
      <c r="G2382" t="s">
        <v>18</v>
      </c>
      <c r="H2382" t="s">
        <v>9</v>
      </c>
      <c r="I2382" t="s">
        <v>1756</v>
      </c>
      <c r="J2382" t="s">
        <v>55</v>
      </c>
      <c r="K2382" t="s">
        <v>1726</v>
      </c>
      <c r="M2382" t="s">
        <v>6</v>
      </c>
    </row>
    <row r="2383" spans="2:13" hidden="1">
      <c r="B2383">
        <v>2381</v>
      </c>
      <c r="C2383">
        <v>209</v>
      </c>
      <c r="D2383">
        <v>15</v>
      </c>
      <c r="E2383">
        <v>6</v>
      </c>
      <c r="F2383">
        <v>0</v>
      </c>
      <c r="G2383" t="s">
        <v>18</v>
      </c>
      <c r="H2383" t="s">
        <v>9</v>
      </c>
      <c r="I2383" t="s">
        <v>1756</v>
      </c>
      <c r="J2383" t="s">
        <v>99</v>
      </c>
      <c r="K2383" t="s">
        <v>1727</v>
      </c>
      <c r="M2383" t="s">
        <v>6</v>
      </c>
    </row>
    <row r="2384" spans="2:13" hidden="1">
      <c r="B2384">
        <v>2382</v>
      </c>
      <c r="C2384">
        <v>209</v>
      </c>
      <c r="D2384">
        <v>15</v>
      </c>
      <c r="E2384">
        <v>7</v>
      </c>
      <c r="F2384">
        <v>0</v>
      </c>
      <c r="G2384" t="s">
        <v>18</v>
      </c>
      <c r="H2384" t="s">
        <v>9</v>
      </c>
      <c r="I2384" t="s">
        <v>1756</v>
      </c>
      <c r="J2384" t="s">
        <v>99</v>
      </c>
      <c r="K2384" t="s">
        <v>1728</v>
      </c>
      <c r="M2384" t="s">
        <v>6</v>
      </c>
    </row>
    <row r="2385" spans="2:13" hidden="1">
      <c r="B2385">
        <v>2383</v>
      </c>
      <c r="C2385">
        <v>209</v>
      </c>
      <c r="D2385">
        <v>15</v>
      </c>
      <c r="E2385">
        <v>8</v>
      </c>
      <c r="F2385">
        <v>0</v>
      </c>
      <c r="G2385" t="s">
        <v>18</v>
      </c>
      <c r="H2385" t="s">
        <v>9</v>
      </c>
      <c r="I2385" t="s">
        <v>1756</v>
      </c>
      <c r="J2385" t="s">
        <v>55</v>
      </c>
      <c r="K2385" t="s">
        <v>1729</v>
      </c>
      <c r="M2385" t="s">
        <v>6</v>
      </c>
    </row>
    <row r="2386" spans="2:13" hidden="1">
      <c r="B2386">
        <v>2384</v>
      </c>
      <c r="C2386">
        <v>209</v>
      </c>
      <c r="D2386">
        <v>15</v>
      </c>
      <c r="E2386">
        <v>9</v>
      </c>
      <c r="F2386">
        <v>0</v>
      </c>
      <c r="G2386" t="s">
        <v>18</v>
      </c>
      <c r="H2386" t="s">
        <v>9</v>
      </c>
      <c r="I2386" t="s">
        <v>1756</v>
      </c>
      <c r="J2386" t="s">
        <v>55</v>
      </c>
      <c r="K2386" t="s">
        <v>1730</v>
      </c>
      <c r="M2386" t="s">
        <v>6</v>
      </c>
    </row>
    <row r="2387" spans="2:13" hidden="1">
      <c r="B2387">
        <v>2385</v>
      </c>
      <c r="C2387">
        <v>209</v>
      </c>
      <c r="D2387">
        <v>15</v>
      </c>
      <c r="E2387">
        <v>10</v>
      </c>
      <c r="F2387">
        <v>0</v>
      </c>
      <c r="G2387" t="s">
        <v>18</v>
      </c>
      <c r="H2387" t="s">
        <v>9</v>
      </c>
      <c r="I2387" t="s">
        <v>1756</v>
      </c>
      <c r="J2387" t="s">
        <v>55</v>
      </c>
      <c r="K2387" t="s">
        <v>1731</v>
      </c>
      <c r="M2387" t="s">
        <v>6</v>
      </c>
    </row>
    <row r="2388" spans="2:13" hidden="1">
      <c r="B2388">
        <v>2386</v>
      </c>
      <c r="C2388">
        <v>209</v>
      </c>
      <c r="D2388">
        <v>15</v>
      </c>
      <c r="E2388">
        <v>11</v>
      </c>
      <c r="F2388">
        <v>0</v>
      </c>
      <c r="G2388" t="s">
        <v>18</v>
      </c>
      <c r="H2388" t="s">
        <v>9</v>
      </c>
      <c r="I2388" t="s">
        <v>1756</v>
      </c>
      <c r="J2388" t="s">
        <v>55</v>
      </c>
      <c r="K2388" t="s">
        <v>1732</v>
      </c>
      <c r="M2388" t="s">
        <v>6</v>
      </c>
    </row>
    <row r="2389" spans="2:13" hidden="1">
      <c r="B2389">
        <v>2387</v>
      </c>
      <c r="C2389">
        <v>209</v>
      </c>
      <c r="D2389">
        <v>15</v>
      </c>
      <c r="E2389">
        <v>12</v>
      </c>
      <c r="F2389">
        <v>0</v>
      </c>
      <c r="G2389" t="s">
        <v>18</v>
      </c>
      <c r="H2389" t="s">
        <v>9</v>
      </c>
      <c r="I2389" t="s">
        <v>1756</v>
      </c>
      <c r="J2389" t="s">
        <v>55</v>
      </c>
      <c r="K2389" t="s">
        <v>1583</v>
      </c>
      <c r="M2389" t="s">
        <v>6</v>
      </c>
    </row>
    <row r="2390" spans="2:13" hidden="1">
      <c r="B2390">
        <v>2388</v>
      </c>
      <c r="C2390">
        <v>209</v>
      </c>
      <c r="D2390">
        <v>15</v>
      </c>
      <c r="E2390">
        <v>13</v>
      </c>
      <c r="F2390">
        <v>0</v>
      </c>
      <c r="G2390" t="s">
        <v>18</v>
      </c>
      <c r="H2390" t="s">
        <v>9</v>
      </c>
      <c r="I2390" t="s">
        <v>1756</v>
      </c>
      <c r="J2390" t="s">
        <v>55</v>
      </c>
      <c r="K2390" t="s">
        <v>1733</v>
      </c>
      <c r="M2390" t="s">
        <v>6</v>
      </c>
    </row>
    <row r="2391" spans="2:13" hidden="1">
      <c r="B2391">
        <v>2389</v>
      </c>
      <c r="C2391">
        <v>209</v>
      </c>
      <c r="D2391">
        <v>15</v>
      </c>
      <c r="E2391">
        <v>14</v>
      </c>
      <c r="F2391">
        <v>0</v>
      </c>
      <c r="G2391" t="s">
        <v>18</v>
      </c>
      <c r="H2391" t="s">
        <v>9</v>
      </c>
      <c r="I2391" t="s">
        <v>1756</v>
      </c>
      <c r="J2391" t="s">
        <v>55</v>
      </c>
      <c r="K2391" t="s">
        <v>93</v>
      </c>
      <c r="M2391" t="s">
        <v>6</v>
      </c>
    </row>
    <row r="2392" spans="2:13" hidden="1">
      <c r="B2392">
        <v>2390</v>
      </c>
      <c r="C2392">
        <v>209</v>
      </c>
      <c r="D2392">
        <v>15</v>
      </c>
      <c r="E2392">
        <v>15</v>
      </c>
      <c r="F2392">
        <v>0</v>
      </c>
      <c r="G2392" t="s">
        <v>18</v>
      </c>
      <c r="H2392" t="s">
        <v>9</v>
      </c>
      <c r="I2392" t="s">
        <v>1756</v>
      </c>
      <c r="J2392" t="s">
        <v>64</v>
      </c>
      <c r="K2392" t="s">
        <v>94</v>
      </c>
      <c r="M2392" t="s">
        <v>6</v>
      </c>
    </row>
    <row r="2393" spans="2:13" hidden="1">
      <c r="B2393">
        <v>2391</v>
      </c>
      <c r="C2393">
        <v>210</v>
      </c>
      <c r="D2393">
        <v>13</v>
      </c>
      <c r="E2393">
        <v>0</v>
      </c>
      <c r="F2393">
        <v>0</v>
      </c>
      <c r="G2393" t="s">
        <v>18</v>
      </c>
      <c r="H2393" t="s">
        <v>9</v>
      </c>
      <c r="I2393" t="s">
        <v>1757</v>
      </c>
      <c r="J2393" t="s">
        <v>54</v>
      </c>
      <c r="K2393" t="s">
        <v>1757</v>
      </c>
      <c r="M2393" t="s">
        <v>6</v>
      </c>
    </row>
    <row r="2394" spans="2:13" hidden="1">
      <c r="B2394">
        <v>2392</v>
      </c>
      <c r="C2394">
        <v>210</v>
      </c>
      <c r="D2394">
        <v>13</v>
      </c>
      <c r="E2394">
        <v>1</v>
      </c>
      <c r="F2394">
        <v>0</v>
      </c>
      <c r="G2394" t="s">
        <v>18</v>
      </c>
      <c r="H2394" t="s">
        <v>9</v>
      </c>
      <c r="I2394" t="s">
        <v>1757</v>
      </c>
      <c r="J2394" t="s">
        <v>55</v>
      </c>
      <c r="K2394" t="s">
        <v>1758</v>
      </c>
      <c r="M2394" t="s">
        <v>6</v>
      </c>
    </row>
    <row r="2395" spans="2:13" hidden="1">
      <c r="B2395">
        <v>2393</v>
      </c>
      <c r="C2395">
        <v>210</v>
      </c>
      <c r="D2395">
        <v>13</v>
      </c>
      <c r="E2395">
        <v>2</v>
      </c>
      <c r="F2395">
        <v>0</v>
      </c>
      <c r="G2395" t="s">
        <v>18</v>
      </c>
      <c r="H2395" t="s">
        <v>9</v>
      </c>
      <c r="I2395" t="s">
        <v>1757</v>
      </c>
      <c r="J2395" t="s">
        <v>214</v>
      </c>
      <c r="K2395" t="s">
        <v>569</v>
      </c>
      <c r="M2395" t="s">
        <v>6</v>
      </c>
    </row>
    <row r="2396" spans="2:13" hidden="1">
      <c r="B2396">
        <v>2394</v>
      </c>
      <c r="C2396">
        <v>210</v>
      </c>
      <c r="D2396">
        <v>13</v>
      </c>
      <c r="E2396">
        <v>3</v>
      </c>
      <c r="F2396">
        <v>0</v>
      </c>
      <c r="G2396" t="s">
        <v>18</v>
      </c>
      <c r="H2396" t="s">
        <v>9</v>
      </c>
      <c r="I2396" t="s">
        <v>1757</v>
      </c>
      <c r="J2396" t="s">
        <v>55</v>
      </c>
      <c r="K2396" t="s">
        <v>1759</v>
      </c>
      <c r="M2396" t="s">
        <v>6</v>
      </c>
    </row>
    <row r="2397" spans="2:13" hidden="1">
      <c r="B2397">
        <v>2395</v>
      </c>
      <c r="C2397">
        <v>210</v>
      </c>
      <c r="D2397">
        <v>13</v>
      </c>
      <c r="E2397">
        <v>4</v>
      </c>
      <c r="F2397">
        <v>0</v>
      </c>
      <c r="G2397" t="s">
        <v>18</v>
      </c>
      <c r="H2397" t="s">
        <v>9</v>
      </c>
      <c r="I2397" t="s">
        <v>1757</v>
      </c>
      <c r="J2397" t="s">
        <v>55</v>
      </c>
      <c r="K2397" t="s">
        <v>1760</v>
      </c>
      <c r="M2397" t="s">
        <v>6</v>
      </c>
    </row>
    <row r="2398" spans="2:13" hidden="1">
      <c r="B2398">
        <v>2396</v>
      </c>
      <c r="C2398">
        <v>210</v>
      </c>
      <c r="D2398">
        <v>13</v>
      </c>
      <c r="E2398">
        <v>5</v>
      </c>
      <c r="F2398">
        <v>0</v>
      </c>
      <c r="G2398" t="s">
        <v>18</v>
      </c>
      <c r="H2398" t="s">
        <v>9</v>
      </c>
      <c r="I2398" t="s">
        <v>1757</v>
      </c>
      <c r="J2398" t="s">
        <v>55</v>
      </c>
      <c r="K2398" t="s">
        <v>1761</v>
      </c>
      <c r="M2398" t="s">
        <v>6</v>
      </c>
    </row>
    <row r="2399" spans="2:13" hidden="1">
      <c r="B2399">
        <v>2397</v>
      </c>
      <c r="C2399">
        <v>210</v>
      </c>
      <c r="D2399">
        <v>13</v>
      </c>
      <c r="E2399">
        <v>6</v>
      </c>
      <c r="F2399">
        <v>0</v>
      </c>
      <c r="G2399" t="s">
        <v>18</v>
      </c>
      <c r="H2399" t="s">
        <v>9</v>
      </c>
      <c r="I2399" t="s">
        <v>1757</v>
      </c>
      <c r="J2399" t="s">
        <v>55</v>
      </c>
      <c r="K2399" t="s">
        <v>1762</v>
      </c>
      <c r="M2399" t="s">
        <v>6</v>
      </c>
    </row>
    <row r="2400" spans="2:13" hidden="1">
      <c r="B2400">
        <v>2398</v>
      </c>
      <c r="C2400">
        <v>210</v>
      </c>
      <c r="D2400">
        <v>13</v>
      </c>
      <c r="E2400">
        <v>7</v>
      </c>
      <c r="F2400">
        <v>0</v>
      </c>
      <c r="G2400" t="s">
        <v>18</v>
      </c>
      <c r="H2400" t="s">
        <v>9</v>
      </c>
      <c r="I2400" t="s">
        <v>1757</v>
      </c>
      <c r="J2400" t="s">
        <v>55</v>
      </c>
      <c r="K2400" t="s">
        <v>1763</v>
      </c>
      <c r="M2400" t="s">
        <v>6</v>
      </c>
    </row>
    <row r="2401" spans="2:13" hidden="1">
      <c r="B2401">
        <v>2399</v>
      </c>
      <c r="C2401">
        <v>210</v>
      </c>
      <c r="D2401">
        <v>13</v>
      </c>
      <c r="E2401">
        <v>8</v>
      </c>
      <c r="F2401">
        <v>0</v>
      </c>
      <c r="G2401" t="s">
        <v>18</v>
      </c>
      <c r="H2401" t="s">
        <v>9</v>
      </c>
      <c r="I2401" t="s">
        <v>1757</v>
      </c>
      <c r="J2401" t="s">
        <v>214</v>
      </c>
      <c r="K2401" t="s">
        <v>1764</v>
      </c>
      <c r="M2401" t="s">
        <v>6</v>
      </c>
    </row>
    <row r="2402" spans="2:13" hidden="1">
      <c r="B2402">
        <v>2400</v>
      </c>
      <c r="C2402">
        <v>210</v>
      </c>
      <c r="D2402">
        <v>13</v>
      </c>
      <c r="E2402">
        <v>9</v>
      </c>
      <c r="F2402">
        <v>0</v>
      </c>
      <c r="G2402" t="s">
        <v>18</v>
      </c>
      <c r="H2402" t="s">
        <v>9</v>
      </c>
      <c r="I2402" t="s">
        <v>1757</v>
      </c>
      <c r="J2402" t="s">
        <v>55</v>
      </c>
      <c r="K2402" t="s">
        <v>1765</v>
      </c>
      <c r="M2402" t="s">
        <v>6</v>
      </c>
    </row>
    <row r="2403" spans="2:13" hidden="1">
      <c r="B2403">
        <v>2401</v>
      </c>
      <c r="C2403">
        <v>210</v>
      </c>
      <c r="D2403">
        <v>13</v>
      </c>
      <c r="E2403">
        <v>10</v>
      </c>
      <c r="F2403">
        <v>0</v>
      </c>
      <c r="G2403" t="s">
        <v>18</v>
      </c>
      <c r="H2403" t="s">
        <v>9</v>
      </c>
      <c r="I2403" t="s">
        <v>1757</v>
      </c>
      <c r="J2403" t="s">
        <v>214</v>
      </c>
      <c r="K2403" t="s">
        <v>1766</v>
      </c>
      <c r="M2403" t="s">
        <v>6</v>
      </c>
    </row>
    <row r="2404" spans="2:13" hidden="1">
      <c r="B2404">
        <v>2402</v>
      </c>
      <c r="C2404">
        <v>210</v>
      </c>
      <c r="D2404">
        <v>13</v>
      </c>
      <c r="E2404">
        <v>11</v>
      </c>
      <c r="F2404">
        <v>0</v>
      </c>
      <c r="G2404" t="s">
        <v>18</v>
      </c>
      <c r="H2404" t="s">
        <v>9</v>
      </c>
      <c r="I2404" t="s">
        <v>1757</v>
      </c>
      <c r="J2404" t="s">
        <v>55</v>
      </c>
      <c r="K2404" t="s">
        <v>1767</v>
      </c>
      <c r="M2404" t="s">
        <v>6</v>
      </c>
    </row>
    <row r="2405" spans="2:13" hidden="1">
      <c r="B2405">
        <v>2403</v>
      </c>
      <c r="C2405">
        <v>210</v>
      </c>
      <c r="D2405">
        <v>13</v>
      </c>
      <c r="E2405">
        <v>12</v>
      </c>
      <c r="F2405">
        <v>0</v>
      </c>
      <c r="G2405" t="s">
        <v>18</v>
      </c>
      <c r="H2405" t="s">
        <v>9</v>
      </c>
      <c r="I2405" t="s">
        <v>1757</v>
      </c>
      <c r="J2405" t="s">
        <v>55</v>
      </c>
      <c r="K2405" t="s">
        <v>93</v>
      </c>
      <c r="M2405" t="s">
        <v>6</v>
      </c>
    </row>
    <row r="2406" spans="2:13" hidden="1">
      <c r="B2406">
        <v>2404</v>
      </c>
      <c r="C2406">
        <v>210</v>
      </c>
      <c r="D2406">
        <v>13</v>
      </c>
      <c r="E2406">
        <v>13</v>
      </c>
      <c r="F2406">
        <v>0</v>
      </c>
      <c r="G2406" t="s">
        <v>18</v>
      </c>
      <c r="H2406" t="s">
        <v>9</v>
      </c>
      <c r="I2406" t="s">
        <v>1757</v>
      </c>
      <c r="J2406" t="s">
        <v>64</v>
      </c>
      <c r="K2406" t="s">
        <v>94</v>
      </c>
      <c r="M2406" t="s">
        <v>6</v>
      </c>
    </row>
    <row r="2407" spans="2:13" hidden="1">
      <c r="B2407">
        <v>2405</v>
      </c>
      <c r="C2407">
        <v>211</v>
      </c>
      <c r="D2407">
        <v>10</v>
      </c>
      <c r="E2407">
        <v>0</v>
      </c>
      <c r="F2407">
        <v>0</v>
      </c>
      <c r="G2407" t="s">
        <v>18</v>
      </c>
      <c r="H2407" t="s">
        <v>9</v>
      </c>
      <c r="I2407" t="s">
        <v>1768</v>
      </c>
      <c r="J2407" t="s">
        <v>54</v>
      </c>
      <c r="K2407" t="s">
        <v>1768</v>
      </c>
      <c r="M2407" t="s">
        <v>470</v>
      </c>
    </row>
    <row r="2408" spans="2:13" hidden="1">
      <c r="B2408">
        <v>2406</v>
      </c>
      <c r="C2408">
        <v>211</v>
      </c>
      <c r="D2408">
        <v>10</v>
      </c>
      <c r="E2408">
        <v>1</v>
      </c>
      <c r="F2408">
        <v>0</v>
      </c>
      <c r="G2408" t="s">
        <v>18</v>
      </c>
      <c r="H2408" t="s">
        <v>9</v>
      </c>
      <c r="I2408" t="s">
        <v>1768</v>
      </c>
      <c r="J2408" t="s">
        <v>55</v>
      </c>
      <c r="K2408" t="s">
        <v>1769</v>
      </c>
      <c r="M2408" t="s">
        <v>470</v>
      </c>
    </row>
    <row r="2409" spans="2:13" hidden="1">
      <c r="B2409">
        <v>2407</v>
      </c>
      <c r="C2409">
        <v>211</v>
      </c>
      <c r="D2409">
        <v>10</v>
      </c>
      <c r="E2409">
        <v>2</v>
      </c>
      <c r="F2409">
        <v>0</v>
      </c>
      <c r="G2409" t="s">
        <v>18</v>
      </c>
      <c r="H2409" t="s">
        <v>9</v>
      </c>
      <c r="I2409" t="s">
        <v>1768</v>
      </c>
      <c r="J2409" t="s">
        <v>55</v>
      </c>
      <c r="K2409" t="s">
        <v>1770</v>
      </c>
      <c r="M2409" t="s">
        <v>470</v>
      </c>
    </row>
    <row r="2410" spans="2:13" hidden="1">
      <c r="B2410">
        <v>2408</v>
      </c>
      <c r="C2410">
        <v>211</v>
      </c>
      <c r="D2410">
        <v>10</v>
      </c>
      <c r="E2410">
        <v>3</v>
      </c>
      <c r="F2410">
        <v>0</v>
      </c>
      <c r="G2410" t="s">
        <v>18</v>
      </c>
      <c r="H2410" t="s">
        <v>9</v>
      </c>
      <c r="I2410" t="s">
        <v>1768</v>
      </c>
      <c r="J2410" t="s">
        <v>55</v>
      </c>
      <c r="K2410" t="s">
        <v>1771</v>
      </c>
      <c r="M2410" t="s">
        <v>470</v>
      </c>
    </row>
    <row r="2411" spans="2:13" hidden="1">
      <c r="B2411">
        <v>2409</v>
      </c>
      <c r="C2411">
        <v>211</v>
      </c>
      <c r="D2411">
        <v>10</v>
      </c>
      <c r="E2411">
        <v>4</v>
      </c>
      <c r="F2411">
        <v>0</v>
      </c>
      <c r="G2411" t="s">
        <v>18</v>
      </c>
      <c r="H2411" t="s">
        <v>9</v>
      </c>
      <c r="I2411" t="s">
        <v>1768</v>
      </c>
      <c r="J2411" t="s">
        <v>55</v>
      </c>
      <c r="K2411" t="s">
        <v>1772</v>
      </c>
      <c r="M2411" t="s">
        <v>470</v>
      </c>
    </row>
    <row r="2412" spans="2:13" hidden="1">
      <c r="B2412">
        <v>2410</v>
      </c>
      <c r="C2412">
        <v>211</v>
      </c>
      <c r="D2412">
        <v>10</v>
      </c>
      <c r="E2412">
        <v>5</v>
      </c>
      <c r="F2412">
        <v>0</v>
      </c>
      <c r="G2412" t="s">
        <v>18</v>
      </c>
      <c r="H2412" t="s">
        <v>9</v>
      </c>
      <c r="I2412" t="s">
        <v>1768</v>
      </c>
      <c r="J2412" t="s">
        <v>55</v>
      </c>
      <c r="K2412" t="s">
        <v>1773</v>
      </c>
      <c r="M2412" t="s">
        <v>470</v>
      </c>
    </row>
    <row r="2413" spans="2:13" hidden="1">
      <c r="B2413">
        <v>2411</v>
      </c>
      <c r="C2413">
        <v>211</v>
      </c>
      <c r="D2413">
        <v>10</v>
      </c>
      <c r="E2413">
        <v>6</v>
      </c>
      <c r="F2413">
        <v>0</v>
      </c>
      <c r="G2413" t="s">
        <v>18</v>
      </c>
      <c r="H2413" t="s">
        <v>9</v>
      </c>
      <c r="I2413" t="s">
        <v>1768</v>
      </c>
      <c r="J2413" t="s">
        <v>55</v>
      </c>
      <c r="K2413" t="s">
        <v>1774</v>
      </c>
      <c r="M2413" t="s">
        <v>470</v>
      </c>
    </row>
    <row r="2414" spans="2:13" hidden="1">
      <c r="B2414">
        <v>2412</v>
      </c>
      <c r="C2414">
        <v>211</v>
      </c>
      <c r="D2414">
        <v>10</v>
      </c>
      <c r="E2414">
        <v>7</v>
      </c>
      <c r="F2414">
        <v>0</v>
      </c>
      <c r="G2414" t="s">
        <v>18</v>
      </c>
      <c r="H2414" t="s">
        <v>9</v>
      </c>
      <c r="I2414" t="s">
        <v>1768</v>
      </c>
      <c r="J2414" t="s">
        <v>55</v>
      </c>
      <c r="K2414" t="s">
        <v>1775</v>
      </c>
      <c r="M2414" t="s">
        <v>470</v>
      </c>
    </row>
    <row r="2415" spans="2:13" hidden="1">
      <c r="B2415">
        <v>2413</v>
      </c>
      <c r="C2415">
        <v>211</v>
      </c>
      <c r="D2415">
        <v>10</v>
      </c>
      <c r="E2415">
        <v>8</v>
      </c>
      <c r="F2415">
        <v>0</v>
      </c>
      <c r="G2415" t="s">
        <v>18</v>
      </c>
      <c r="H2415" t="s">
        <v>9</v>
      </c>
      <c r="I2415" t="s">
        <v>1768</v>
      </c>
      <c r="J2415" t="s">
        <v>55</v>
      </c>
      <c r="K2415" t="s">
        <v>1776</v>
      </c>
      <c r="M2415" t="s">
        <v>470</v>
      </c>
    </row>
    <row r="2416" spans="2:13" hidden="1">
      <c r="B2416">
        <v>2414</v>
      </c>
      <c r="C2416">
        <v>211</v>
      </c>
      <c r="D2416">
        <v>10</v>
      </c>
      <c r="E2416">
        <v>9</v>
      </c>
      <c r="F2416">
        <v>0</v>
      </c>
      <c r="G2416" t="s">
        <v>18</v>
      </c>
      <c r="H2416" t="s">
        <v>9</v>
      </c>
      <c r="I2416" t="s">
        <v>1768</v>
      </c>
      <c r="J2416" t="s">
        <v>55</v>
      </c>
      <c r="K2416" t="s">
        <v>1777</v>
      </c>
      <c r="M2416" t="s">
        <v>470</v>
      </c>
    </row>
    <row r="2417" spans="2:13" hidden="1">
      <c r="B2417">
        <v>2415</v>
      </c>
      <c r="C2417">
        <v>211</v>
      </c>
      <c r="D2417">
        <v>10</v>
      </c>
      <c r="E2417">
        <v>10</v>
      </c>
      <c r="F2417">
        <v>0</v>
      </c>
      <c r="G2417" t="s">
        <v>18</v>
      </c>
      <c r="H2417" t="s">
        <v>9</v>
      </c>
      <c r="I2417" t="s">
        <v>1768</v>
      </c>
      <c r="J2417" t="s">
        <v>64</v>
      </c>
      <c r="K2417" t="s">
        <v>94</v>
      </c>
      <c r="M2417" t="s">
        <v>470</v>
      </c>
    </row>
    <row r="2418" spans="2:13" hidden="1">
      <c r="B2418">
        <v>2416</v>
      </c>
      <c r="C2418">
        <v>212</v>
      </c>
      <c r="D2418">
        <v>27</v>
      </c>
      <c r="E2418">
        <v>0</v>
      </c>
      <c r="F2418">
        <v>0</v>
      </c>
      <c r="G2418" t="s">
        <v>18</v>
      </c>
      <c r="H2418" t="s">
        <v>9</v>
      </c>
      <c r="I2418" t="s">
        <v>1778</v>
      </c>
      <c r="J2418" t="s">
        <v>54</v>
      </c>
      <c r="K2418" t="s">
        <v>1778</v>
      </c>
      <c r="M2418" t="s">
        <v>6</v>
      </c>
    </row>
    <row r="2419" spans="2:13" hidden="1">
      <c r="B2419">
        <v>2417</v>
      </c>
      <c r="C2419">
        <v>212</v>
      </c>
      <c r="D2419">
        <v>27</v>
      </c>
      <c r="E2419">
        <v>1</v>
      </c>
      <c r="F2419">
        <v>0</v>
      </c>
      <c r="G2419" t="s">
        <v>18</v>
      </c>
      <c r="H2419" t="s">
        <v>9</v>
      </c>
      <c r="I2419" t="s">
        <v>1778</v>
      </c>
      <c r="J2419" t="s">
        <v>479</v>
      </c>
      <c r="K2419" t="s">
        <v>1716</v>
      </c>
      <c r="M2419" t="s">
        <v>6</v>
      </c>
    </row>
    <row r="2420" spans="2:13" hidden="1">
      <c r="B2420">
        <v>2418</v>
      </c>
      <c r="C2420">
        <v>212</v>
      </c>
      <c r="D2420">
        <v>27</v>
      </c>
      <c r="E2420">
        <v>2</v>
      </c>
      <c r="F2420">
        <v>0</v>
      </c>
      <c r="G2420" t="s">
        <v>18</v>
      </c>
      <c r="H2420" t="s">
        <v>9</v>
      </c>
      <c r="I2420" t="s">
        <v>1778</v>
      </c>
      <c r="J2420" t="s">
        <v>55</v>
      </c>
      <c r="K2420" t="s">
        <v>1779</v>
      </c>
      <c r="M2420" t="s">
        <v>6</v>
      </c>
    </row>
    <row r="2421" spans="2:13" hidden="1">
      <c r="B2421">
        <v>2419</v>
      </c>
      <c r="C2421">
        <v>212</v>
      </c>
      <c r="D2421">
        <v>27</v>
      </c>
      <c r="E2421">
        <v>3</v>
      </c>
      <c r="F2421">
        <v>0</v>
      </c>
      <c r="G2421" t="s">
        <v>18</v>
      </c>
      <c r="H2421" t="s">
        <v>9</v>
      </c>
      <c r="I2421" t="s">
        <v>1778</v>
      </c>
      <c r="J2421" t="s">
        <v>214</v>
      </c>
      <c r="K2421" t="s">
        <v>1613</v>
      </c>
      <c r="M2421" t="s">
        <v>6</v>
      </c>
    </row>
    <row r="2422" spans="2:13" hidden="1">
      <c r="B2422">
        <v>2420</v>
      </c>
      <c r="C2422">
        <v>212</v>
      </c>
      <c r="D2422">
        <v>27</v>
      </c>
      <c r="E2422">
        <v>4</v>
      </c>
      <c r="F2422">
        <v>0</v>
      </c>
      <c r="G2422" t="s">
        <v>18</v>
      </c>
      <c r="H2422" t="s">
        <v>9</v>
      </c>
      <c r="I2422" t="s">
        <v>1778</v>
      </c>
      <c r="J2422" t="s">
        <v>214</v>
      </c>
      <c r="K2422" t="s">
        <v>1614</v>
      </c>
      <c r="M2422" t="s">
        <v>6</v>
      </c>
    </row>
    <row r="2423" spans="2:13" hidden="1">
      <c r="B2423">
        <v>2421</v>
      </c>
      <c r="C2423">
        <v>212</v>
      </c>
      <c r="D2423">
        <v>27</v>
      </c>
      <c r="E2423">
        <v>5</v>
      </c>
      <c r="F2423">
        <v>0</v>
      </c>
      <c r="G2423" t="s">
        <v>18</v>
      </c>
      <c r="H2423" t="s">
        <v>9</v>
      </c>
      <c r="I2423" t="s">
        <v>1778</v>
      </c>
      <c r="J2423" t="s">
        <v>55</v>
      </c>
      <c r="K2423" t="s">
        <v>1718</v>
      </c>
      <c r="M2423" t="s">
        <v>6</v>
      </c>
    </row>
    <row r="2424" spans="2:13" hidden="1">
      <c r="B2424">
        <v>2422</v>
      </c>
      <c r="C2424">
        <v>212</v>
      </c>
      <c r="D2424">
        <v>27</v>
      </c>
      <c r="E2424">
        <v>6</v>
      </c>
      <c r="F2424">
        <v>0</v>
      </c>
      <c r="G2424" t="s">
        <v>18</v>
      </c>
      <c r="H2424" t="s">
        <v>9</v>
      </c>
      <c r="I2424" t="s">
        <v>1778</v>
      </c>
      <c r="J2424" t="s">
        <v>479</v>
      </c>
      <c r="K2424" t="s">
        <v>1780</v>
      </c>
      <c r="M2424" t="s">
        <v>6</v>
      </c>
    </row>
    <row r="2425" spans="2:13" hidden="1">
      <c r="B2425">
        <v>2423</v>
      </c>
      <c r="C2425">
        <v>212</v>
      </c>
      <c r="D2425">
        <v>27</v>
      </c>
      <c r="E2425">
        <v>7</v>
      </c>
      <c r="F2425">
        <v>0</v>
      </c>
      <c r="G2425" t="s">
        <v>18</v>
      </c>
      <c r="H2425" t="s">
        <v>9</v>
      </c>
      <c r="I2425" t="s">
        <v>1778</v>
      </c>
      <c r="J2425" t="s">
        <v>55</v>
      </c>
      <c r="K2425" t="s">
        <v>1781</v>
      </c>
      <c r="M2425" t="s">
        <v>6</v>
      </c>
    </row>
    <row r="2426" spans="2:13" hidden="1">
      <c r="B2426">
        <v>2424</v>
      </c>
      <c r="C2426">
        <v>212</v>
      </c>
      <c r="D2426">
        <v>27</v>
      </c>
      <c r="E2426">
        <v>8</v>
      </c>
      <c r="F2426">
        <v>0</v>
      </c>
      <c r="G2426" t="s">
        <v>18</v>
      </c>
      <c r="H2426" t="s">
        <v>9</v>
      </c>
      <c r="I2426" t="s">
        <v>1778</v>
      </c>
      <c r="J2426" t="s">
        <v>55</v>
      </c>
      <c r="K2426" t="s">
        <v>475</v>
      </c>
      <c r="M2426" t="s">
        <v>6</v>
      </c>
    </row>
    <row r="2427" spans="2:13" hidden="1">
      <c r="B2427">
        <v>2425</v>
      </c>
      <c r="C2427">
        <v>212</v>
      </c>
      <c r="D2427">
        <v>27</v>
      </c>
      <c r="E2427">
        <v>9</v>
      </c>
      <c r="F2427">
        <v>0</v>
      </c>
      <c r="G2427" t="s">
        <v>18</v>
      </c>
      <c r="H2427" t="s">
        <v>9</v>
      </c>
      <c r="I2427" t="s">
        <v>1778</v>
      </c>
      <c r="J2427" t="s">
        <v>55</v>
      </c>
      <c r="K2427" t="s">
        <v>1782</v>
      </c>
      <c r="M2427" t="s">
        <v>6</v>
      </c>
    </row>
    <row r="2428" spans="2:13" hidden="1">
      <c r="B2428">
        <v>2426</v>
      </c>
      <c r="C2428">
        <v>212</v>
      </c>
      <c r="D2428">
        <v>27</v>
      </c>
      <c r="E2428">
        <v>10</v>
      </c>
      <c r="F2428">
        <v>0</v>
      </c>
      <c r="G2428" t="s">
        <v>18</v>
      </c>
      <c r="H2428" t="s">
        <v>9</v>
      </c>
      <c r="I2428" t="s">
        <v>1778</v>
      </c>
      <c r="J2428" t="s">
        <v>479</v>
      </c>
      <c r="K2428" t="s">
        <v>1721</v>
      </c>
      <c r="M2428" t="s">
        <v>6</v>
      </c>
    </row>
    <row r="2429" spans="2:13" hidden="1">
      <c r="B2429">
        <v>2427</v>
      </c>
      <c r="C2429">
        <v>212</v>
      </c>
      <c r="D2429">
        <v>27</v>
      </c>
      <c r="E2429">
        <v>11</v>
      </c>
      <c r="F2429">
        <v>0</v>
      </c>
      <c r="G2429" t="s">
        <v>18</v>
      </c>
      <c r="H2429" t="s">
        <v>9</v>
      </c>
      <c r="I2429" t="s">
        <v>1778</v>
      </c>
      <c r="J2429" t="s">
        <v>55</v>
      </c>
      <c r="K2429" t="s">
        <v>1722</v>
      </c>
      <c r="M2429" t="s">
        <v>6</v>
      </c>
    </row>
    <row r="2430" spans="2:13" hidden="1">
      <c r="B2430">
        <v>2428</v>
      </c>
      <c r="C2430">
        <v>212</v>
      </c>
      <c r="D2430">
        <v>27</v>
      </c>
      <c r="E2430">
        <v>12</v>
      </c>
      <c r="F2430">
        <v>0</v>
      </c>
      <c r="G2430" t="s">
        <v>18</v>
      </c>
      <c r="H2430" t="s">
        <v>9</v>
      </c>
      <c r="I2430" t="s">
        <v>1778</v>
      </c>
      <c r="J2430" t="s">
        <v>479</v>
      </c>
      <c r="K2430" t="s">
        <v>1734</v>
      </c>
      <c r="M2430" t="s">
        <v>6</v>
      </c>
    </row>
    <row r="2431" spans="2:13" hidden="1">
      <c r="B2431">
        <v>2429</v>
      </c>
      <c r="C2431">
        <v>212</v>
      </c>
      <c r="D2431">
        <v>27</v>
      </c>
      <c r="E2431">
        <v>13</v>
      </c>
      <c r="F2431">
        <v>0</v>
      </c>
      <c r="G2431" t="s">
        <v>18</v>
      </c>
      <c r="H2431" t="s">
        <v>9</v>
      </c>
      <c r="I2431" t="s">
        <v>1778</v>
      </c>
      <c r="J2431" t="s">
        <v>55</v>
      </c>
      <c r="K2431" t="s">
        <v>1783</v>
      </c>
      <c r="M2431" t="s">
        <v>6</v>
      </c>
    </row>
    <row r="2432" spans="2:13" hidden="1">
      <c r="B2432">
        <v>2430</v>
      </c>
      <c r="C2432">
        <v>212</v>
      </c>
      <c r="D2432">
        <v>27</v>
      </c>
      <c r="E2432">
        <v>14</v>
      </c>
      <c r="F2432">
        <v>0</v>
      </c>
      <c r="G2432" t="s">
        <v>18</v>
      </c>
      <c r="H2432" t="s">
        <v>9</v>
      </c>
      <c r="I2432" t="s">
        <v>1778</v>
      </c>
      <c r="J2432" t="s">
        <v>55</v>
      </c>
      <c r="K2432" t="s">
        <v>1737</v>
      </c>
      <c r="M2432" t="s">
        <v>6</v>
      </c>
    </row>
    <row r="2433" spans="2:13" hidden="1">
      <c r="B2433">
        <v>2431</v>
      </c>
      <c r="C2433">
        <v>212</v>
      </c>
      <c r="D2433">
        <v>27</v>
      </c>
      <c r="E2433">
        <v>15</v>
      </c>
      <c r="F2433">
        <v>0</v>
      </c>
      <c r="G2433" t="s">
        <v>18</v>
      </c>
      <c r="H2433" t="s">
        <v>9</v>
      </c>
      <c r="I2433" t="s">
        <v>1778</v>
      </c>
      <c r="J2433" t="s">
        <v>64</v>
      </c>
      <c r="K2433" t="s">
        <v>65</v>
      </c>
      <c r="M2433" t="s">
        <v>6</v>
      </c>
    </row>
    <row r="2434" spans="2:13" hidden="1">
      <c r="B2434">
        <v>2432</v>
      </c>
      <c r="C2434">
        <v>212</v>
      </c>
      <c r="D2434">
        <v>27</v>
      </c>
      <c r="E2434">
        <v>16</v>
      </c>
      <c r="F2434">
        <v>0</v>
      </c>
      <c r="G2434" t="s">
        <v>18</v>
      </c>
      <c r="H2434" t="s">
        <v>9</v>
      </c>
      <c r="I2434" t="s">
        <v>1778</v>
      </c>
      <c r="J2434" t="s">
        <v>55</v>
      </c>
      <c r="K2434" t="s">
        <v>1784</v>
      </c>
      <c r="M2434" t="s">
        <v>6</v>
      </c>
    </row>
    <row r="2435" spans="2:13" hidden="1">
      <c r="B2435">
        <v>2433</v>
      </c>
      <c r="C2435">
        <v>212</v>
      </c>
      <c r="D2435">
        <v>27</v>
      </c>
      <c r="E2435">
        <v>17</v>
      </c>
      <c r="F2435">
        <v>0</v>
      </c>
      <c r="G2435" t="s">
        <v>18</v>
      </c>
      <c r="H2435" t="s">
        <v>9</v>
      </c>
      <c r="I2435" t="s">
        <v>1778</v>
      </c>
      <c r="J2435" t="s">
        <v>55</v>
      </c>
      <c r="K2435" t="s">
        <v>1738</v>
      </c>
      <c r="M2435" t="s">
        <v>6</v>
      </c>
    </row>
    <row r="2436" spans="2:13" hidden="1">
      <c r="B2436">
        <v>2434</v>
      </c>
      <c r="C2436">
        <v>212</v>
      </c>
      <c r="D2436">
        <v>27</v>
      </c>
      <c r="E2436">
        <v>18</v>
      </c>
      <c r="F2436">
        <v>0</v>
      </c>
      <c r="G2436" t="s">
        <v>18</v>
      </c>
      <c r="H2436" t="s">
        <v>9</v>
      </c>
      <c r="I2436" t="s">
        <v>1778</v>
      </c>
      <c r="J2436" t="s">
        <v>479</v>
      </c>
      <c r="K2436" t="s">
        <v>1739</v>
      </c>
      <c r="M2436" t="s">
        <v>6</v>
      </c>
    </row>
    <row r="2437" spans="2:13" hidden="1">
      <c r="B2437">
        <v>2435</v>
      </c>
      <c r="C2437">
        <v>212</v>
      </c>
      <c r="D2437">
        <v>27</v>
      </c>
      <c r="E2437">
        <v>19</v>
      </c>
      <c r="F2437">
        <v>0</v>
      </c>
      <c r="G2437" t="s">
        <v>18</v>
      </c>
      <c r="H2437" t="s">
        <v>9</v>
      </c>
      <c r="I2437" t="s">
        <v>1778</v>
      </c>
      <c r="J2437" t="s">
        <v>55</v>
      </c>
      <c r="K2437" t="s">
        <v>1621</v>
      </c>
      <c r="M2437" t="s">
        <v>6</v>
      </c>
    </row>
    <row r="2438" spans="2:13" hidden="1">
      <c r="B2438">
        <v>2436</v>
      </c>
      <c r="C2438">
        <v>212</v>
      </c>
      <c r="D2438">
        <v>27</v>
      </c>
      <c r="E2438">
        <v>20</v>
      </c>
      <c r="F2438">
        <v>0</v>
      </c>
      <c r="G2438" t="s">
        <v>18</v>
      </c>
      <c r="H2438" t="s">
        <v>9</v>
      </c>
      <c r="I2438" t="s">
        <v>1778</v>
      </c>
      <c r="J2438" t="s">
        <v>55</v>
      </c>
      <c r="K2438" t="s">
        <v>1582</v>
      </c>
      <c r="M2438" t="s">
        <v>6</v>
      </c>
    </row>
    <row r="2439" spans="2:13" hidden="1">
      <c r="B2439">
        <v>2437</v>
      </c>
      <c r="C2439">
        <v>212</v>
      </c>
      <c r="D2439">
        <v>27</v>
      </c>
      <c r="E2439">
        <v>21</v>
      </c>
      <c r="F2439">
        <v>0</v>
      </c>
      <c r="G2439" t="s">
        <v>18</v>
      </c>
      <c r="H2439" t="s">
        <v>9</v>
      </c>
      <c r="I2439" t="s">
        <v>1778</v>
      </c>
      <c r="J2439" t="s">
        <v>55</v>
      </c>
      <c r="K2439" t="s">
        <v>1581</v>
      </c>
      <c r="M2439" t="s">
        <v>6</v>
      </c>
    </row>
    <row r="2440" spans="2:13" hidden="1">
      <c r="B2440">
        <v>2438</v>
      </c>
      <c r="C2440">
        <v>212</v>
      </c>
      <c r="D2440">
        <v>27</v>
      </c>
      <c r="E2440">
        <v>22</v>
      </c>
      <c r="F2440">
        <v>0</v>
      </c>
      <c r="G2440" t="s">
        <v>18</v>
      </c>
      <c r="H2440" t="s">
        <v>9</v>
      </c>
      <c r="I2440" t="s">
        <v>1778</v>
      </c>
      <c r="J2440" t="s">
        <v>479</v>
      </c>
      <c r="K2440" t="s">
        <v>1751</v>
      </c>
      <c r="M2440" t="s">
        <v>6</v>
      </c>
    </row>
    <row r="2441" spans="2:13" hidden="1">
      <c r="B2441">
        <v>2439</v>
      </c>
      <c r="C2441">
        <v>212</v>
      </c>
      <c r="D2441">
        <v>27</v>
      </c>
      <c r="E2441">
        <v>23</v>
      </c>
      <c r="F2441">
        <v>0</v>
      </c>
      <c r="G2441" t="s">
        <v>18</v>
      </c>
      <c r="H2441" t="s">
        <v>9</v>
      </c>
      <c r="I2441" t="s">
        <v>1778</v>
      </c>
      <c r="J2441" t="s">
        <v>55</v>
      </c>
      <c r="K2441" t="s">
        <v>1752</v>
      </c>
      <c r="M2441" t="s">
        <v>6</v>
      </c>
    </row>
    <row r="2442" spans="2:13" hidden="1">
      <c r="B2442">
        <v>2440</v>
      </c>
      <c r="C2442">
        <v>212</v>
      </c>
      <c r="D2442">
        <v>27</v>
      </c>
      <c r="E2442">
        <v>24</v>
      </c>
      <c r="F2442">
        <v>0</v>
      </c>
      <c r="G2442" t="s">
        <v>18</v>
      </c>
      <c r="H2442" t="s">
        <v>9</v>
      </c>
      <c r="I2442" t="s">
        <v>1778</v>
      </c>
      <c r="J2442" t="s">
        <v>64</v>
      </c>
      <c r="K2442" t="s">
        <v>65</v>
      </c>
      <c r="M2442" t="s">
        <v>6</v>
      </c>
    </row>
    <row r="2443" spans="2:13" hidden="1">
      <c r="B2443">
        <v>2441</v>
      </c>
      <c r="C2443">
        <v>212</v>
      </c>
      <c r="D2443">
        <v>27</v>
      </c>
      <c r="E2443">
        <v>25</v>
      </c>
      <c r="F2443">
        <v>0</v>
      </c>
      <c r="G2443" t="s">
        <v>18</v>
      </c>
      <c r="H2443" t="s">
        <v>9</v>
      </c>
      <c r="I2443" t="s">
        <v>1778</v>
      </c>
      <c r="J2443" t="s">
        <v>55</v>
      </c>
      <c r="K2443" t="s">
        <v>1754</v>
      </c>
      <c r="M2443" t="s">
        <v>6</v>
      </c>
    </row>
    <row r="2444" spans="2:13" hidden="1">
      <c r="B2444">
        <v>2442</v>
      </c>
      <c r="C2444">
        <v>212</v>
      </c>
      <c r="D2444">
        <v>27</v>
      </c>
      <c r="E2444">
        <v>26</v>
      </c>
      <c r="F2444">
        <v>0</v>
      </c>
      <c r="G2444" t="s">
        <v>18</v>
      </c>
      <c r="H2444" t="s">
        <v>9</v>
      </c>
      <c r="I2444" t="s">
        <v>1778</v>
      </c>
      <c r="J2444" t="s">
        <v>55</v>
      </c>
      <c r="K2444" t="s">
        <v>93</v>
      </c>
      <c r="M2444" t="s">
        <v>6</v>
      </c>
    </row>
    <row r="2445" spans="2:13" hidden="1">
      <c r="B2445">
        <v>2443</v>
      </c>
      <c r="C2445">
        <v>212</v>
      </c>
      <c r="D2445">
        <v>27</v>
      </c>
      <c r="E2445">
        <v>27</v>
      </c>
      <c r="F2445">
        <v>0</v>
      </c>
      <c r="G2445" t="s">
        <v>18</v>
      </c>
      <c r="H2445" t="s">
        <v>9</v>
      </c>
      <c r="I2445" t="s">
        <v>1778</v>
      </c>
      <c r="J2445" t="s">
        <v>64</v>
      </c>
      <c r="K2445" t="s">
        <v>733</v>
      </c>
      <c r="M2445" t="s">
        <v>6</v>
      </c>
    </row>
    <row r="2446" spans="2:13" hidden="1">
      <c r="B2446">
        <v>2444</v>
      </c>
      <c r="C2446">
        <v>213</v>
      </c>
      <c r="D2446">
        <v>17</v>
      </c>
      <c r="E2446">
        <v>0</v>
      </c>
      <c r="F2446">
        <v>0</v>
      </c>
      <c r="G2446" t="s">
        <v>18</v>
      </c>
      <c r="H2446" t="s">
        <v>9</v>
      </c>
      <c r="I2446" t="s">
        <v>1785</v>
      </c>
      <c r="J2446" t="s">
        <v>478</v>
      </c>
      <c r="K2446" t="s">
        <v>1785</v>
      </c>
      <c r="M2446" t="s">
        <v>6</v>
      </c>
    </row>
    <row r="2447" spans="2:13" hidden="1">
      <c r="B2447">
        <v>2445</v>
      </c>
      <c r="C2447">
        <v>213</v>
      </c>
      <c r="D2447">
        <v>17</v>
      </c>
      <c r="E2447">
        <v>1</v>
      </c>
      <c r="F2447">
        <v>0</v>
      </c>
      <c r="G2447" t="s">
        <v>18</v>
      </c>
      <c r="H2447" t="s">
        <v>9</v>
      </c>
      <c r="I2447" t="s">
        <v>1785</v>
      </c>
      <c r="J2447" t="s">
        <v>479</v>
      </c>
      <c r="K2447" t="s">
        <v>1786</v>
      </c>
      <c r="M2447" t="s">
        <v>6</v>
      </c>
    </row>
    <row r="2448" spans="2:13" hidden="1">
      <c r="B2448">
        <v>2446</v>
      </c>
      <c r="C2448">
        <v>213</v>
      </c>
      <c r="D2448">
        <v>17</v>
      </c>
      <c r="E2448">
        <v>2</v>
      </c>
      <c r="F2448">
        <v>0</v>
      </c>
      <c r="G2448" t="s">
        <v>18</v>
      </c>
      <c r="H2448" t="s">
        <v>9</v>
      </c>
      <c r="I2448" t="s">
        <v>1785</v>
      </c>
      <c r="J2448" t="s">
        <v>55</v>
      </c>
      <c r="K2448" t="s">
        <v>1787</v>
      </c>
      <c r="M2448" t="s">
        <v>6</v>
      </c>
    </row>
    <row r="2449" spans="2:13" hidden="1">
      <c r="B2449">
        <v>2447</v>
      </c>
      <c r="C2449">
        <v>213</v>
      </c>
      <c r="D2449">
        <v>17</v>
      </c>
      <c r="E2449">
        <v>3</v>
      </c>
      <c r="F2449">
        <v>0</v>
      </c>
      <c r="G2449" t="s">
        <v>18</v>
      </c>
      <c r="H2449" t="s">
        <v>9</v>
      </c>
      <c r="I2449" t="s">
        <v>1785</v>
      </c>
      <c r="J2449" t="s">
        <v>55</v>
      </c>
      <c r="K2449" t="s">
        <v>1788</v>
      </c>
      <c r="M2449" t="s">
        <v>6</v>
      </c>
    </row>
    <row r="2450" spans="2:13" hidden="1">
      <c r="B2450">
        <v>2448</v>
      </c>
      <c r="C2450">
        <v>213</v>
      </c>
      <c r="D2450">
        <v>17</v>
      </c>
      <c r="E2450">
        <v>4</v>
      </c>
      <c r="F2450">
        <v>0</v>
      </c>
      <c r="G2450" t="s">
        <v>18</v>
      </c>
      <c r="H2450" t="s">
        <v>9</v>
      </c>
      <c r="I2450" t="s">
        <v>1785</v>
      </c>
      <c r="J2450" t="s">
        <v>55</v>
      </c>
      <c r="K2450" t="s">
        <v>1789</v>
      </c>
      <c r="M2450" t="s">
        <v>6</v>
      </c>
    </row>
    <row r="2451" spans="2:13" hidden="1">
      <c r="B2451">
        <v>2449</v>
      </c>
      <c r="C2451">
        <v>213</v>
      </c>
      <c r="D2451">
        <v>17</v>
      </c>
      <c r="E2451">
        <v>5</v>
      </c>
      <c r="F2451">
        <v>0</v>
      </c>
      <c r="G2451" t="s">
        <v>18</v>
      </c>
      <c r="H2451" t="s">
        <v>9</v>
      </c>
      <c r="I2451" t="s">
        <v>1785</v>
      </c>
      <c r="J2451" t="s">
        <v>55</v>
      </c>
      <c r="K2451" t="s">
        <v>1790</v>
      </c>
      <c r="M2451" t="s">
        <v>6</v>
      </c>
    </row>
    <row r="2452" spans="2:13" hidden="1">
      <c r="B2452">
        <v>2450</v>
      </c>
      <c r="C2452">
        <v>213</v>
      </c>
      <c r="D2452">
        <v>17</v>
      </c>
      <c r="E2452">
        <v>6</v>
      </c>
      <c r="F2452">
        <v>0</v>
      </c>
      <c r="G2452" t="s">
        <v>18</v>
      </c>
      <c r="H2452" t="s">
        <v>9</v>
      </c>
      <c r="I2452" t="s">
        <v>1785</v>
      </c>
      <c r="J2452" t="s">
        <v>214</v>
      </c>
      <c r="K2452" t="s">
        <v>1791</v>
      </c>
      <c r="M2452" t="s">
        <v>6</v>
      </c>
    </row>
    <row r="2453" spans="2:13" hidden="1">
      <c r="B2453">
        <v>2451</v>
      </c>
      <c r="C2453">
        <v>213</v>
      </c>
      <c r="D2453">
        <v>17</v>
      </c>
      <c r="E2453">
        <v>7</v>
      </c>
      <c r="F2453">
        <v>0</v>
      </c>
      <c r="G2453" t="s">
        <v>18</v>
      </c>
      <c r="H2453" t="s">
        <v>9</v>
      </c>
      <c r="I2453" t="s">
        <v>1785</v>
      </c>
      <c r="J2453" t="s">
        <v>214</v>
      </c>
      <c r="K2453" t="s">
        <v>1792</v>
      </c>
      <c r="M2453" t="s">
        <v>6</v>
      </c>
    </row>
    <row r="2454" spans="2:13" hidden="1">
      <c r="B2454">
        <v>2452</v>
      </c>
      <c r="C2454">
        <v>213</v>
      </c>
      <c r="D2454">
        <v>17</v>
      </c>
      <c r="E2454">
        <v>8</v>
      </c>
      <c r="F2454">
        <v>0</v>
      </c>
      <c r="G2454" t="s">
        <v>18</v>
      </c>
      <c r="H2454" t="s">
        <v>9</v>
      </c>
      <c r="I2454" t="s">
        <v>1785</v>
      </c>
      <c r="J2454" t="s">
        <v>55</v>
      </c>
      <c r="K2454" t="s">
        <v>1793</v>
      </c>
      <c r="M2454" t="s">
        <v>6</v>
      </c>
    </row>
    <row r="2455" spans="2:13" hidden="1">
      <c r="B2455">
        <v>2453</v>
      </c>
      <c r="C2455">
        <v>213</v>
      </c>
      <c r="D2455">
        <v>17</v>
      </c>
      <c r="E2455">
        <v>9</v>
      </c>
      <c r="F2455">
        <v>0</v>
      </c>
      <c r="G2455" t="s">
        <v>18</v>
      </c>
      <c r="H2455" t="s">
        <v>9</v>
      </c>
      <c r="I2455" t="s">
        <v>1785</v>
      </c>
      <c r="J2455" t="s">
        <v>64</v>
      </c>
      <c r="K2455" t="s">
        <v>1794</v>
      </c>
      <c r="M2455" t="s">
        <v>6</v>
      </c>
    </row>
    <row r="2456" spans="2:13" hidden="1">
      <c r="B2456">
        <v>2454</v>
      </c>
      <c r="C2456">
        <v>213</v>
      </c>
      <c r="D2456">
        <v>17</v>
      </c>
      <c r="E2456">
        <v>10</v>
      </c>
      <c r="F2456">
        <v>0</v>
      </c>
      <c r="G2456" t="s">
        <v>18</v>
      </c>
      <c r="H2456" t="s">
        <v>9</v>
      </c>
      <c r="I2456" t="s">
        <v>1785</v>
      </c>
      <c r="J2456" t="s">
        <v>479</v>
      </c>
      <c r="K2456" t="s">
        <v>1795</v>
      </c>
      <c r="M2456" t="s">
        <v>6</v>
      </c>
    </row>
    <row r="2457" spans="2:13" hidden="1">
      <c r="B2457">
        <v>2455</v>
      </c>
      <c r="C2457">
        <v>213</v>
      </c>
      <c r="D2457">
        <v>17</v>
      </c>
      <c r="E2457">
        <v>11</v>
      </c>
      <c r="F2457">
        <v>0</v>
      </c>
      <c r="G2457" t="s">
        <v>18</v>
      </c>
      <c r="H2457" t="s">
        <v>9</v>
      </c>
      <c r="I2457" t="s">
        <v>1785</v>
      </c>
      <c r="J2457" t="s">
        <v>55</v>
      </c>
      <c r="K2457" t="s">
        <v>1796</v>
      </c>
      <c r="M2457" t="s">
        <v>6</v>
      </c>
    </row>
    <row r="2458" spans="2:13" hidden="1">
      <c r="B2458">
        <v>2456</v>
      </c>
      <c r="C2458">
        <v>213</v>
      </c>
      <c r="D2458">
        <v>17</v>
      </c>
      <c r="E2458">
        <v>12</v>
      </c>
      <c r="F2458">
        <v>0</v>
      </c>
      <c r="G2458" t="s">
        <v>18</v>
      </c>
      <c r="H2458" t="s">
        <v>9</v>
      </c>
      <c r="I2458" t="s">
        <v>1785</v>
      </c>
      <c r="J2458" t="s">
        <v>55</v>
      </c>
      <c r="K2458" t="s">
        <v>1797</v>
      </c>
      <c r="M2458" t="s">
        <v>6</v>
      </c>
    </row>
    <row r="2459" spans="2:13" hidden="1">
      <c r="B2459">
        <v>2457</v>
      </c>
      <c r="C2459">
        <v>213</v>
      </c>
      <c r="D2459">
        <v>17</v>
      </c>
      <c r="E2459">
        <v>13</v>
      </c>
      <c r="F2459">
        <v>0</v>
      </c>
      <c r="G2459" t="s">
        <v>18</v>
      </c>
      <c r="H2459" t="s">
        <v>9</v>
      </c>
      <c r="I2459" t="s">
        <v>1785</v>
      </c>
      <c r="J2459" t="s">
        <v>55</v>
      </c>
      <c r="K2459" t="s">
        <v>1798</v>
      </c>
      <c r="M2459" t="s">
        <v>6</v>
      </c>
    </row>
    <row r="2460" spans="2:13" hidden="1">
      <c r="B2460">
        <v>2458</v>
      </c>
      <c r="C2460">
        <v>213</v>
      </c>
      <c r="D2460">
        <v>17</v>
      </c>
      <c r="E2460">
        <v>14</v>
      </c>
      <c r="F2460">
        <v>0</v>
      </c>
      <c r="G2460" t="s">
        <v>18</v>
      </c>
      <c r="H2460" t="s">
        <v>9</v>
      </c>
      <c r="I2460" t="s">
        <v>1785</v>
      </c>
      <c r="J2460" t="s">
        <v>55</v>
      </c>
      <c r="K2460" t="s">
        <v>1799</v>
      </c>
      <c r="M2460" t="s">
        <v>6</v>
      </c>
    </row>
    <row r="2461" spans="2:13" hidden="1">
      <c r="B2461">
        <v>2459</v>
      </c>
      <c r="C2461">
        <v>213</v>
      </c>
      <c r="D2461">
        <v>17</v>
      </c>
      <c r="E2461">
        <v>15</v>
      </c>
      <c r="F2461">
        <v>0</v>
      </c>
      <c r="G2461" t="s">
        <v>18</v>
      </c>
      <c r="H2461" t="s">
        <v>9</v>
      </c>
      <c r="I2461" t="s">
        <v>1785</v>
      </c>
      <c r="J2461" t="s">
        <v>64</v>
      </c>
      <c r="K2461" t="s">
        <v>1794</v>
      </c>
      <c r="M2461" t="s">
        <v>6</v>
      </c>
    </row>
    <row r="2462" spans="2:13" hidden="1">
      <c r="B2462">
        <v>2460</v>
      </c>
      <c r="C2462">
        <v>213</v>
      </c>
      <c r="D2462">
        <v>17</v>
      </c>
      <c r="E2462">
        <v>16</v>
      </c>
      <c r="F2462">
        <v>0</v>
      </c>
      <c r="G2462" t="s">
        <v>18</v>
      </c>
      <c r="H2462" t="s">
        <v>9</v>
      </c>
      <c r="I2462" t="s">
        <v>1785</v>
      </c>
      <c r="J2462" t="s">
        <v>55</v>
      </c>
      <c r="K2462" t="s">
        <v>93</v>
      </c>
      <c r="M2462" t="s">
        <v>6</v>
      </c>
    </row>
    <row r="2463" spans="2:13" hidden="1">
      <c r="B2463">
        <v>2461</v>
      </c>
      <c r="C2463">
        <v>213</v>
      </c>
      <c r="D2463">
        <v>17</v>
      </c>
      <c r="E2463">
        <v>17</v>
      </c>
      <c r="F2463">
        <v>0</v>
      </c>
      <c r="G2463" t="s">
        <v>18</v>
      </c>
      <c r="H2463" t="s">
        <v>9</v>
      </c>
      <c r="I2463" t="s">
        <v>1785</v>
      </c>
      <c r="J2463" t="s">
        <v>64</v>
      </c>
      <c r="K2463" t="s">
        <v>94</v>
      </c>
      <c r="M2463" t="s">
        <v>6</v>
      </c>
    </row>
    <row r="2464" spans="2:13" hidden="1">
      <c r="B2464">
        <v>2462</v>
      </c>
      <c r="C2464">
        <v>214</v>
      </c>
      <c r="D2464">
        <v>17</v>
      </c>
      <c r="E2464">
        <v>0</v>
      </c>
      <c r="F2464">
        <v>0</v>
      </c>
      <c r="G2464" t="s">
        <v>18</v>
      </c>
      <c r="H2464" t="s">
        <v>9</v>
      </c>
      <c r="I2464" t="s">
        <v>1800</v>
      </c>
      <c r="J2464" t="s">
        <v>478</v>
      </c>
      <c r="K2464" t="s">
        <v>1800</v>
      </c>
      <c r="M2464" t="s">
        <v>6</v>
      </c>
    </row>
    <row r="2465" spans="2:13" hidden="1">
      <c r="B2465">
        <v>2463</v>
      </c>
      <c r="C2465">
        <v>214</v>
      </c>
      <c r="D2465">
        <v>17</v>
      </c>
      <c r="E2465">
        <v>1</v>
      </c>
      <c r="F2465">
        <v>0</v>
      </c>
      <c r="G2465" t="s">
        <v>18</v>
      </c>
      <c r="H2465" t="s">
        <v>9</v>
      </c>
      <c r="I2465" t="s">
        <v>1800</v>
      </c>
      <c r="J2465" t="s">
        <v>479</v>
      </c>
      <c r="K2465" t="s">
        <v>1801</v>
      </c>
      <c r="M2465" t="s">
        <v>6</v>
      </c>
    </row>
    <row r="2466" spans="2:13" hidden="1">
      <c r="B2466">
        <v>2464</v>
      </c>
      <c r="C2466">
        <v>214</v>
      </c>
      <c r="D2466">
        <v>17</v>
      </c>
      <c r="E2466">
        <v>2</v>
      </c>
      <c r="F2466">
        <v>0</v>
      </c>
      <c r="G2466" t="s">
        <v>18</v>
      </c>
      <c r="H2466" t="s">
        <v>9</v>
      </c>
      <c r="I2466" t="s">
        <v>1800</v>
      </c>
      <c r="J2466" t="s">
        <v>55</v>
      </c>
      <c r="K2466" t="s">
        <v>1802</v>
      </c>
      <c r="M2466" t="s">
        <v>6</v>
      </c>
    </row>
    <row r="2467" spans="2:13" hidden="1">
      <c r="B2467">
        <v>2465</v>
      </c>
      <c r="C2467">
        <v>214</v>
      </c>
      <c r="D2467">
        <v>17</v>
      </c>
      <c r="E2467">
        <v>3</v>
      </c>
      <c r="F2467">
        <v>0</v>
      </c>
      <c r="G2467" t="s">
        <v>18</v>
      </c>
      <c r="H2467" t="s">
        <v>9</v>
      </c>
      <c r="I2467" t="s">
        <v>1800</v>
      </c>
      <c r="J2467" t="s">
        <v>214</v>
      </c>
      <c r="K2467" t="s">
        <v>1803</v>
      </c>
      <c r="M2467" t="s">
        <v>6</v>
      </c>
    </row>
    <row r="2468" spans="2:13" hidden="1">
      <c r="B2468">
        <v>2466</v>
      </c>
      <c r="C2468">
        <v>214</v>
      </c>
      <c r="D2468">
        <v>17</v>
      </c>
      <c r="E2468">
        <v>4</v>
      </c>
      <c r="F2468">
        <v>0</v>
      </c>
      <c r="G2468" t="s">
        <v>18</v>
      </c>
      <c r="H2468" t="s">
        <v>9</v>
      </c>
      <c r="I2468" t="s">
        <v>1800</v>
      </c>
      <c r="J2468" t="s">
        <v>55</v>
      </c>
      <c r="K2468" t="s">
        <v>1804</v>
      </c>
      <c r="M2468" t="s">
        <v>6</v>
      </c>
    </row>
    <row r="2469" spans="2:13" hidden="1">
      <c r="B2469">
        <v>2467</v>
      </c>
      <c r="C2469">
        <v>214</v>
      </c>
      <c r="D2469">
        <v>17</v>
      </c>
      <c r="E2469">
        <v>5</v>
      </c>
      <c r="F2469">
        <v>0</v>
      </c>
      <c r="G2469" t="s">
        <v>18</v>
      </c>
      <c r="H2469" t="s">
        <v>9</v>
      </c>
      <c r="I2469" t="s">
        <v>1800</v>
      </c>
      <c r="J2469" t="s">
        <v>55</v>
      </c>
      <c r="K2469" t="s">
        <v>1805</v>
      </c>
      <c r="M2469" t="s">
        <v>6</v>
      </c>
    </row>
    <row r="2470" spans="2:13" hidden="1">
      <c r="B2470">
        <v>2468</v>
      </c>
      <c r="C2470">
        <v>214</v>
      </c>
      <c r="D2470">
        <v>17</v>
      </c>
      <c r="E2470">
        <v>6</v>
      </c>
      <c r="F2470">
        <v>0</v>
      </c>
      <c r="G2470" t="s">
        <v>18</v>
      </c>
      <c r="H2470" t="s">
        <v>9</v>
      </c>
      <c r="I2470" t="s">
        <v>1800</v>
      </c>
      <c r="J2470" t="s">
        <v>99</v>
      </c>
      <c r="K2470" t="s">
        <v>1806</v>
      </c>
      <c r="M2470" t="s">
        <v>6</v>
      </c>
    </row>
    <row r="2471" spans="2:13" hidden="1">
      <c r="B2471">
        <v>2469</v>
      </c>
      <c r="C2471">
        <v>214</v>
      </c>
      <c r="D2471">
        <v>17</v>
      </c>
      <c r="E2471">
        <v>7</v>
      </c>
      <c r="F2471">
        <v>0</v>
      </c>
      <c r="G2471" t="s">
        <v>18</v>
      </c>
      <c r="H2471" t="s">
        <v>9</v>
      </c>
      <c r="I2471" t="s">
        <v>1800</v>
      </c>
      <c r="J2471" t="s">
        <v>99</v>
      </c>
      <c r="K2471" t="s">
        <v>1807</v>
      </c>
      <c r="M2471" t="s">
        <v>6</v>
      </c>
    </row>
    <row r="2472" spans="2:13" hidden="1">
      <c r="B2472">
        <v>2470</v>
      </c>
      <c r="C2472">
        <v>214</v>
      </c>
      <c r="D2472">
        <v>17</v>
      </c>
      <c r="E2472">
        <v>8</v>
      </c>
      <c r="F2472">
        <v>0</v>
      </c>
      <c r="G2472" t="s">
        <v>18</v>
      </c>
      <c r="H2472" t="s">
        <v>9</v>
      </c>
      <c r="I2472" t="s">
        <v>1800</v>
      </c>
      <c r="J2472" t="s">
        <v>99</v>
      </c>
      <c r="K2472" t="s">
        <v>1808</v>
      </c>
      <c r="M2472" t="s">
        <v>6</v>
      </c>
    </row>
    <row r="2473" spans="2:13" hidden="1">
      <c r="B2473">
        <v>2471</v>
      </c>
      <c r="C2473">
        <v>214</v>
      </c>
      <c r="D2473">
        <v>17</v>
      </c>
      <c r="E2473">
        <v>9</v>
      </c>
      <c r="F2473">
        <v>0</v>
      </c>
      <c r="G2473" t="s">
        <v>18</v>
      </c>
      <c r="H2473" t="s">
        <v>9</v>
      </c>
      <c r="I2473" t="s">
        <v>1800</v>
      </c>
      <c r="J2473" t="s">
        <v>99</v>
      </c>
      <c r="K2473" t="s">
        <v>1809</v>
      </c>
      <c r="M2473" t="s">
        <v>6</v>
      </c>
    </row>
    <row r="2474" spans="2:13" hidden="1">
      <c r="B2474">
        <v>2472</v>
      </c>
      <c r="C2474">
        <v>214</v>
      </c>
      <c r="D2474">
        <v>17</v>
      </c>
      <c r="E2474">
        <v>10</v>
      </c>
      <c r="F2474">
        <v>0</v>
      </c>
      <c r="G2474" t="s">
        <v>18</v>
      </c>
      <c r="H2474" t="s">
        <v>9</v>
      </c>
      <c r="I2474" t="s">
        <v>1800</v>
      </c>
      <c r="J2474" t="s">
        <v>55</v>
      </c>
      <c r="K2474" t="s">
        <v>1799</v>
      </c>
      <c r="M2474" t="s">
        <v>6</v>
      </c>
    </row>
    <row r="2475" spans="2:13" hidden="1">
      <c r="B2475">
        <v>2473</v>
      </c>
      <c r="C2475">
        <v>214</v>
      </c>
      <c r="D2475">
        <v>17</v>
      </c>
      <c r="E2475">
        <v>11</v>
      </c>
      <c r="F2475">
        <v>0</v>
      </c>
      <c r="G2475" t="s">
        <v>18</v>
      </c>
      <c r="H2475" t="s">
        <v>9</v>
      </c>
      <c r="I2475" t="s">
        <v>1800</v>
      </c>
      <c r="J2475" t="s">
        <v>479</v>
      </c>
      <c r="K2475" t="s">
        <v>1810</v>
      </c>
      <c r="M2475" t="s">
        <v>6</v>
      </c>
    </row>
    <row r="2476" spans="2:13" hidden="1">
      <c r="B2476">
        <v>2474</v>
      </c>
      <c r="C2476">
        <v>214</v>
      </c>
      <c r="D2476">
        <v>17</v>
      </c>
      <c r="E2476">
        <v>12</v>
      </c>
      <c r="F2476">
        <v>0</v>
      </c>
      <c r="G2476" t="s">
        <v>18</v>
      </c>
      <c r="H2476" t="s">
        <v>9</v>
      </c>
      <c r="I2476" t="s">
        <v>1800</v>
      </c>
      <c r="J2476" t="s">
        <v>55</v>
      </c>
      <c r="K2476" t="s">
        <v>1811</v>
      </c>
      <c r="M2476" t="s">
        <v>6</v>
      </c>
    </row>
    <row r="2477" spans="2:13" hidden="1">
      <c r="B2477">
        <v>2475</v>
      </c>
      <c r="C2477">
        <v>214</v>
      </c>
      <c r="D2477">
        <v>17</v>
      </c>
      <c r="E2477">
        <v>13</v>
      </c>
      <c r="F2477">
        <v>0</v>
      </c>
      <c r="G2477" t="s">
        <v>18</v>
      </c>
      <c r="H2477" t="s">
        <v>9</v>
      </c>
      <c r="I2477" t="s">
        <v>1800</v>
      </c>
      <c r="J2477" t="s">
        <v>55</v>
      </c>
      <c r="K2477" t="s">
        <v>1812</v>
      </c>
      <c r="M2477" t="s">
        <v>6</v>
      </c>
    </row>
    <row r="2478" spans="2:13" hidden="1">
      <c r="B2478">
        <v>2476</v>
      </c>
      <c r="C2478">
        <v>214</v>
      </c>
      <c r="D2478">
        <v>17</v>
      </c>
      <c r="E2478">
        <v>14</v>
      </c>
      <c r="F2478">
        <v>0</v>
      </c>
      <c r="G2478" t="s">
        <v>18</v>
      </c>
      <c r="H2478" t="s">
        <v>9</v>
      </c>
      <c r="I2478" t="s">
        <v>1800</v>
      </c>
      <c r="J2478" t="s">
        <v>55</v>
      </c>
      <c r="K2478" t="s">
        <v>1813</v>
      </c>
      <c r="M2478" t="s">
        <v>6</v>
      </c>
    </row>
    <row r="2479" spans="2:13" hidden="1">
      <c r="B2479">
        <v>2477</v>
      </c>
      <c r="C2479">
        <v>214</v>
      </c>
      <c r="D2479">
        <v>17</v>
      </c>
      <c r="E2479">
        <v>15</v>
      </c>
      <c r="F2479">
        <v>0</v>
      </c>
      <c r="G2479" t="s">
        <v>18</v>
      </c>
      <c r="H2479" t="s">
        <v>9</v>
      </c>
      <c r="I2479" t="s">
        <v>1800</v>
      </c>
      <c r="J2479" t="s">
        <v>55</v>
      </c>
      <c r="K2479" t="s">
        <v>1814</v>
      </c>
      <c r="M2479" t="s">
        <v>6</v>
      </c>
    </row>
    <row r="2480" spans="2:13" hidden="1">
      <c r="B2480">
        <v>2478</v>
      </c>
      <c r="C2480">
        <v>214</v>
      </c>
      <c r="D2480">
        <v>17</v>
      </c>
      <c r="E2480">
        <v>16</v>
      </c>
      <c r="F2480">
        <v>0</v>
      </c>
      <c r="G2480" t="s">
        <v>18</v>
      </c>
      <c r="H2480" t="s">
        <v>9</v>
      </c>
      <c r="I2480" t="s">
        <v>1800</v>
      </c>
      <c r="J2480" t="s">
        <v>55</v>
      </c>
      <c r="K2480" t="s">
        <v>93</v>
      </c>
      <c r="M2480" t="s">
        <v>6</v>
      </c>
    </row>
    <row r="2481" spans="2:13" hidden="1">
      <c r="B2481">
        <v>2479</v>
      </c>
      <c r="C2481">
        <v>214</v>
      </c>
      <c r="D2481">
        <v>17</v>
      </c>
      <c r="E2481">
        <v>17</v>
      </c>
      <c r="F2481">
        <v>0</v>
      </c>
      <c r="G2481" t="s">
        <v>18</v>
      </c>
      <c r="H2481" t="s">
        <v>9</v>
      </c>
      <c r="I2481" t="s">
        <v>1800</v>
      </c>
      <c r="J2481" t="s">
        <v>64</v>
      </c>
      <c r="K2481" t="s">
        <v>94</v>
      </c>
      <c r="M2481" t="s">
        <v>6</v>
      </c>
    </row>
    <row r="2482" spans="2:13" hidden="1">
      <c r="B2482">
        <v>2480</v>
      </c>
      <c r="C2482">
        <v>215</v>
      </c>
      <c r="D2482">
        <v>6</v>
      </c>
      <c r="E2482">
        <v>0</v>
      </c>
      <c r="F2482">
        <v>0</v>
      </c>
      <c r="G2482" t="s">
        <v>18</v>
      </c>
      <c r="H2482" t="s">
        <v>9</v>
      </c>
      <c r="I2482" t="s">
        <v>1815</v>
      </c>
      <c r="J2482" t="s">
        <v>54</v>
      </c>
      <c r="K2482" t="s">
        <v>1815</v>
      </c>
      <c r="M2482" t="s">
        <v>6</v>
      </c>
    </row>
    <row r="2483" spans="2:13" hidden="1">
      <c r="B2483">
        <v>2481</v>
      </c>
      <c r="C2483">
        <v>215</v>
      </c>
      <c r="D2483">
        <v>6</v>
      </c>
      <c r="E2483">
        <v>1</v>
      </c>
      <c r="F2483">
        <v>0</v>
      </c>
      <c r="G2483" t="s">
        <v>18</v>
      </c>
      <c r="H2483" t="s">
        <v>9</v>
      </c>
      <c r="I2483" t="s">
        <v>1815</v>
      </c>
      <c r="J2483" t="s">
        <v>55</v>
      </c>
      <c r="K2483" t="s">
        <v>1816</v>
      </c>
      <c r="M2483" t="s">
        <v>6</v>
      </c>
    </row>
    <row r="2484" spans="2:13" hidden="1">
      <c r="B2484">
        <v>2482</v>
      </c>
      <c r="C2484">
        <v>215</v>
      </c>
      <c r="D2484">
        <v>6</v>
      </c>
      <c r="E2484">
        <v>2</v>
      </c>
      <c r="F2484">
        <v>0</v>
      </c>
      <c r="G2484" t="s">
        <v>18</v>
      </c>
      <c r="H2484" t="s">
        <v>9</v>
      </c>
      <c r="I2484" t="s">
        <v>1815</v>
      </c>
      <c r="J2484" t="s">
        <v>55</v>
      </c>
      <c r="K2484" t="s">
        <v>155</v>
      </c>
      <c r="M2484" t="s">
        <v>6</v>
      </c>
    </row>
    <row r="2485" spans="2:13" hidden="1">
      <c r="B2485">
        <v>2483</v>
      </c>
      <c r="C2485">
        <v>215</v>
      </c>
      <c r="D2485">
        <v>6</v>
      </c>
      <c r="E2485">
        <v>3</v>
      </c>
      <c r="F2485">
        <v>0</v>
      </c>
      <c r="G2485" t="s">
        <v>18</v>
      </c>
      <c r="H2485" t="s">
        <v>9</v>
      </c>
      <c r="I2485" t="s">
        <v>1815</v>
      </c>
      <c r="J2485" t="s">
        <v>55</v>
      </c>
      <c r="K2485" t="s">
        <v>1817</v>
      </c>
      <c r="M2485" t="s">
        <v>6</v>
      </c>
    </row>
    <row r="2486" spans="2:13" hidden="1">
      <c r="B2486">
        <v>2484</v>
      </c>
      <c r="C2486">
        <v>215</v>
      </c>
      <c r="D2486">
        <v>6</v>
      </c>
      <c r="E2486">
        <v>4</v>
      </c>
      <c r="F2486">
        <v>0</v>
      </c>
      <c r="G2486" t="s">
        <v>18</v>
      </c>
      <c r="H2486" t="s">
        <v>9</v>
      </c>
      <c r="I2486" t="s">
        <v>1815</v>
      </c>
      <c r="J2486" t="s">
        <v>55</v>
      </c>
      <c r="K2486" t="s">
        <v>1818</v>
      </c>
      <c r="M2486" t="s">
        <v>6</v>
      </c>
    </row>
    <row r="2487" spans="2:13" hidden="1">
      <c r="B2487">
        <v>2485</v>
      </c>
      <c r="C2487">
        <v>215</v>
      </c>
      <c r="D2487">
        <v>6</v>
      </c>
      <c r="E2487">
        <v>5</v>
      </c>
      <c r="F2487">
        <v>0</v>
      </c>
      <c r="G2487" t="s">
        <v>18</v>
      </c>
      <c r="H2487" t="s">
        <v>9</v>
      </c>
      <c r="I2487" t="s">
        <v>1815</v>
      </c>
      <c r="J2487" t="s">
        <v>55</v>
      </c>
      <c r="K2487" t="s">
        <v>93</v>
      </c>
      <c r="M2487" t="s">
        <v>6</v>
      </c>
    </row>
    <row r="2488" spans="2:13" hidden="1">
      <c r="B2488">
        <v>2486</v>
      </c>
      <c r="C2488">
        <v>215</v>
      </c>
      <c r="D2488">
        <v>6</v>
      </c>
      <c r="E2488">
        <v>6</v>
      </c>
      <c r="F2488">
        <v>0</v>
      </c>
      <c r="G2488" t="s">
        <v>18</v>
      </c>
      <c r="H2488" t="s">
        <v>9</v>
      </c>
      <c r="I2488" t="s">
        <v>1815</v>
      </c>
      <c r="J2488" t="s">
        <v>64</v>
      </c>
      <c r="K2488" t="s">
        <v>94</v>
      </c>
      <c r="M2488" t="s">
        <v>6</v>
      </c>
    </row>
    <row r="2489" spans="2:13" hidden="1">
      <c r="B2489">
        <v>2487</v>
      </c>
      <c r="C2489">
        <v>216</v>
      </c>
      <c r="D2489">
        <v>7</v>
      </c>
      <c r="E2489">
        <v>0</v>
      </c>
      <c r="F2489">
        <v>0</v>
      </c>
      <c r="G2489" t="s">
        <v>18</v>
      </c>
      <c r="H2489" t="s">
        <v>9</v>
      </c>
      <c r="I2489" t="s">
        <v>1819</v>
      </c>
      <c r="J2489" t="s">
        <v>54</v>
      </c>
      <c r="K2489" t="s">
        <v>1819</v>
      </c>
      <c r="M2489" t="s">
        <v>6</v>
      </c>
    </row>
    <row r="2490" spans="2:13" hidden="1">
      <c r="B2490">
        <v>2488</v>
      </c>
      <c r="C2490">
        <v>216</v>
      </c>
      <c r="D2490">
        <v>7</v>
      </c>
      <c r="E2490">
        <v>1</v>
      </c>
      <c r="F2490">
        <v>0</v>
      </c>
      <c r="G2490" t="s">
        <v>18</v>
      </c>
      <c r="H2490" t="s">
        <v>9</v>
      </c>
      <c r="I2490" t="s">
        <v>1819</v>
      </c>
      <c r="J2490" t="s">
        <v>55</v>
      </c>
      <c r="K2490" t="s">
        <v>1820</v>
      </c>
      <c r="M2490" t="s">
        <v>6</v>
      </c>
    </row>
    <row r="2491" spans="2:13" hidden="1">
      <c r="B2491">
        <v>2489</v>
      </c>
      <c r="C2491">
        <v>216</v>
      </c>
      <c r="D2491">
        <v>7</v>
      </c>
      <c r="E2491">
        <v>2</v>
      </c>
      <c r="F2491">
        <v>0</v>
      </c>
      <c r="G2491" t="s">
        <v>18</v>
      </c>
      <c r="H2491" t="s">
        <v>9</v>
      </c>
      <c r="I2491" t="s">
        <v>1819</v>
      </c>
      <c r="J2491" t="s">
        <v>55</v>
      </c>
      <c r="K2491" t="s">
        <v>1821</v>
      </c>
      <c r="M2491" t="s">
        <v>6</v>
      </c>
    </row>
    <row r="2492" spans="2:13" hidden="1">
      <c r="B2492">
        <v>2490</v>
      </c>
      <c r="C2492">
        <v>216</v>
      </c>
      <c r="D2492">
        <v>7</v>
      </c>
      <c r="E2492">
        <v>3</v>
      </c>
      <c r="F2492">
        <v>0</v>
      </c>
      <c r="G2492" t="s">
        <v>18</v>
      </c>
      <c r="H2492" t="s">
        <v>9</v>
      </c>
      <c r="I2492" t="s">
        <v>1819</v>
      </c>
      <c r="J2492" t="s">
        <v>55</v>
      </c>
      <c r="K2492" t="s">
        <v>1822</v>
      </c>
      <c r="M2492" t="s">
        <v>6</v>
      </c>
    </row>
    <row r="2493" spans="2:13" hidden="1">
      <c r="B2493">
        <v>2491</v>
      </c>
      <c r="C2493">
        <v>216</v>
      </c>
      <c r="D2493">
        <v>7</v>
      </c>
      <c r="E2493">
        <v>4</v>
      </c>
      <c r="F2493">
        <v>0</v>
      </c>
      <c r="G2493" t="s">
        <v>18</v>
      </c>
      <c r="H2493" t="s">
        <v>9</v>
      </c>
      <c r="I2493" t="s">
        <v>1819</v>
      </c>
      <c r="J2493" t="s">
        <v>55</v>
      </c>
      <c r="K2493" t="s">
        <v>1823</v>
      </c>
      <c r="M2493" t="s">
        <v>6</v>
      </c>
    </row>
    <row r="2494" spans="2:13" hidden="1">
      <c r="B2494">
        <v>2492</v>
      </c>
      <c r="C2494">
        <v>216</v>
      </c>
      <c r="D2494">
        <v>7</v>
      </c>
      <c r="E2494">
        <v>5</v>
      </c>
      <c r="F2494">
        <v>0</v>
      </c>
      <c r="G2494" t="s">
        <v>18</v>
      </c>
      <c r="H2494" t="s">
        <v>9</v>
      </c>
      <c r="I2494" t="s">
        <v>1819</v>
      </c>
      <c r="J2494" t="s">
        <v>55</v>
      </c>
      <c r="K2494" t="s">
        <v>1824</v>
      </c>
      <c r="M2494" t="s">
        <v>6</v>
      </c>
    </row>
    <row r="2495" spans="2:13" hidden="1">
      <c r="B2495">
        <v>2493</v>
      </c>
      <c r="C2495">
        <v>216</v>
      </c>
      <c r="D2495">
        <v>7</v>
      </c>
      <c r="E2495">
        <v>6</v>
      </c>
      <c r="F2495">
        <v>0</v>
      </c>
      <c r="G2495" t="s">
        <v>18</v>
      </c>
      <c r="H2495" t="s">
        <v>9</v>
      </c>
      <c r="I2495" t="s">
        <v>1819</v>
      </c>
      <c r="J2495" t="s">
        <v>55</v>
      </c>
      <c r="K2495" t="s">
        <v>93</v>
      </c>
      <c r="M2495" t="s">
        <v>6</v>
      </c>
    </row>
    <row r="2496" spans="2:13" hidden="1">
      <c r="B2496">
        <v>2494</v>
      </c>
      <c r="C2496">
        <v>216</v>
      </c>
      <c r="D2496">
        <v>7</v>
      </c>
      <c r="E2496">
        <v>7</v>
      </c>
      <c r="F2496">
        <v>0</v>
      </c>
      <c r="G2496" t="s">
        <v>18</v>
      </c>
      <c r="H2496" t="s">
        <v>9</v>
      </c>
      <c r="I2496" t="s">
        <v>1819</v>
      </c>
      <c r="J2496" t="s">
        <v>64</v>
      </c>
      <c r="K2496" t="s">
        <v>94</v>
      </c>
      <c r="M2496" t="s">
        <v>6</v>
      </c>
    </row>
    <row r="2497" spans="2:13" hidden="1">
      <c r="B2497">
        <v>2495</v>
      </c>
      <c r="C2497">
        <v>217</v>
      </c>
      <c r="D2497">
        <v>7</v>
      </c>
      <c r="E2497">
        <v>0</v>
      </c>
      <c r="F2497">
        <v>0</v>
      </c>
      <c r="G2497" t="s">
        <v>18</v>
      </c>
      <c r="H2497" t="s">
        <v>9</v>
      </c>
      <c r="I2497" t="s">
        <v>1825</v>
      </c>
      <c r="J2497" t="s">
        <v>54</v>
      </c>
      <c r="K2497" t="s">
        <v>1825</v>
      </c>
      <c r="M2497" t="s">
        <v>6</v>
      </c>
    </row>
    <row r="2498" spans="2:13" hidden="1">
      <c r="B2498">
        <v>2496</v>
      </c>
      <c r="C2498">
        <v>217</v>
      </c>
      <c r="D2498">
        <v>7</v>
      </c>
      <c r="E2498">
        <v>1</v>
      </c>
      <c r="F2498">
        <v>0</v>
      </c>
      <c r="G2498" t="s">
        <v>18</v>
      </c>
      <c r="H2498" t="s">
        <v>9</v>
      </c>
      <c r="I2498" t="s">
        <v>1825</v>
      </c>
      <c r="J2498" t="s">
        <v>55</v>
      </c>
      <c r="K2498" t="s">
        <v>1826</v>
      </c>
      <c r="M2498" t="s">
        <v>6</v>
      </c>
    </row>
    <row r="2499" spans="2:13" hidden="1">
      <c r="B2499">
        <v>2497</v>
      </c>
      <c r="C2499">
        <v>217</v>
      </c>
      <c r="D2499">
        <v>7</v>
      </c>
      <c r="E2499">
        <v>2</v>
      </c>
      <c r="F2499">
        <v>0</v>
      </c>
      <c r="G2499" t="s">
        <v>18</v>
      </c>
      <c r="H2499" t="s">
        <v>9</v>
      </c>
      <c r="I2499" t="s">
        <v>1825</v>
      </c>
      <c r="J2499" t="s">
        <v>55</v>
      </c>
      <c r="K2499" t="s">
        <v>1827</v>
      </c>
      <c r="M2499" t="s">
        <v>6</v>
      </c>
    </row>
    <row r="2500" spans="2:13" hidden="1">
      <c r="B2500">
        <v>2498</v>
      </c>
      <c r="C2500">
        <v>217</v>
      </c>
      <c r="D2500">
        <v>7</v>
      </c>
      <c r="E2500">
        <v>3</v>
      </c>
      <c r="F2500">
        <v>0</v>
      </c>
      <c r="G2500" t="s">
        <v>18</v>
      </c>
      <c r="H2500" t="s">
        <v>9</v>
      </c>
      <c r="I2500" t="s">
        <v>1825</v>
      </c>
      <c r="J2500" t="s">
        <v>55</v>
      </c>
      <c r="K2500" t="s">
        <v>1828</v>
      </c>
      <c r="M2500" t="s">
        <v>6</v>
      </c>
    </row>
    <row r="2501" spans="2:13" hidden="1">
      <c r="B2501">
        <v>2499</v>
      </c>
      <c r="C2501">
        <v>217</v>
      </c>
      <c r="D2501">
        <v>7</v>
      </c>
      <c r="E2501">
        <v>4</v>
      </c>
      <c r="F2501">
        <v>0</v>
      </c>
      <c r="G2501" t="s">
        <v>18</v>
      </c>
      <c r="H2501" t="s">
        <v>9</v>
      </c>
      <c r="I2501" t="s">
        <v>1825</v>
      </c>
      <c r="J2501" t="s">
        <v>55</v>
      </c>
      <c r="K2501" t="s">
        <v>1817</v>
      </c>
      <c r="M2501" t="s">
        <v>6</v>
      </c>
    </row>
    <row r="2502" spans="2:13" hidden="1">
      <c r="B2502">
        <v>2500</v>
      </c>
      <c r="C2502">
        <v>217</v>
      </c>
      <c r="D2502">
        <v>7</v>
      </c>
      <c r="E2502">
        <v>5</v>
      </c>
      <c r="F2502">
        <v>0</v>
      </c>
      <c r="G2502" t="s">
        <v>18</v>
      </c>
      <c r="H2502" t="s">
        <v>9</v>
      </c>
      <c r="I2502" t="s">
        <v>1825</v>
      </c>
      <c r="J2502" t="s">
        <v>55</v>
      </c>
      <c r="K2502" t="s">
        <v>1829</v>
      </c>
      <c r="M2502" t="s">
        <v>6</v>
      </c>
    </row>
    <row r="2503" spans="2:13" hidden="1">
      <c r="B2503">
        <v>2501</v>
      </c>
      <c r="C2503">
        <v>217</v>
      </c>
      <c r="D2503">
        <v>7</v>
      </c>
      <c r="E2503">
        <v>6</v>
      </c>
      <c r="F2503">
        <v>0</v>
      </c>
      <c r="G2503" t="s">
        <v>18</v>
      </c>
      <c r="H2503" t="s">
        <v>9</v>
      </c>
      <c r="I2503" t="s">
        <v>1825</v>
      </c>
      <c r="J2503" t="s">
        <v>55</v>
      </c>
      <c r="K2503" t="s">
        <v>93</v>
      </c>
      <c r="M2503" t="s">
        <v>6</v>
      </c>
    </row>
    <row r="2504" spans="2:13" hidden="1">
      <c r="B2504">
        <v>2502</v>
      </c>
      <c r="C2504">
        <v>217</v>
      </c>
      <c r="D2504">
        <v>7</v>
      </c>
      <c r="E2504">
        <v>7</v>
      </c>
      <c r="F2504">
        <v>0</v>
      </c>
      <c r="G2504" t="s">
        <v>18</v>
      </c>
      <c r="H2504" t="s">
        <v>9</v>
      </c>
      <c r="I2504" t="s">
        <v>1825</v>
      </c>
      <c r="J2504" t="s">
        <v>64</v>
      </c>
      <c r="K2504" t="s">
        <v>94</v>
      </c>
      <c r="M2504" t="s">
        <v>6</v>
      </c>
    </row>
    <row r="2505" spans="2:13" hidden="1">
      <c r="B2505">
        <v>2503</v>
      </c>
      <c r="C2505">
        <v>218</v>
      </c>
      <c r="D2505">
        <v>6</v>
      </c>
      <c r="E2505">
        <v>0</v>
      </c>
      <c r="F2505">
        <v>0</v>
      </c>
      <c r="G2505" t="s">
        <v>18</v>
      </c>
      <c r="H2505" t="s">
        <v>9</v>
      </c>
      <c r="I2505" t="s">
        <v>1830</v>
      </c>
      <c r="J2505" t="s">
        <v>54</v>
      </c>
      <c r="K2505" t="s">
        <v>1830</v>
      </c>
      <c r="M2505" t="s">
        <v>6</v>
      </c>
    </row>
    <row r="2506" spans="2:13" hidden="1">
      <c r="B2506">
        <v>2504</v>
      </c>
      <c r="C2506">
        <v>218</v>
      </c>
      <c r="D2506">
        <v>6</v>
      </c>
      <c r="E2506">
        <v>1</v>
      </c>
      <c r="F2506">
        <v>0</v>
      </c>
      <c r="G2506" t="s">
        <v>18</v>
      </c>
      <c r="H2506" t="s">
        <v>9</v>
      </c>
      <c r="I2506" t="s">
        <v>1830</v>
      </c>
      <c r="J2506" t="s">
        <v>55</v>
      </c>
      <c r="K2506" t="s">
        <v>1816</v>
      </c>
      <c r="M2506" t="s">
        <v>6</v>
      </c>
    </row>
    <row r="2507" spans="2:13" hidden="1">
      <c r="B2507">
        <v>2505</v>
      </c>
      <c r="C2507">
        <v>218</v>
      </c>
      <c r="D2507">
        <v>6</v>
      </c>
      <c r="E2507">
        <v>2</v>
      </c>
      <c r="F2507">
        <v>0</v>
      </c>
      <c r="G2507" t="s">
        <v>18</v>
      </c>
      <c r="H2507" t="s">
        <v>9</v>
      </c>
      <c r="I2507" t="s">
        <v>1830</v>
      </c>
      <c r="J2507" t="s">
        <v>55</v>
      </c>
      <c r="K2507" t="s">
        <v>155</v>
      </c>
      <c r="M2507" t="s">
        <v>6</v>
      </c>
    </row>
    <row r="2508" spans="2:13" hidden="1">
      <c r="B2508">
        <v>2506</v>
      </c>
      <c r="C2508">
        <v>218</v>
      </c>
      <c r="D2508">
        <v>6</v>
      </c>
      <c r="E2508">
        <v>3</v>
      </c>
      <c r="F2508">
        <v>0</v>
      </c>
      <c r="G2508" t="s">
        <v>18</v>
      </c>
      <c r="H2508" t="s">
        <v>9</v>
      </c>
      <c r="I2508" t="s">
        <v>1830</v>
      </c>
      <c r="J2508" t="s">
        <v>55</v>
      </c>
      <c r="K2508" t="s">
        <v>1817</v>
      </c>
      <c r="M2508" t="s">
        <v>6</v>
      </c>
    </row>
    <row r="2509" spans="2:13" hidden="1">
      <c r="B2509">
        <v>2507</v>
      </c>
      <c r="C2509">
        <v>218</v>
      </c>
      <c r="D2509">
        <v>6</v>
      </c>
      <c r="E2509">
        <v>4</v>
      </c>
      <c r="F2509">
        <v>0</v>
      </c>
      <c r="G2509" t="s">
        <v>18</v>
      </c>
      <c r="H2509" t="s">
        <v>9</v>
      </c>
      <c r="I2509" t="s">
        <v>1830</v>
      </c>
      <c r="J2509" t="s">
        <v>55</v>
      </c>
      <c r="K2509" t="s">
        <v>1831</v>
      </c>
      <c r="M2509" t="s">
        <v>6</v>
      </c>
    </row>
    <row r="2510" spans="2:13" hidden="1">
      <c r="B2510">
        <v>2508</v>
      </c>
      <c r="C2510">
        <v>218</v>
      </c>
      <c r="D2510">
        <v>6</v>
      </c>
      <c r="E2510">
        <v>5</v>
      </c>
      <c r="F2510">
        <v>0</v>
      </c>
      <c r="G2510" t="s">
        <v>18</v>
      </c>
      <c r="H2510" t="s">
        <v>9</v>
      </c>
      <c r="I2510" t="s">
        <v>1830</v>
      </c>
      <c r="J2510" t="s">
        <v>55</v>
      </c>
      <c r="K2510" t="s">
        <v>93</v>
      </c>
      <c r="M2510" t="s">
        <v>6</v>
      </c>
    </row>
    <row r="2511" spans="2:13" hidden="1">
      <c r="B2511">
        <v>2509</v>
      </c>
      <c r="C2511">
        <v>218</v>
      </c>
      <c r="D2511">
        <v>6</v>
      </c>
      <c r="E2511">
        <v>6</v>
      </c>
      <c r="F2511">
        <v>0</v>
      </c>
      <c r="G2511" t="s">
        <v>18</v>
      </c>
      <c r="H2511" t="s">
        <v>9</v>
      </c>
      <c r="I2511" t="s">
        <v>1830</v>
      </c>
      <c r="J2511" t="s">
        <v>64</v>
      </c>
      <c r="K2511" t="s">
        <v>94</v>
      </c>
      <c r="M2511" t="s">
        <v>6</v>
      </c>
    </row>
    <row r="2512" spans="2:13" hidden="1">
      <c r="B2512">
        <v>2510</v>
      </c>
      <c r="C2512">
        <v>219</v>
      </c>
      <c r="D2512">
        <v>6</v>
      </c>
      <c r="E2512">
        <v>0</v>
      </c>
      <c r="F2512">
        <v>0</v>
      </c>
      <c r="G2512" t="s">
        <v>18</v>
      </c>
      <c r="H2512" t="s">
        <v>9</v>
      </c>
      <c r="I2512" t="s">
        <v>1832</v>
      </c>
      <c r="J2512" t="s">
        <v>54</v>
      </c>
      <c r="K2512" t="s">
        <v>1832</v>
      </c>
      <c r="M2512" t="s">
        <v>6</v>
      </c>
    </row>
    <row r="2513" spans="2:13" hidden="1">
      <c r="B2513">
        <v>2511</v>
      </c>
      <c r="C2513">
        <v>219</v>
      </c>
      <c r="D2513">
        <v>6</v>
      </c>
      <c r="E2513">
        <v>1</v>
      </c>
      <c r="F2513">
        <v>0</v>
      </c>
      <c r="G2513" t="s">
        <v>18</v>
      </c>
      <c r="H2513" t="s">
        <v>9</v>
      </c>
      <c r="I2513" t="s">
        <v>1832</v>
      </c>
      <c r="J2513" t="s">
        <v>55</v>
      </c>
      <c r="K2513" t="s">
        <v>954</v>
      </c>
      <c r="M2513" t="s">
        <v>6</v>
      </c>
    </row>
    <row r="2514" spans="2:13" hidden="1">
      <c r="B2514">
        <v>2512</v>
      </c>
      <c r="C2514">
        <v>219</v>
      </c>
      <c r="D2514">
        <v>6</v>
      </c>
      <c r="E2514">
        <v>2</v>
      </c>
      <c r="F2514">
        <v>0</v>
      </c>
      <c r="G2514" t="s">
        <v>18</v>
      </c>
      <c r="H2514" t="s">
        <v>9</v>
      </c>
      <c r="I2514" t="s">
        <v>1832</v>
      </c>
      <c r="J2514" t="s">
        <v>55</v>
      </c>
      <c r="K2514" t="s">
        <v>1833</v>
      </c>
      <c r="M2514" t="s">
        <v>6</v>
      </c>
    </row>
    <row r="2515" spans="2:13" hidden="1">
      <c r="B2515">
        <v>2513</v>
      </c>
      <c r="C2515">
        <v>219</v>
      </c>
      <c r="D2515">
        <v>6</v>
      </c>
      <c r="E2515">
        <v>3</v>
      </c>
      <c r="F2515">
        <v>0</v>
      </c>
      <c r="G2515" t="s">
        <v>18</v>
      </c>
      <c r="H2515" t="s">
        <v>9</v>
      </c>
      <c r="I2515" t="s">
        <v>1832</v>
      </c>
      <c r="J2515" t="s">
        <v>55</v>
      </c>
      <c r="K2515" t="s">
        <v>953</v>
      </c>
      <c r="M2515" t="s">
        <v>6</v>
      </c>
    </row>
    <row r="2516" spans="2:13" hidden="1">
      <c r="B2516">
        <v>2514</v>
      </c>
      <c r="C2516">
        <v>219</v>
      </c>
      <c r="D2516">
        <v>6</v>
      </c>
      <c r="E2516">
        <v>4</v>
      </c>
      <c r="F2516">
        <v>0</v>
      </c>
      <c r="G2516" t="s">
        <v>18</v>
      </c>
      <c r="H2516" t="s">
        <v>9</v>
      </c>
      <c r="I2516" t="s">
        <v>1832</v>
      </c>
      <c r="J2516" t="s">
        <v>55</v>
      </c>
      <c r="K2516" t="s">
        <v>1834</v>
      </c>
      <c r="M2516" t="s">
        <v>6</v>
      </c>
    </row>
    <row r="2517" spans="2:13" hidden="1">
      <c r="B2517">
        <v>2515</v>
      </c>
      <c r="C2517">
        <v>219</v>
      </c>
      <c r="D2517">
        <v>6</v>
      </c>
      <c r="E2517">
        <v>5</v>
      </c>
      <c r="F2517">
        <v>0</v>
      </c>
      <c r="G2517" t="s">
        <v>18</v>
      </c>
      <c r="H2517" t="s">
        <v>9</v>
      </c>
      <c r="I2517" t="s">
        <v>1832</v>
      </c>
      <c r="J2517" t="s">
        <v>55</v>
      </c>
      <c r="K2517" t="s">
        <v>93</v>
      </c>
      <c r="M2517" t="s">
        <v>6</v>
      </c>
    </row>
    <row r="2518" spans="2:13" hidden="1">
      <c r="B2518">
        <v>2516</v>
      </c>
      <c r="C2518">
        <v>219</v>
      </c>
      <c r="D2518">
        <v>6</v>
      </c>
      <c r="E2518">
        <v>6</v>
      </c>
      <c r="F2518">
        <v>0</v>
      </c>
      <c r="G2518" t="s">
        <v>18</v>
      </c>
      <c r="H2518" t="s">
        <v>9</v>
      </c>
      <c r="I2518" t="s">
        <v>1832</v>
      </c>
      <c r="J2518" t="s">
        <v>64</v>
      </c>
      <c r="K2518" t="s">
        <v>94</v>
      </c>
      <c r="M2518" t="s">
        <v>6</v>
      </c>
    </row>
    <row r="2519" spans="2:13" hidden="1">
      <c r="B2519">
        <v>2517</v>
      </c>
      <c r="C2519">
        <v>220</v>
      </c>
      <c r="D2519">
        <v>6</v>
      </c>
      <c r="E2519">
        <v>0</v>
      </c>
      <c r="F2519">
        <v>0</v>
      </c>
      <c r="G2519" t="s">
        <v>18</v>
      </c>
      <c r="H2519" t="s">
        <v>9</v>
      </c>
      <c r="I2519" t="s">
        <v>1835</v>
      </c>
      <c r="J2519" t="s">
        <v>54</v>
      </c>
      <c r="K2519" t="s">
        <v>1835</v>
      </c>
      <c r="M2519" t="s">
        <v>6</v>
      </c>
    </row>
    <row r="2520" spans="2:13" hidden="1">
      <c r="B2520">
        <v>2518</v>
      </c>
      <c r="C2520">
        <v>220</v>
      </c>
      <c r="D2520">
        <v>6</v>
      </c>
      <c r="E2520">
        <v>1</v>
      </c>
      <c r="F2520">
        <v>0</v>
      </c>
      <c r="G2520" t="s">
        <v>18</v>
      </c>
      <c r="H2520" t="s">
        <v>9</v>
      </c>
      <c r="I2520" t="s">
        <v>1835</v>
      </c>
      <c r="J2520" t="s">
        <v>55</v>
      </c>
      <c r="K2520" t="s">
        <v>1816</v>
      </c>
      <c r="M2520" t="s">
        <v>6</v>
      </c>
    </row>
    <row r="2521" spans="2:13" hidden="1">
      <c r="B2521">
        <v>2519</v>
      </c>
      <c r="C2521">
        <v>220</v>
      </c>
      <c r="D2521">
        <v>6</v>
      </c>
      <c r="E2521">
        <v>2</v>
      </c>
      <c r="F2521">
        <v>0</v>
      </c>
      <c r="G2521" t="s">
        <v>18</v>
      </c>
      <c r="H2521" t="s">
        <v>9</v>
      </c>
      <c r="I2521" t="s">
        <v>1835</v>
      </c>
      <c r="J2521" t="s">
        <v>55</v>
      </c>
      <c r="K2521" t="s">
        <v>155</v>
      </c>
      <c r="M2521" t="s">
        <v>6</v>
      </c>
    </row>
    <row r="2522" spans="2:13" hidden="1">
      <c r="B2522">
        <v>2520</v>
      </c>
      <c r="C2522">
        <v>220</v>
      </c>
      <c r="D2522">
        <v>6</v>
      </c>
      <c r="E2522">
        <v>3</v>
      </c>
      <c r="F2522">
        <v>0</v>
      </c>
      <c r="G2522" t="s">
        <v>18</v>
      </c>
      <c r="H2522" t="s">
        <v>9</v>
      </c>
      <c r="I2522" t="s">
        <v>1835</v>
      </c>
      <c r="J2522" t="s">
        <v>55</v>
      </c>
      <c r="K2522" t="s">
        <v>1817</v>
      </c>
      <c r="M2522" t="s">
        <v>6</v>
      </c>
    </row>
    <row r="2523" spans="2:13" hidden="1">
      <c r="B2523">
        <v>2521</v>
      </c>
      <c r="C2523">
        <v>220</v>
      </c>
      <c r="D2523">
        <v>6</v>
      </c>
      <c r="E2523">
        <v>4</v>
      </c>
      <c r="F2523">
        <v>0</v>
      </c>
      <c r="G2523" t="s">
        <v>18</v>
      </c>
      <c r="H2523" t="s">
        <v>9</v>
      </c>
      <c r="I2523" t="s">
        <v>1835</v>
      </c>
      <c r="J2523" t="s">
        <v>55</v>
      </c>
      <c r="K2523" t="s">
        <v>1836</v>
      </c>
      <c r="M2523" t="s">
        <v>6</v>
      </c>
    </row>
    <row r="2524" spans="2:13" hidden="1">
      <c r="B2524">
        <v>2522</v>
      </c>
      <c r="C2524">
        <v>220</v>
      </c>
      <c r="D2524">
        <v>6</v>
      </c>
      <c r="E2524">
        <v>5</v>
      </c>
      <c r="F2524">
        <v>0</v>
      </c>
      <c r="G2524" t="s">
        <v>18</v>
      </c>
      <c r="H2524" t="s">
        <v>9</v>
      </c>
      <c r="I2524" t="s">
        <v>1835</v>
      </c>
      <c r="J2524" t="s">
        <v>55</v>
      </c>
      <c r="K2524" t="s">
        <v>93</v>
      </c>
      <c r="M2524" t="s">
        <v>6</v>
      </c>
    </row>
    <row r="2525" spans="2:13" hidden="1">
      <c r="B2525">
        <v>2523</v>
      </c>
      <c r="C2525">
        <v>220</v>
      </c>
      <c r="D2525">
        <v>6</v>
      </c>
      <c r="E2525">
        <v>6</v>
      </c>
      <c r="F2525">
        <v>0</v>
      </c>
      <c r="G2525" t="s">
        <v>18</v>
      </c>
      <c r="H2525" t="s">
        <v>9</v>
      </c>
      <c r="I2525" t="s">
        <v>1835</v>
      </c>
      <c r="J2525" t="s">
        <v>64</v>
      </c>
      <c r="K2525" t="s">
        <v>94</v>
      </c>
      <c r="M2525" t="s">
        <v>6</v>
      </c>
    </row>
    <row r="2526" spans="2:13" hidden="1">
      <c r="B2526">
        <v>2524</v>
      </c>
      <c r="C2526">
        <v>221</v>
      </c>
      <c r="D2526">
        <v>6</v>
      </c>
      <c r="E2526">
        <v>0</v>
      </c>
      <c r="F2526">
        <v>0</v>
      </c>
      <c r="G2526" t="s">
        <v>18</v>
      </c>
      <c r="H2526" t="s">
        <v>9</v>
      </c>
      <c r="I2526" t="s">
        <v>1837</v>
      </c>
      <c r="J2526" t="s">
        <v>54</v>
      </c>
      <c r="K2526" t="s">
        <v>1837</v>
      </c>
      <c r="M2526" t="s">
        <v>6</v>
      </c>
    </row>
    <row r="2527" spans="2:13" hidden="1">
      <c r="B2527">
        <v>2525</v>
      </c>
      <c r="C2527">
        <v>221</v>
      </c>
      <c r="D2527">
        <v>6</v>
      </c>
      <c r="E2527">
        <v>1</v>
      </c>
      <c r="F2527">
        <v>0</v>
      </c>
      <c r="G2527" t="s">
        <v>18</v>
      </c>
      <c r="H2527" t="s">
        <v>9</v>
      </c>
      <c r="I2527" t="s">
        <v>1837</v>
      </c>
      <c r="J2527" t="s">
        <v>55</v>
      </c>
      <c r="K2527" t="s">
        <v>1816</v>
      </c>
      <c r="M2527" t="s">
        <v>6</v>
      </c>
    </row>
    <row r="2528" spans="2:13" hidden="1">
      <c r="B2528">
        <v>2526</v>
      </c>
      <c r="C2528">
        <v>221</v>
      </c>
      <c r="D2528">
        <v>6</v>
      </c>
      <c r="E2528">
        <v>2</v>
      </c>
      <c r="F2528">
        <v>0</v>
      </c>
      <c r="G2528" t="s">
        <v>18</v>
      </c>
      <c r="H2528" t="s">
        <v>9</v>
      </c>
      <c r="I2528" t="s">
        <v>1837</v>
      </c>
      <c r="J2528" t="s">
        <v>55</v>
      </c>
      <c r="K2528" t="s">
        <v>155</v>
      </c>
      <c r="M2528" t="s">
        <v>6</v>
      </c>
    </row>
    <row r="2529" spans="2:13" hidden="1">
      <c r="B2529">
        <v>2527</v>
      </c>
      <c r="C2529">
        <v>221</v>
      </c>
      <c r="D2529">
        <v>6</v>
      </c>
      <c r="E2529">
        <v>3</v>
      </c>
      <c r="F2529">
        <v>0</v>
      </c>
      <c r="G2529" t="s">
        <v>18</v>
      </c>
      <c r="H2529" t="s">
        <v>9</v>
      </c>
      <c r="I2529" t="s">
        <v>1837</v>
      </c>
      <c r="J2529" t="s">
        <v>55</v>
      </c>
      <c r="K2529" t="s">
        <v>1817</v>
      </c>
      <c r="M2529" t="s">
        <v>6</v>
      </c>
    </row>
    <row r="2530" spans="2:13" hidden="1">
      <c r="B2530">
        <v>2528</v>
      </c>
      <c r="C2530">
        <v>221</v>
      </c>
      <c r="D2530">
        <v>6</v>
      </c>
      <c r="E2530">
        <v>4</v>
      </c>
      <c r="F2530">
        <v>0</v>
      </c>
      <c r="G2530" t="s">
        <v>18</v>
      </c>
      <c r="H2530" t="s">
        <v>9</v>
      </c>
      <c r="I2530" t="s">
        <v>1837</v>
      </c>
      <c r="J2530" t="s">
        <v>55</v>
      </c>
      <c r="K2530" t="s">
        <v>1838</v>
      </c>
      <c r="M2530" t="s">
        <v>6</v>
      </c>
    </row>
    <row r="2531" spans="2:13" hidden="1">
      <c r="B2531">
        <v>2529</v>
      </c>
      <c r="C2531">
        <v>221</v>
      </c>
      <c r="D2531">
        <v>6</v>
      </c>
      <c r="E2531">
        <v>5</v>
      </c>
      <c r="F2531">
        <v>0</v>
      </c>
      <c r="G2531" t="s">
        <v>18</v>
      </c>
      <c r="H2531" t="s">
        <v>9</v>
      </c>
      <c r="I2531" t="s">
        <v>1837</v>
      </c>
      <c r="J2531" t="s">
        <v>55</v>
      </c>
      <c r="K2531" t="s">
        <v>93</v>
      </c>
      <c r="M2531" t="s">
        <v>6</v>
      </c>
    </row>
    <row r="2532" spans="2:13" hidden="1">
      <c r="B2532">
        <v>2530</v>
      </c>
      <c r="C2532">
        <v>221</v>
      </c>
      <c r="D2532">
        <v>6</v>
      </c>
      <c r="E2532">
        <v>6</v>
      </c>
      <c r="F2532">
        <v>0</v>
      </c>
      <c r="G2532" t="s">
        <v>18</v>
      </c>
      <c r="H2532" t="s">
        <v>9</v>
      </c>
      <c r="I2532" t="s">
        <v>1837</v>
      </c>
      <c r="J2532" t="s">
        <v>64</v>
      </c>
      <c r="K2532" t="s">
        <v>94</v>
      </c>
      <c r="M2532" t="s">
        <v>6</v>
      </c>
    </row>
    <row r="2533" spans="2:13" hidden="1">
      <c r="B2533">
        <v>2531</v>
      </c>
      <c r="C2533">
        <v>222</v>
      </c>
      <c r="D2533">
        <v>6</v>
      </c>
      <c r="E2533">
        <v>0</v>
      </c>
      <c r="F2533">
        <v>0</v>
      </c>
      <c r="G2533" t="s">
        <v>18</v>
      </c>
      <c r="H2533" t="s">
        <v>9</v>
      </c>
      <c r="I2533" t="s">
        <v>1839</v>
      </c>
      <c r="J2533" t="s">
        <v>54</v>
      </c>
      <c r="K2533" t="s">
        <v>1839</v>
      </c>
      <c r="M2533" t="s">
        <v>6</v>
      </c>
    </row>
    <row r="2534" spans="2:13" hidden="1">
      <c r="B2534">
        <v>2532</v>
      </c>
      <c r="C2534">
        <v>222</v>
      </c>
      <c r="D2534">
        <v>6</v>
      </c>
      <c r="E2534">
        <v>1</v>
      </c>
      <c r="F2534">
        <v>0</v>
      </c>
      <c r="G2534" t="s">
        <v>18</v>
      </c>
      <c r="H2534" t="s">
        <v>9</v>
      </c>
      <c r="I2534" t="s">
        <v>1839</v>
      </c>
      <c r="J2534" t="s">
        <v>55</v>
      </c>
      <c r="K2534" t="s">
        <v>1816</v>
      </c>
      <c r="M2534" t="s">
        <v>6</v>
      </c>
    </row>
    <row r="2535" spans="2:13" hidden="1">
      <c r="B2535">
        <v>2533</v>
      </c>
      <c r="C2535">
        <v>222</v>
      </c>
      <c r="D2535">
        <v>6</v>
      </c>
      <c r="E2535">
        <v>2</v>
      </c>
      <c r="F2535">
        <v>0</v>
      </c>
      <c r="G2535" t="s">
        <v>18</v>
      </c>
      <c r="H2535" t="s">
        <v>9</v>
      </c>
      <c r="I2535" t="s">
        <v>1839</v>
      </c>
      <c r="J2535" t="s">
        <v>55</v>
      </c>
      <c r="K2535" t="s">
        <v>155</v>
      </c>
      <c r="M2535" t="s">
        <v>6</v>
      </c>
    </row>
    <row r="2536" spans="2:13" hidden="1">
      <c r="B2536">
        <v>2534</v>
      </c>
      <c r="C2536">
        <v>222</v>
      </c>
      <c r="D2536">
        <v>6</v>
      </c>
      <c r="E2536">
        <v>3</v>
      </c>
      <c r="F2536">
        <v>0</v>
      </c>
      <c r="G2536" t="s">
        <v>18</v>
      </c>
      <c r="H2536" t="s">
        <v>9</v>
      </c>
      <c r="I2536" t="s">
        <v>1839</v>
      </c>
      <c r="J2536" t="s">
        <v>55</v>
      </c>
      <c r="K2536" t="s">
        <v>1817</v>
      </c>
      <c r="M2536" t="s">
        <v>6</v>
      </c>
    </row>
    <row r="2537" spans="2:13" hidden="1">
      <c r="B2537">
        <v>2535</v>
      </c>
      <c r="C2537">
        <v>222</v>
      </c>
      <c r="D2537">
        <v>6</v>
      </c>
      <c r="E2537">
        <v>4</v>
      </c>
      <c r="F2537">
        <v>0</v>
      </c>
      <c r="G2537" t="s">
        <v>18</v>
      </c>
      <c r="H2537" t="s">
        <v>9</v>
      </c>
      <c r="I2537" t="s">
        <v>1839</v>
      </c>
      <c r="J2537" t="s">
        <v>55</v>
      </c>
      <c r="K2537" t="s">
        <v>1840</v>
      </c>
      <c r="M2537" t="s">
        <v>6</v>
      </c>
    </row>
    <row r="2538" spans="2:13" hidden="1">
      <c r="B2538">
        <v>2536</v>
      </c>
      <c r="C2538">
        <v>222</v>
      </c>
      <c r="D2538">
        <v>6</v>
      </c>
      <c r="E2538">
        <v>5</v>
      </c>
      <c r="F2538">
        <v>0</v>
      </c>
      <c r="G2538" t="s">
        <v>18</v>
      </c>
      <c r="H2538" t="s">
        <v>9</v>
      </c>
      <c r="I2538" t="s">
        <v>1839</v>
      </c>
      <c r="J2538" t="s">
        <v>55</v>
      </c>
      <c r="K2538" t="s">
        <v>93</v>
      </c>
      <c r="M2538" t="s">
        <v>6</v>
      </c>
    </row>
    <row r="2539" spans="2:13" hidden="1">
      <c r="B2539">
        <v>2537</v>
      </c>
      <c r="C2539">
        <v>222</v>
      </c>
      <c r="D2539">
        <v>6</v>
      </c>
      <c r="E2539">
        <v>6</v>
      </c>
      <c r="F2539">
        <v>0</v>
      </c>
      <c r="G2539" t="s">
        <v>18</v>
      </c>
      <c r="H2539" t="s">
        <v>9</v>
      </c>
      <c r="I2539" t="s">
        <v>1839</v>
      </c>
      <c r="J2539" t="s">
        <v>64</v>
      </c>
      <c r="K2539" t="s">
        <v>94</v>
      </c>
      <c r="M2539" t="s">
        <v>6</v>
      </c>
    </row>
    <row r="2540" spans="2:13" hidden="1">
      <c r="B2540">
        <v>2538</v>
      </c>
      <c r="C2540">
        <v>223</v>
      </c>
      <c r="D2540">
        <v>9</v>
      </c>
      <c r="E2540">
        <v>0</v>
      </c>
      <c r="F2540">
        <v>0</v>
      </c>
      <c r="G2540" t="s">
        <v>18</v>
      </c>
      <c r="H2540" t="s">
        <v>9</v>
      </c>
      <c r="I2540" t="s">
        <v>1841</v>
      </c>
      <c r="J2540" t="s">
        <v>54</v>
      </c>
      <c r="K2540" t="s">
        <v>1841</v>
      </c>
      <c r="M2540" t="s">
        <v>6</v>
      </c>
    </row>
    <row r="2541" spans="2:13" hidden="1">
      <c r="B2541">
        <v>2539</v>
      </c>
      <c r="C2541">
        <v>223</v>
      </c>
      <c r="D2541">
        <v>9</v>
      </c>
      <c r="E2541">
        <v>1</v>
      </c>
      <c r="F2541">
        <v>0</v>
      </c>
      <c r="G2541" t="s">
        <v>18</v>
      </c>
      <c r="H2541" t="s">
        <v>9</v>
      </c>
      <c r="I2541" t="s">
        <v>1841</v>
      </c>
      <c r="J2541" t="s">
        <v>55</v>
      </c>
      <c r="K2541" t="s">
        <v>1842</v>
      </c>
      <c r="M2541" t="s">
        <v>6</v>
      </c>
    </row>
    <row r="2542" spans="2:13" hidden="1">
      <c r="B2542">
        <v>2540</v>
      </c>
      <c r="C2542">
        <v>223</v>
      </c>
      <c r="D2542">
        <v>9</v>
      </c>
      <c r="E2542">
        <v>2</v>
      </c>
      <c r="F2542">
        <v>0</v>
      </c>
      <c r="G2542" t="s">
        <v>18</v>
      </c>
      <c r="H2542" t="s">
        <v>9</v>
      </c>
      <c r="I2542" t="s">
        <v>1841</v>
      </c>
      <c r="J2542" t="s">
        <v>55</v>
      </c>
      <c r="K2542" t="s">
        <v>1843</v>
      </c>
      <c r="M2542" t="s">
        <v>6</v>
      </c>
    </row>
    <row r="2543" spans="2:13" hidden="1">
      <c r="B2543">
        <v>2541</v>
      </c>
      <c r="C2543">
        <v>223</v>
      </c>
      <c r="D2543">
        <v>9</v>
      </c>
      <c r="E2543">
        <v>3</v>
      </c>
      <c r="F2543">
        <v>0</v>
      </c>
      <c r="G2543" t="s">
        <v>18</v>
      </c>
      <c r="H2543" t="s">
        <v>9</v>
      </c>
      <c r="I2543" t="s">
        <v>1841</v>
      </c>
      <c r="J2543" t="s">
        <v>55</v>
      </c>
      <c r="K2543" t="s">
        <v>1844</v>
      </c>
      <c r="M2543" t="s">
        <v>6</v>
      </c>
    </row>
    <row r="2544" spans="2:13" hidden="1">
      <c r="B2544">
        <v>2542</v>
      </c>
      <c r="C2544">
        <v>223</v>
      </c>
      <c r="D2544">
        <v>9</v>
      </c>
      <c r="E2544">
        <v>4</v>
      </c>
      <c r="F2544">
        <v>0</v>
      </c>
      <c r="G2544" t="s">
        <v>18</v>
      </c>
      <c r="H2544" t="s">
        <v>9</v>
      </c>
      <c r="I2544" t="s">
        <v>1841</v>
      </c>
      <c r="J2544" t="s">
        <v>55</v>
      </c>
      <c r="K2544" t="s">
        <v>1845</v>
      </c>
      <c r="M2544" t="s">
        <v>6</v>
      </c>
    </row>
    <row r="2545" spans="2:13" hidden="1">
      <c r="B2545">
        <v>2543</v>
      </c>
      <c r="C2545">
        <v>223</v>
      </c>
      <c r="D2545">
        <v>9</v>
      </c>
      <c r="E2545">
        <v>5</v>
      </c>
      <c r="F2545">
        <v>0</v>
      </c>
      <c r="G2545" t="s">
        <v>18</v>
      </c>
      <c r="H2545" t="s">
        <v>9</v>
      </c>
      <c r="I2545" t="s">
        <v>1841</v>
      </c>
      <c r="J2545" t="s">
        <v>55</v>
      </c>
      <c r="K2545" t="s">
        <v>1846</v>
      </c>
      <c r="M2545" t="s">
        <v>6</v>
      </c>
    </row>
    <row r="2546" spans="2:13" hidden="1">
      <c r="B2546">
        <v>2544</v>
      </c>
      <c r="C2546">
        <v>223</v>
      </c>
      <c r="D2546">
        <v>9</v>
      </c>
      <c r="E2546">
        <v>6</v>
      </c>
      <c r="F2546">
        <v>0</v>
      </c>
      <c r="G2546" t="s">
        <v>18</v>
      </c>
      <c r="H2546" t="s">
        <v>9</v>
      </c>
      <c r="I2546" t="s">
        <v>1841</v>
      </c>
      <c r="J2546" t="s">
        <v>55</v>
      </c>
      <c r="K2546" t="s">
        <v>1847</v>
      </c>
      <c r="M2546" t="s">
        <v>6</v>
      </c>
    </row>
    <row r="2547" spans="2:13" hidden="1">
      <c r="B2547">
        <v>2545</v>
      </c>
      <c r="C2547">
        <v>223</v>
      </c>
      <c r="D2547">
        <v>9</v>
      </c>
      <c r="E2547">
        <v>7</v>
      </c>
      <c r="F2547">
        <v>0</v>
      </c>
      <c r="G2547" t="s">
        <v>18</v>
      </c>
      <c r="H2547" t="s">
        <v>9</v>
      </c>
      <c r="I2547" t="s">
        <v>1841</v>
      </c>
      <c r="J2547" t="s">
        <v>55</v>
      </c>
      <c r="K2547" t="s">
        <v>1848</v>
      </c>
      <c r="M2547" t="s">
        <v>6</v>
      </c>
    </row>
    <row r="2548" spans="2:13" hidden="1">
      <c r="B2548">
        <v>2546</v>
      </c>
      <c r="C2548">
        <v>223</v>
      </c>
      <c r="D2548">
        <v>9</v>
      </c>
      <c r="E2548">
        <v>8</v>
      </c>
      <c r="F2548">
        <v>0</v>
      </c>
      <c r="G2548" t="s">
        <v>18</v>
      </c>
      <c r="H2548" t="s">
        <v>9</v>
      </c>
      <c r="I2548" t="s">
        <v>1841</v>
      </c>
      <c r="J2548" t="s">
        <v>55</v>
      </c>
      <c r="K2548" t="s">
        <v>93</v>
      </c>
      <c r="M2548" t="s">
        <v>6</v>
      </c>
    </row>
    <row r="2549" spans="2:13" hidden="1">
      <c r="B2549">
        <v>2547</v>
      </c>
      <c r="C2549">
        <v>223</v>
      </c>
      <c r="D2549">
        <v>9</v>
      </c>
      <c r="E2549">
        <v>9</v>
      </c>
      <c r="F2549">
        <v>0</v>
      </c>
      <c r="G2549" t="s">
        <v>18</v>
      </c>
      <c r="H2549" t="s">
        <v>9</v>
      </c>
      <c r="I2549" t="s">
        <v>1841</v>
      </c>
      <c r="J2549" t="s">
        <v>64</v>
      </c>
      <c r="K2549" t="s">
        <v>94</v>
      </c>
      <c r="M2549" t="s">
        <v>6</v>
      </c>
    </row>
    <row r="2550" spans="2:13" hidden="1">
      <c r="B2550">
        <v>2548</v>
      </c>
      <c r="C2550">
        <v>224</v>
      </c>
      <c r="D2550">
        <v>8</v>
      </c>
      <c r="E2550">
        <v>0</v>
      </c>
      <c r="F2550">
        <v>0</v>
      </c>
      <c r="G2550" t="s">
        <v>18</v>
      </c>
      <c r="H2550" t="s">
        <v>9</v>
      </c>
      <c r="I2550" t="s">
        <v>1849</v>
      </c>
      <c r="J2550" t="s">
        <v>54</v>
      </c>
      <c r="K2550" t="s">
        <v>1849</v>
      </c>
      <c r="M2550" t="s">
        <v>6</v>
      </c>
    </row>
    <row r="2551" spans="2:13" hidden="1">
      <c r="B2551">
        <v>2549</v>
      </c>
      <c r="C2551">
        <v>224</v>
      </c>
      <c r="D2551">
        <v>8</v>
      </c>
      <c r="E2551">
        <v>1</v>
      </c>
      <c r="F2551">
        <v>0</v>
      </c>
      <c r="G2551" t="s">
        <v>18</v>
      </c>
      <c r="H2551" t="s">
        <v>9</v>
      </c>
      <c r="I2551" t="s">
        <v>1849</v>
      </c>
      <c r="J2551" t="s">
        <v>55</v>
      </c>
      <c r="K2551" t="s">
        <v>1816</v>
      </c>
      <c r="M2551" t="s">
        <v>6</v>
      </c>
    </row>
    <row r="2552" spans="2:13" hidden="1">
      <c r="B2552">
        <v>2550</v>
      </c>
      <c r="C2552">
        <v>224</v>
      </c>
      <c r="D2552">
        <v>8</v>
      </c>
      <c r="E2552">
        <v>2</v>
      </c>
      <c r="F2552">
        <v>0</v>
      </c>
      <c r="G2552" t="s">
        <v>18</v>
      </c>
      <c r="H2552" t="s">
        <v>9</v>
      </c>
      <c r="I2552" t="s">
        <v>1849</v>
      </c>
      <c r="J2552" t="s">
        <v>55</v>
      </c>
      <c r="K2552" t="s">
        <v>1727</v>
      </c>
      <c r="M2552" t="s">
        <v>6</v>
      </c>
    </row>
    <row r="2553" spans="2:13" hidden="1">
      <c r="B2553">
        <v>2551</v>
      </c>
      <c r="C2553">
        <v>224</v>
      </c>
      <c r="D2553">
        <v>8</v>
      </c>
      <c r="E2553">
        <v>3</v>
      </c>
      <c r="F2553">
        <v>0</v>
      </c>
      <c r="G2553" t="s">
        <v>18</v>
      </c>
      <c r="H2553" t="s">
        <v>9</v>
      </c>
      <c r="I2553" t="s">
        <v>1849</v>
      </c>
      <c r="J2553" t="s">
        <v>55</v>
      </c>
      <c r="K2553" t="s">
        <v>155</v>
      </c>
      <c r="M2553" t="s">
        <v>6</v>
      </c>
    </row>
    <row r="2554" spans="2:13" hidden="1">
      <c r="B2554">
        <v>2552</v>
      </c>
      <c r="C2554">
        <v>224</v>
      </c>
      <c r="D2554">
        <v>8</v>
      </c>
      <c r="E2554">
        <v>4</v>
      </c>
      <c r="F2554">
        <v>0</v>
      </c>
      <c r="G2554" t="s">
        <v>18</v>
      </c>
      <c r="H2554" t="s">
        <v>9</v>
      </c>
      <c r="I2554" t="s">
        <v>1849</v>
      </c>
      <c r="J2554" t="s">
        <v>55</v>
      </c>
      <c r="K2554" t="s">
        <v>1850</v>
      </c>
      <c r="M2554" t="s">
        <v>6</v>
      </c>
    </row>
    <row r="2555" spans="2:13" hidden="1">
      <c r="B2555">
        <v>2553</v>
      </c>
      <c r="C2555">
        <v>224</v>
      </c>
      <c r="D2555">
        <v>8</v>
      </c>
      <c r="E2555">
        <v>5</v>
      </c>
      <c r="F2555">
        <v>0</v>
      </c>
      <c r="G2555" t="s">
        <v>18</v>
      </c>
      <c r="H2555" t="s">
        <v>9</v>
      </c>
      <c r="I2555" t="s">
        <v>1849</v>
      </c>
      <c r="J2555" t="s">
        <v>55</v>
      </c>
      <c r="K2555" t="s">
        <v>1851</v>
      </c>
      <c r="M2555" t="s">
        <v>6</v>
      </c>
    </row>
    <row r="2556" spans="2:13" hidden="1">
      <c r="B2556">
        <v>2554</v>
      </c>
      <c r="C2556">
        <v>224</v>
      </c>
      <c r="D2556">
        <v>8</v>
      </c>
      <c r="E2556">
        <v>6</v>
      </c>
      <c r="F2556">
        <v>0</v>
      </c>
      <c r="G2556" t="s">
        <v>18</v>
      </c>
      <c r="H2556" t="s">
        <v>9</v>
      </c>
      <c r="I2556" t="s">
        <v>1849</v>
      </c>
      <c r="J2556" t="s">
        <v>55</v>
      </c>
      <c r="K2556" t="s">
        <v>1852</v>
      </c>
      <c r="M2556" t="s">
        <v>6</v>
      </c>
    </row>
    <row r="2557" spans="2:13" hidden="1">
      <c r="B2557">
        <v>2555</v>
      </c>
      <c r="C2557">
        <v>224</v>
      </c>
      <c r="D2557">
        <v>8</v>
      </c>
      <c r="E2557">
        <v>7</v>
      </c>
      <c r="F2557">
        <v>0</v>
      </c>
      <c r="G2557" t="s">
        <v>18</v>
      </c>
      <c r="H2557" t="s">
        <v>9</v>
      </c>
      <c r="I2557" t="s">
        <v>1849</v>
      </c>
      <c r="J2557" t="s">
        <v>55</v>
      </c>
      <c r="K2557" t="s">
        <v>93</v>
      </c>
      <c r="M2557" t="s">
        <v>6</v>
      </c>
    </row>
    <row r="2558" spans="2:13" hidden="1">
      <c r="B2558">
        <v>2556</v>
      </c>
      <c r="C2558">
        <v>224</v>
      </c>
      <c r="D2558">
        <v>8</v>
      </c>
      <c r="E2558">
        <v>8</v>
      </c>
      <c r="F2558">
        <v>0</v>
      </c>
      <c r="G2558" t="s">
        <v>18</v>
      </c>
      <c r="H2558" t="s">
        <v>9</v>
      </c>
      <c r="I2558" t="s">
        <v>1849</v>
      </c>
      <c r="J2558" t="s">
        <v>64</v>
      </c>
      <c r="K2558" t="s">
        <v>94</v>
      </c>
      <c r="M2558" t="s">
        <v>6</v>
      </c>
    </row>
    <row r="2559" spans="2:13" hidden="1">
      <c r="B2559">
        <v>2557</v>
      </c>
      <c r="C2559">
        <v>225</v>
      </c>
      <c r="D2559">
        <v>29</v>
      </c>
      <c r="E2559">
        <v>0</v>
      </c>
      <c r="F2559">
        <v>0</v>
      </c>
      <c r="G2559" t="s">
        <v>18</v>
      </c>
      <c r="H2559" t="s">
        <v>9</v>
      </c>
      <c r="I2559" t="s">
        <v>1853</v>
      </c>
      <c r="J2559" t="s">
        <v>478</v>
      </c>
      <c r="K2559" t="s">
        <v>1853</v>
      </c>
      <c r="M2559" t="s">
        <v>6</v>
      </c>
    </row>
    <row r="2560" spans="2:13" hidden="1">
      <c r="B2560">
        <v>2558</v>
      </c>
      <c r="C2560">
        <v>225</v>
      </c>
      <c r="D2560">
        <v>29</v>
      </c>
      <c r="E2560">
        <v>1</v>
      </c>
      <c r="F2560">
        <v>0</v>
      </c>
      <c r="G2560" t="s">
        <v>18</v>
      </c>
      <c r="H2560" t="s">
        <v>9</v>
      </c>
      <c r="I2560" t="s">
        <v>1853</v>
      </c>
      <c r="J2560" t="s">
        <v>479</v>
      </c>
      <c r="K2560" t="s">
        <v>1652</v>
      </c>
      <c r="M2560" t="s">
        <v>6</v>
      </c>
    </row>
    <row r="2561" spans="2:13" hidden="1">
      <c r="B2561">
        <v>2559</v>
      </c>
      <c r="C2561">
        <v>225</v>
      </c>
      <c r="D2561">
        <v>29</v>
      </c>
      <c r="E2561">
        <v>2</v>
      </c>
      <c r="F2561">
        <v>0</v>
      </c>
      <c r="G2561" t="s">
        <v>18</v>
      </c>
      <c r="H2561" t="s">
        <v>9</v>
      </c>
      <c r="I2561" t="s">
        <v>1853</v>
      </c>
      <c r="J2561" t="s">
        <v>55</v>
      </c>
      <c r="K2561" t="s">
        <v>1854</v>
      </c>
      <c r="M2561" t="s">
        <v>6</v>
      </c>
    </row>
    <row r="2562" spans="2:13" hidden="1">
      <c r="B2562">
        <v>2560</v>
      </c>
      <c r="C2562">
        <v>225</v>
      </c>
      <c r="D2562">
        <v>29</v>
      </c>
      <c r="E2562">
        <v>3</v>
      </c>
      <c r="F2562">
        <v>0</v>
      </c>
      <c r="G2562" t="s">
        <v>18</v>
      </c>
      <c r="H2562" t="s">
        <v>9</v>
      </c>
      <c r="I2562" t="s">
        <v>1853</v>
      </c>
      <c r="J2562" t="s">
        <v>55</v>
      </c>
      <c r="K2562" t="s">
        <v>1855</v>
      </c>
      <c r="M2562" t="s">
        <v>6</v>
      </c>
    </row>
    <row r="2563" spans="2:13" hidden="1">
      <c r="B2563">
        <v>2561</v>
      </c>
      <c r="C2563">
        <v>225</v>
      </c>
      <c r="D2563">
        <v>29</v>
      </c>
      <c r="E2563">
        <v>4</v>
      </c>
      <c r="F2563">
        <v>0</v>
      </c>
      <c r="G2563" t="s">
        <v>18</v>
      </c>
      <c r="H2563" t="s">
        <v>9</v>
      </c>
      <c r="I2563" t="s">
        <v>1853</v>
      </c>
      <c r="J2563" t="s">
        <v>55</v>
      </c>
      <c r="K2563" t="s">
        <v>1653</v>
      </c>
      <c r="M2563" t="s">
        <v>6</v>
      </c>
    </row>
    <row r="2564" spans="2:13" hidden="1">
      <c r="B2564">
        <v>2562</v>
      </c>
      <c r="C2564">
        <v>225</v>
      </c>
      <c r="D2564">
        <v>29</v>
      </c>
      <c r="E2564">
        <v>5</v>
      </c>
      <c r="F2564">
        <v>0</v>
      </c>
      <c r="G2564" t="s">
        <v>18</v>
      </c>
      <c r="H2564" t="s">
        <v>9</v>
      </c>
      <c r="I2564" t="s">
        <v>1853</v>
      </c>
      <c r="J2564" t="s">
        <v>55</v>
      </c>
      <c r="K2564" t="s">
        <v>1856</v>
      </c>
      <c r="M2564" t="s">
        <v>6</v>
      </c>
    </row>
    <row r="2565" spans="2:13" hidden="1">
      <c r="B2565">
        <v>2563</v>
      </c>
      <c r="C2565">
        <v>225</v>
      </c>
      <c r="D2565">
        <v>29</v>
      </c>
      <c r="E2565">
        <v>6</v>
      </c>
      <c r="F2565">
        <v>0</v>
      </c>
      <c r="G2565" t="s">
        <v>18</v>
      </c>
      <c r="H2565" t="s">
        <v>9</v>
      </c>
      <c r="I2565" t="s">
        <v>1853</v>
      </c>
      <c r="J2565" t="s">
        <v>55</v>
      </c>
      <c r="K2565" t="s">
        <v>1857</v>
      </c>
      <c r="M2565" t="s">
        <v>6</v>
      </c>
    </row>
    <row r="2566" spans="2:13" hidden="1">
      <c r="B2566">
        <v>2564</v>
      </c>
      <c r="C2566">
        <v>225</v>
      </c>
      <c r="D2566">
        <v>29</v>
      </c>
      <c r="E2566">
        <v>7</v>
      </c>
      <c r="F2566">
        <v>0</v>
      </c>
      <c r="G2566" t="s">
        <v>18</v>
      </c>
      <c r="H2566" t="s">
        <v>9</v>
      </c>
      <c r="I2566" t="s">
        <v>1853</v>
      </c>
      <c r="J2566" t="s">
        <v>55</v>
      </c>
      <c r="K2566" t="s">
        <v>1858</v>
      </c>
      <c r="M2566" t="s">
        <v>6</v>
      </c>
    </row>
    <row r="2567" spans="2:13" hidden="1">
      <c r="B2567">
        <v>2565</v>
      </c>
      <c r="C2567">
        <v>225</v>
      </c>
      <c r="D2567">
        <v>29</v>
      </c>
      <c r="E2567">
        <v>8</v>
      </c>
      <c r="F2567">
        <v>0</v>
      </c>
      <c r="G2567" t="s">
        <v>18</v>
      </c>
      <c r="H2567" t="s">
        <v>9</v>
      </c>
      <c r="I2567" t="s">
        <v>1853</v>
      </c>
      <c r="J2567" t="s">
        <v>55</v>
      </c>
      <c r="K2567" t="s">
        <v>1859</v>
      </c>
      <c r="M2567" t="s">
        <v>6</v>
      </c>
    </row>
    <row r="2568" spans="2:13" hidden="1">
      <c r="B2568">
        <v>2566</v>
      </c>
      <c r="C2568">
        <v>225</v>
      </c>
      <c r="D2568">
        <v>29</v>
      </c>
      <c r="E2568">
        <v>9</v>
      </c>
      <c r="F2568">
        <v>0</v>
      </c>
      <c r="G2568" t="s">
        <v>18</v>
      </c>
      <c r="H2568" t="s">
        <v>9</v>
      </c>
      <c r="I2568" t="s">
        <v>1853</v>
      </c>
      <c r="J2568" t="s">
        <v>479</v>
      </c>
      <c r="K2568" t="s">
        <v>1860</v>
      </c>
      <c r="M2568" t="s">
        <v>6</v>
      </c>
    </row>
    <row r="2569" spans="2:13" hidden="1">
      <c r="B2569">
        <v>2567</v>
      </c>
      <c r="C2569">
        <v>225</v>
      </c>
      <c r="D2569">
        <v>29</v>
      </c>
      <c r="E2569">
        <v>10</v>
      </c>
      <c r="F2569">
        <v>0</v>
      </c>
      <c r="G2569" t="s">
        <v>18</v>
      </c>
      <c r="H2569" t="s">
        <v>9</v>
      </c>
      <c r="I2569" t="s">
        <v>1853</v>
      </c>
      <c r="J2569" t="s">
        <v>55</v>
      </c>
      <c r="K2569" t="s">
        <v>1655</v>
      </c>
      <c r="M2569" t="s">
        <v>6</v>
      </c>
    </row>
    <row r="2570" spans="2:13" hidden="1">
      <c r="B2570">
        <v>2568</v>
      </c>
      <c r="C2570">
        <v>225</v>
      </c>
      <c r="D2570">
        <v>29</v>
      </c>
      <c r="E2570">
        <v>11</v>
      </c>
      <c r="F2570">
        <v>0</v>
      </c>
      <c r="G2570" t="s">
        <v>18</v>
      </c>
      <c r="H2570" t="s">
        <v>9</v>
      </c>
      <c r="I2570" t="s">
        <v>1853</v>
      </c>
      <c r="J2570" t="s">
        <v>55</v>
      </c>
      <c r="K2570" t="s">
        <v>1861</v>
      </c>
      <c r="M2570" t="s">
        <v>6</v>
      </c>
    </row>
    <row r="2571" spans="2:13" hidden="1">
      <c r="B2571">
        <v>2569</v>
      </c>
      <c r="C2571">
        <v>225</v>
      </c>
      <c r="D2571">
        <v>29</v>
      </c>
      <c r="E2571">
        <v>12</v>
      </c>
      <c r="F2571">
        <v>0</v>
      </c>
      <c r="G2571" t="s">
        <v>18</v>
      </c>
      <c r="H2571" t="s">
        <v>9</v>
      </c>
      <c r="I2571" t="s">
        <v>1853</v>
      </c>
      <c r="J2571" t="s">
        <v>55</v>
      </c>
      <c r="K2571" t="s">
        <v>1862</v>
      </c>
      <c r="M2571" t="s">
        <v>6</v>
      </c>
    </row>
    <row r="2572" spans="2:13" hidden="1">
      <c r="B2572">
        <v>2570</v>
      </c>
      <c r="C2572">
        <v>225</v>
      </c>
      <c r="D2572">
        <v>29</v>
      </c>
      <c r="E2572">
        <v>13</v>
      </c>
      <c r="F2572">
        <v>0</v>
      </c>
      <c r="G2572" t="s">
        <v>18</v>
      </c>
      <c r="H2572" t="s">
        <v>9</v>
      </c>
      <c r="I2572" t="s">
        <v>1853</v>
      </c>
      <c r="J2572" t="s">
        <v>55</v>
      </c>
      <c r="K2572" t="s">
        <v>1863</v>
      </c>
      <c r="M2572" t="s">
        <v>6</v>
      </c>
    </row>
    <row r="2573" spans="2:13" hidden="1">
      <c r="B2573">
        <v>2571</v>
      </c>
      <c r="C2573">
        <v>225</v>
      </c>
      <c r="D2573">
        <v>29</v>
      </c>
      <c r="E2573">
        <v>14</v>
      </c>
      <c r="F2573">
        <v>0</v>
      </c>
      <c r="G2573" t="s">
        <v>18</v>
      </c>
      <c r="H2573" t="s">
        <v>9</v>
      </c>
      <c r="I2573" t="s">
        <v>1853</v>
      </c>
      <c r="J2573" t="s">
        <v>479</v>
      </c>
      <c r="K2573" t="s">
        <v>1664</v>
      </c>
      <c r="M2573" t="s">
        <v>6</v>
      </c>
    </row>
    <row r="2574" spans="2:13" hidden="1">
      <c r="B2574">
        <v>2572</v>
      </c>
      <c r="C2574">
        <v>225</v>
      </c>
      <c r="D2574">
        <v>29</v>
      </c>
      <c r="E2574">
        <v>15</v>
      </c>
      <c r="F2574">
        <v>0</v>
      </c>
      <c r="G2574" t="s">
        <v>18</v>
      </c>
      <c r="H2574" t="s">
        <v>9</v>
      </c>
      <c r="I2574" t="s">
        <v>1853</v>
      </c>
      <c r="J2574" t="s">
        <v>55</v>
      </c>
      <c r="K2574" t="s">
        <v>1864</v>
      </c>
      <c r="M2574" t="s">
        <v>6</v>
      </c>
    </row>
    <row r="2575" spans="2:13" hidden="1">
      <c r="B2575">
        <v>2573</v>
      </c>
      <c r="C2575">
        <v>225</v>
      </c>
      <c r="D2575">
        <v>29</v>
      </c>
      <c r="E2575">
        <v>16</v>
      </c>
      <c r="F2575">
        <v>0</v>
      </c>
      <c r="G2575" t="s">
        <v>18</v>
      </c>
      <c r="H2575" t="s">
        <v>9</v>
      </c>
      <c r="I2575" t="s">
        <v>1853</v>
      </c>
      <c r="J2575" t="s">
        <v>55</v>
      </c>
      <c r="K2575" t="s">
        <v>1865</v>
      </c>
      <c r="M2575" t="s">
        <v>6</v>
      </c>
    </row>
    <row r="2576" spans="2:13" hidden="1">
      <c r="B2576">
        <v>2574</v>
      </c>
      <c r="C2576">
        <v>225</v>
      </c>
      <c r="D2576">
        <v>29</v>
      </c>
      <c r="E2576">
        <v>17</v>
      </c>
      <c r="F2576">
        <v>0</v>
      </c>
      <c r="G2576" t="s">
        <v>18</v>
      </c>
      <c r="H2576" t="s">
        <v>9</v>
      </c>
      <c r="I2576" t="s">
        <v>1853</v>
      </c>
      <c r="J2576" t="s">
        <v>55</v>
      </c>
      <c r="K2576" t="s">
        <v>1866</v>
      </c>
      <c r="M2576" t="s">
        <v>6</v>
      </c>
    </row>
    <row r="2577" spans="2:13" hidden="1">
      <c r="B2577">
        <v>2575</v>
      </c>
      <c r="C2577">
        <v>225</v>
      </c>
      <c r="D2577">
        <v>29</v>
      </c>
      <c r="E2577">
        <v>18</v>
      </c>
      <c r="F2577">
        <v>0</v>
      </c>
      <c r="G2577" t="s">
        <v>18</v>
      </c>
      <c r="H2577" t="s">
        <v>9</v>
      </c>
      <c r="I2577" t="s">
        <v>1853</v>
      </c>
      <c r="J2577" t="s">
        <v>55</v>
      </c>
      <c r="K2577" t="s">
        <v>1867</v>
      </c>
      <c r="M2577" t="s">
        <v>6</v>
      </c>
    </row>
    <row r="2578" spans="2:13" hidden="1">
      <c r="B2578">
        <v>2576</v>
      </c>
      <c r="C2578">
        <v>225</v>
      </c>
      <c r="D2578">
        <v>29</v>
      </c>
      <c r="E2578">
        <v>19</v>
      </c>
      <c r="F2578">
        <v>0</v>
      </c>
      <c r="G2578" t="s">
        <v>18</v>
      </c>
      <c r="H2578" t="s">
        <v>9</v>
      </c>
      <c r="I2578" t="s">
        <v>1853</v>
      </c>
      <c r="J2578" t="s">
        <v>64</v>
      </c>
      <c r="K2578" t="s">
        <v>733</v>
      </c>
      <c r="M2578" t="s">
        <v>6</v>
      </c>
    </row>
    <row r="2579" spans="2:13" hidden="1">
      <c r="B2579">
        <v>2577</v>
      </c>
      <c r="C2579">
        <v>225</v>
      </c>
      <c r="D2579">
        <v>29</v>
      </c>
      <c r="E2579">
        <v>20</v>
      </c>
      <c r="F2579">
        <v>0</v>
      </c>
      <c r="G2579" t="s">
        <v>18</v>
      </c>
      <c r="H2579" t="s">
        <v>9</v>
      </c>
      <c r="I2579" t="s">
        <v>1853</v>
      </c>
      <c r="J2579" t="s">
        <v>479</v>
      </c>
      <c r="K2579" t="s">
        <v>1668</v>
      </c>
      <c r="M2579" t="s">
        <v>6</v>
      </c>
    </row>
    <row r="2580" spans="2:13" hidden="1">
      <c r="B2580">
        <v>2578</v>
      </c>
      <c r="C2580">
        <v>225</v>
      </c>
      <c r="D2580">
        <v>29</v>
      </c>
      <c r="E2580">
        <v>21</v>
      </c>
      <c r="F2580">
        <v>0</v>
      </c>
      <c r="G2580" t="s">
        <v>18</v>
      </c>
      <c r="H2580" t="s">
        <v>9</v>
      </c>
      <c r="I2580" t="s">
        <v>1853</v>
      </c>
      <c r="J2580" t="s">
        <v>55</v>
      </c>
      <c r="K2580" t="s">
        <v>1868</v>
      </c>
      <c r="M2580" t="s">
        <v>6</v>
      </c>
    </row>
    <row r="2581" spans="2:13" hidden="1">
      <c r="B2581">
        <v>2579</v>
      </c>
      <c r="C2581">
        <v>225</v>
      </c>
      <c r="D2581">
        <v>29</v>
      </c>
      <c r="E2581">
        <v>22</v>
      </c>
      <c r="F2581">
        <v>0</v>
      </c>
      <c r="G2581" t="s">
        <v>18</v>
      </c>
      <c r="H2581" t="s">
        <v>9</v>
      </c>
      <c r="I2581" t="s">
        <v>1853</v>
      </c>
      <c r="J2581" t="s">
        <v>55</v>
      </c>
      <c r="K2581" t="s">
        <v>1869</v>
      </c>
      <c r="M2581" t="s">
        <v>6</v>
      </c>
    </row>
    <row r="2582" spans="2:13" hidden="1">
      <c r="B2582">
        <v>2580</v>
      </c>
      <c r="C2582">
        <v>225</v>
      </c>
      <c r="D2582">
        <v>29</v>
      </c>
      <c r="E2582">
        <v>23</v>
      </c>
      <c r="F2582">
        <v>0</v>
      </c>
      <c r="G2582" t="s">
        <v>18</v>
      </c>
      <c r="H2582" t="s">
        <v>9</v>
      </c>
      <c r="I2582" t="s">
        <v>1853</v>
      </c>
      <c r="J2582" t="s">
        <v>55</v>
      </c>
      <c r="K2582" t="s">
        <v>1870</v>
      </c>
      <c r="M2582" t="s">
        <v>6</v>
      </c>
    </row>
    <row r="2583" spans="2:13" hidden="1">
      <c r="B2583">
        <v>2581</v>
      </c>
      <c r="C2583">
        <v>225</v>
      </c>
      <c r="D2583">
        <v>29</v>
      </c>
      <c r="E2583">
        <v>24</v>
      </c>
      <c r="F2583">
        <v>0</v>
      </c>
      <c r="G2583" t="s">
        <v>18</v>
      </c>
      <c r="H2583" t="s">
        <v>9</v>
      </c>
      <c r="I2583" t="s">
        <v>1853</v>
      </c>
      <c r="J2583" t="s">
        <v>55</v>
      </c>
      <c r="K2583" t="s">
        <v>1871</v>
      </c>
      <c r="M2583" t="s">
        <v>6</v>
      </c>
    </row>
    <row r="2584" spans="2:13" hidden="1">
      <c r="B2584">
        <v>2582</v>
      </c>
      <c r="C2584">
        <v>225</v>
      </c>
      <c r="D2584">
        <v>29</v>
      </c>
      <c r="E2584">
        <v>25</v>
      </c>
      <c r="F2584">
        <v>0</v>
      </c>
      <c r="G2584" t="s">
        <v>18</v>
      </c>
      <c r="H2584" t="s">
        <v>9</v>
      </c>
      <c r="I2584" t="s">
        <v>1853</v>
      </c>
      <c r="J2584" t="s">
        <v>55</v>
      </c>
      <c r="K2584" t="s">
        <v>1872</v>
      </c>
      <c r="M2584" t="s">
        <v>6</v>
      </c>
    </row>
    <row r="2585" spans="2:13" hidden="1">
      <c r="B2585">
        <v>2583</v>
      </c>
      <c r="C2585">
        <v>225</v>
      </c>
      <c r="D2585">
        <v>29</v>
      </c>
      <c r="E2585">
        <v>26</v>
      </c>
      <c r="F2585">
        <v>0</v>
      </c>
      <c r="G2585" t="s">
        <v>18</v>
      </c>
      <c r="H2585" t="s">
        <v>9</v>
      </c>
      <c r="I2585" t="s">
        <v>1853</v>
      </c>
      <c r="J2585" t="s">
        <v>55</v>
      </c>
      <c r="K2585" t="s">
        <v>1672</v>
      </c>
      <c r="M2585" t="s">
        <v>6</v>
      </c>
    </row>
    <row r="2586" spans="2:13" hidden="1">
      <c r="B2586">
        <v>2584</v>
      </c>
      <c r="C2586">
        <v>225</v>
      </c>
      <c r="D2586">
        <v>29</v>
      </c>
      <c r="E2586">
        <v>27</v>
      </c>
      <c r="F2586">
        <v>0</v>
      </c>
      <c r="G2586" t="s">
        <v>18</v>
      </c>
      <c r="H2586" t="s">
        <v>9</v>
      </c>
      <c r="I2586" t="s">
        <v>1853</v>
      </c>
      <c r="J2586" t="s">
        <v>55</v>
      </c>
      <c r="K2586" t="s">
        <v>1873</v>
      </c>
      <c r="M2586" t="s">
        <v>6</v>
      </c>
    </row>
    <row r="2587" spans="2:13" hidden="1">
      <c r="B2587">
        <v>2585</v>
      </c>
      <c r="C2587">
        <v>225</v>
      </c>
      <c r="D2587">
        <v>29</v>
      </c>
      <c r="E2587">
        <v>28</v>
      </c>
      <c r="F2587">
        <v>0</v>
      </c>
      <c r="G2587" t="s">
        <v>18</v>
      </c>
      <c r="H2587" t="s">
        <v>9</v>
      </c>
      <c r="I2587" t="s">
        <v>1853</v>
      </c>
      <c r="J2587" t="s">
        <v>55</v>
      </c>
      <c r="K2587" t="s">
        <v>1867</v>
      </c>
      <c r="M2587" t="s">
        <v>6</v>
      </c>
    </row>
    <row r="2588" spans="2:13" hidden="1">
      <c r="B2588">
        <v>2586</v>
      </c>
      <c r="C2588">
        <v>225</v>
      </c>
      <c r="D2588">
        <v>29</v>
      </c>
      <c r="E2588">
        <v>29</v>
      </c>
      <c r="F2588">
        <v>0</v>
      </c>
      <c r="G2588" t="s">
        <v>18</v>
      </c>
      <c r="H2588" t="s">
        <v>9</v>
      </c>
      <c r="I2588" t="s">
        <v>1853</v>
      </c>
      <c r="J2588" t="s">
        <v>64</v>
      </c>
      <c r="K2588" t="s">
        <v>733</v>
      </c>
      <c r="M2588" t="s">
        <v>6</v>
      </c>
    </row>
    <row r="2589" spans="2:13" hidden="1">
      <c r="B2589">
        <v>2587</v>
      </c>
      <c r="C2589">
        <v>226</v>
      </c>
      <c r="D2589">
        <v>12</v>
      </c>
      <c r="E2589">
        <v>0</v>
      </c>
      <c r="F2589">
        <v>0</v>
      </c>
      <c r="G2589" t="s">
        <v>18</v>
      </c>
      <c r="H2589" t="s">
        <v>9</v>
      </c>
      <c r="I2589" t="s">
        <v>1874</v>
      </c>
      <c r="J2589" t="s">
        <v>478</v>
      </c>
      <c r="K2589" t="s">
        <v>1874</v>
      </c>
      <c r="M2589" t="s">
        <v>6</v>
      </c>
    </row>
    <row r="2590" spans="2:13" hidden="1">
      <c r="B2590">
        <v>2588</v>
      </c>
      <c r="C2590">
        <v>226</v>
      </c>
      <c r="D2590">
        <v>12</v>
      </c>
      <c r="E2590">
        <v>1</v>
      </c>
      <c r="F2590">
        <v>0</v>
      </c>
      <c r="G2590" t="s">
        <v>18</v>
      </c>
      <c r="H2590" t="s">
        <v>9</v>
      </c>
      <c r="I2590" t="s">
        <v>1874</v>
      </c>
      <c r="J2590" t="s">
        <v>479</v>
      </c>
      <c r="K2590" t="s">
        <v>1652</v>
      </c>
      <c r="M2590" t="s">
        <v>6</v>
      </c>
    </row>
    <row r="2591" spans="2:13" hidden="1">
      <c r="B2591">
        <v>2589</v>
      </c>
      <c r="C2591">
        <v>226</v>
      </c>
      <c r="D2591">
        <v>12</v>
      </c>
      <c r="E2591">
        <v>2</v>
      </c>
      <c r="F2591">
        <v>0</v>
      </c>
      <c r="G2591" t="s">
        <v>18</v>
      </c>
      <c r="H2591" t="s">
        <v>9</v>
      </c>
      <c r="I2591" t="s">
        <v>1874</v>
      </c>
      <c r="J2591" t="s">
        <v>55</v>
      </c>
      <c r="K2591" t="s">
        <v>1875</v>
      </c>
      <c r="M2591" t="s">
        <v>6</v>
      </c>
    </row>
    <row r="2592" spans="2:13" hidden="1">
      <c r="B2592">
        <v>2590</v>
      </c>
      <c r="C2592">
        <v>226</v>
      </c>
      <c r="D2592">
        <v>12</v>
      </c>
      <c r="E2592">
        <v>3</v>
      </c>
      <c r="F2592">
        <v>0</v>
      </c>
      <c r="G2592" t="s">
        <v>18</v>
      </c>
      <c r="H2592" t="s">
        <v>9</v>
      </c>
      <c r="I2592" t="s">
        <v>1874</v>
      </c>
      <c r="J2592" t="s">
        <v>55</v>
      </c>
      <c r="K2592" t="s">
        <v>1876</v>
      </c>
      <c r="M2592" t="s">
        <v>6</v>
      </c>
    </row>
    <row r="2593" spans="2:13" hidden="1">
      <c r="B2593">
        <v>2591</v>
      </c>
      <c r="C2593">
        <v>226</v>
      </c>
      <c r="D2593">
        <v>12</v>
      </c>
      <c r="E2593">
        <v>4</v>
      </c>
      <c r="F2593">
        <v>0</v>
      </c>
      <c r="G2593" t="s">
        <v>18</v>
      </c>
      <c r="H2593" t="s">
        <v>9</v>
      </c>
      <c r="I2593" t="s">
        <v>1874</v>
      </c>
      <c r="J2593" t="s">
        <v>479</v>
      </c>
      <c r="K2593" t="s">
        <v>1877</v>
      </c>
      <c r="M2593" t="s">
        <v>6</v>
      </c>
    </row>
    <row r="2594" spans="2:13" hidden="1">
      <c r="B2594">
        <v>2592</v>
      </c>
      <c r="C2594">
        <v>226</v>
      </c>
      <c r="D2594">
        <v>12</v>
      </c>
      <c r="E2594">
        <v>5</v>
      </c>
      <c r="F2594">
        <v>0</v>
      </c>
      <c r="G2594" t="s">
        <v>18</v>
      </c>
      <c r="H2594" t="s">
        <v>9</v>
      </c>
      <c r="I2594" t="s">
        <v>1874</v>
      </c>
      <c r="J2594" t="s">
        <v>55</v>
      </c>
      <c r="K2594" t="s">
        <v>1878</v>
      </c>
      <c r="M2594" t="s">
        <v>6</v>
      </c>
    </row>
    <row r="2595" spans="2:13" hidden="1">
      <c r="B2595">
        <v>2593</v>
      </c>
      <c r="C2595">
        <v>226</v>
      </c>
      <c r="D2595">
        <v>12</v>
      </c>
      <c r="E2595">
        <v>6</v>
      </c>
      <c r="F2595">
        <v>0</v>
      </c>
      <c r="G2595" t="s">
        <v>18</v>
      </c>
      <c r="H2595" t="s">
        <v>9</v>
      </c>
      <c r="I2595" t="s">
        <v>1874</v>
      </c>
      <c r="J2595" t="s">
        <v>55</v>
      </c>
      <c r="K2595" t="s">
        <v>1879</v>
      </c>
      <c r="M2595" t="s">
        <v>6</v>
      </c>
    </row>
    <row r="2596" spans="2:13" hidden="1">
      <c r="B2596">
        <v>2594</v>
      </c>
      <c r="C2596">
        <v>226</v>
      </c>
      <c r="D2596">
        <v>12</v>
      </c>
      <c r="E2596">
        <v>7</v>
      </c>
      <c r="F2596">
        <v>0</v>
      </c>
      <c r="G2596" t="s">
        <v>18</v>
      </c>
      <c r="H2596" t="s">
        <v>9</v>
      </c>
      <c r="I2596" t="s">
        <v>1874</v>
      </c>
      <c r="J2596" t="s">
        <v>55</v>
      </c>
      <c r="K2596" t="s">
        <v>1880</v>
      </c>
      <c r="M2596" t="s">
        <v>6</v>
      </c>
    </row>
    <row r="2597" spans="2:13" hidden="1">
      <c r="B2597">
        <v>2595</v>
      </c>
      <c r="C2597">
        <v>226</v>
      </c>
      <c r="D2597">
        <v>12</v>
      </c>
      <c r="E2597">
        <v>8</v>
      </c>
      <c r="F2597">
        <v>0</v>
      </c>
      <c r="G2597" t="s">
        <v>18</v>
      </c>
      <c r="H2597" t="s">
        <v>9</v>
      </c>
      <c r="I2597" t="s">
        <v>1874</v>
      </c>
      <c r="J2597" t="s">
        <v>55</v>
      </c>
      <c r="K2597" t="s">
        <v>1881</v>
      </c>
      <c r="M2597" t="s">
        <v>6</v>
      </c>
    </row>
    <row r="2598" spans="2:13" hidden="1">
      <c r="B2598">
        <v>2596</v>
      </c>
      <c r="C2598">
        <v>226</v>
      </c>
      <c r="D2598">
        <v>12</v>
      </c>
      <c r="E2598">
        <v>9</v>
      </c>
      <c r="F2598">
        <v>0</v>
      </c>
      <c r="G2598" t="s">
        <v>18</v>
      </c>
      <c r="H2598" t="s">
        <v>9</v>
      </c>
      <c r="I2598" t="s">
        <v>1874</v>
      </c>
      <c r="J2598" t="s">
        <v>55</v>
      </c>
      <c r="K2598" t="s">
        <v>1882</v>
      </c>
      <c r="M2598" t="s">
        <v>6</v>
      </c>
    </row>
    <row r="2599" spans="2:13" hidden="1">
      <c r="B2599">
        <v>2597</v>
      </c>
      <c r="C2599">
        <v>226</v>
      </c>
      <c r="D2599">
        <v>12</v>
      </c>
      <c r="E2599">
        <v>10</v>
      </c>
      <c r="F2599">
        <v>0</v>
      </c>
      <c r="G2599" t="s">
        <v>18</v>
      </c>
      <c r="H2599" t="s">
        <v>9</v>
      </c>
      <c r="I2599" t="s">
        <v>1874</v>
      </c>
      <c r="J2599" t="s">
        <v>55</v>
      </c>
      <c r="K2599" t="s">
        <v>1679</v>
      </c>
      <c r="M2599" t="s">
        <v>6</v>
      </c>
    </row>
    <row r="2600" spans="2:13" hidden="1">
      <c r="B2600">
        <v>2598</v>
      </c>
      <c r="C2600">
        <v>226</v>
      </c>
      <c r="D2600">
        <v>12</v>
      </c>
      <c r="E2600">
        <v>11</v>
      </c>
      <c r="F2600">
        <v>0</v>
      </c>
      <c r="G2600" t="s">
        <v>18</v>
      </c>
      <c r="H2600" t="s">
        <v>9</v>
      </c>
      <c r="I2600" t="s">
        <v>1874</v>
      </c>
      <c r="J2600" t="s">
        <v>55</v>
      </c>
      <c r="K2600" t="s">
        <v>93</v>
      </c>
      <c r="M2600" t="s">
        <v>6</v>
      </c>
    </row>
    <row r="2601" spans="2:13" hidden="1">
      <c r="B2601">
        <v>2599</v>
      </c>
      <c r="C2601">
        <v>226</v>
      </c>
      <c r="D2601">
        <v>12</v>
      </c>
      <c r="E2601">
        <v>12</v>
      </c>
      <c r="F2601">
        <v>0</v>
      </c>
      <c r="G2601" t="s">
        <v>18</v>
      </c>
      <c r="H2601" t="s">
        <v>9</v>
      </c>
      <c r="I2601" t="s">
        <v>1874</v>
      </c>
      <c r="J2601" t="s">
        <v>64</v>
      </c>
      <c r="K2601" t="s">
        <v>94</v>
      </c>
      <c r="M2601" t="s">
        <v>6</v>
      </c>
    </row>
    <row r="2602" spans="2:13" hidden="1">
      <c r="B2602">
        <v>2600</v>
      </c>
      <c r="C2602">
        <v>227</v>
      </c>
      <c r="D2602">
        <v>14</v>
      </c>
      <c r="E2602">
        <v>0</v>
      </c>
      <c r="F2602">
        <v>0</v>
      </c>
      <c r="G2602" t="s">
        <v>18</v>
      </c>
      <c r="H2602" t="s">
        <v>9</v>
      </c>
      <c r="I2602" t="s">
        <v>1883</v>
      </c>
      <c r="J2602" t="s">
        <v>54</v>
      </c>
      <c r="K2602" t="s">
        <v>1883</v>
      </c>
      <c r="M2602" t="s">
        <v>6</v>
      </c>
    </row>
    <row r="2603" spans="2:13" hidden="1">
      <c r="B2603">
        <v>2601</v>
      </c>
      <c r="C2603">
        <v>227</v>
      </c>
      <c r="D2603">
        <v>14</v>
      </c>
      <c r="E2603">
        <v>1</v>
      </c>
      <c r="F2603">
        <v>0</v>
      </c>
      <c r="G2603" t="s">
        <v>18</v>
      </c>
      <c r="H2603" t="s">
        <v>9</v>
      </c>
      <c r="I2603" t="s">
        <v>1883</v>
      </c>
      <c r="J2603" t="s">
        <v>55</v>
      </c>
      <c r="K2603" t="s">
        <v>1884</v>
      </c>
      <c r="M2603" t="s">
        <v>6</v>
      </c>
    </row>
    <row r="2604" spans="2:13" hidden="1">
      <c r="B2604">
        <v>2602</v>
      </c>
      <c r="C2604">
        <v>227</v>
      </c>
      <c r="D2604">
        <v>14</v>
      </c>
      <c r="E2604">
        <v>2</v>
      </c>
      <c r="F2604">
        <v>0</v>
      </c>
      <c r="G2604" t="s">
        <v>18</v>
      </c>
      <c r="H2604" t="s">
        <v>9</v>
      </c>
      <c r="I2604" t="s">
        <v>1883</v>
      </c>
      <c r="J2604" t="s">
        <v>55</v>
      </c>
      <c r="K2604" t="s">
        <v>1885</v>
      </c>
      <c r="M2604" t="s">
        <v>6</v>
      </c>
    </row>
    <row r="2605" spans="2:13" hidden="1">
      <c r="B2605">
        <v>2603</v>
      </c>
      <c r="C2605">
        <v>227</v>
      </c>
      <c r="D2605">
        <v>14</v>
      </c>
      <c r="E2605">
        <v>3</v>
      </c>
      <c r="F2605">
        <v>0</v>
      </c>
      <c r="G2605" t="s">
        <v>18</v>
      </c>
      <c r="H2605" t="s">
        <v>9</v>
      </c>
      <c r="I2605" t="s">
        <v>1883</v>
      </c>
      <c r="J2605" t="s">
        <v>55</v>
      </c>
      <c r="K2605" t="s">
        <v>1886</v>
      </c>
      <c r="M2605" t="s">
        <v>6</v>
      </c>
    </row>
    <row r="2606" spans="2:13" hidden="1">
      <c r="B2606">
        <v>2604</v>
      </c>
      <c r="C2606">
        <v>227</v>
      </c>
      <c r="D2606">
        <v>14</v>
      </c>
      <c r="E2606">
        <v>4</v>
      </c>
      <c r="F2606">
        <v>0</v>
      </c>
      <c r="G2606" t="s">
        <v>18</v>
      </c>
      <c r="H2606" t="s">
        <v>9</v>
      </c>
      <c r="I2606" t="s">
        <v>1883</v>
      </c>
      <c r="J2606" t="s">
        <v>55</v>
      </c>
      <c r="K2606" t="s">
        <v>1887</v>
      </c>
      <c r="M2606" t="s">
        <v>6</v>
      </c>
    </row>
    <row r="2607" spans="2:13" hidden="1">
      <c r="B2607">
        <v>2605</v>
      </c>
      <c r="C2607">
        <v>227</v>
      </c>
      <c r="D2607">
        <v>14</v>
      </c>
      <c r="E2607">
        <v>5</v>
      </c>
      <c r="F2607">
        <v>0</v>
      </c>
      <c r="G2607" t="s">
        <v>18</v>
      </c>
      <c r="H2607" t="s">
        <v>9</v>
      </c>
      <c r="I2607" t="s">
        <v>1883</v>
      </c>
      <c r="J2607" t="s">
        <v>55</v>
      </c>
      <c r="K2607" t="s">
        <v>1888</v>
      </c>
      <c r="M2607" t="s">
        <v>6</v>
      </c>
    </row>
    <row r="2608" spans="2:13" hidden="1">
      <c r="B2608">
        <v>2606</v>
      </c>
      <c r="C2608">
        <v>227</v>
      </c>
      <c r="D2608">
        <v>14</v>
      </c>
      <c r="E2608">
        <v>6</v>
      </c>
      <c r="F2608">
        <v>0</v>
      </c>
      <c r="G2608" t="s">
        <v>18</v>
      </c>
      <c r="H2608" t="s">
        <v>9</v>
      </c>
      <c r="I2608" t="s">
        <v>1883</v>
      </c>
      <c r="J2608" t="s">
        <v>55</v>
      </c>
      <c r="K2608" t="s">
        <v>1889</v>
      </c>
      <c r="M2608" t="s">
        <v>6</v>
      </c>
    </row>
    <row r="2609" spans="2:13" hidden="1">
      <c r="B2609">
        <v>2607</v>
      </c>
      <c r="C2609">
        <v>227</v>
      </c>
      <c r="D2609">
        <v>14</v>
      </c>
      <c r="E2609">
        <v>7</v>
      </c>
      <c r="F2609">
        <v>0</v>
      </c>
      <c r="G2609" t="s">
        <v>18</v>
      </c>
      <c r="H2609" t="s">
        <v>9</v>
      </c>
      <c r="I2609" t="s">
        <v>1883</v>
      </c>
      <c r="J2609" t="s">
        <v>55</v>
      </c>
      <c r="K2609" t="s">
        <v>1890</v>
      </c>
      <c r="M2609" t="s">
        <v>6</v>
      </c>
    </row>
    <row r="2610" spans="2:13" hidden="1">
      <c r="B2610">
        <v>2608</v>
      </c>
      <c r="C2610">
        <v>227</v>
      </c>
      <c r="D2610">
        <v>14</v>
      </c>
      <c r="E2610">
        <v>8</v>
      </c>
      <c r="F2610">
        <v>0</v>
      </c>
      <c r="G2610" t="s">
        <v>18</v>
      </c>
      <c r="H2610" t="s">
        <v>9</v>
      </c>
      <c r="I2610" t="s">
        <v>1883</v>
      </c>
      <c r="J2610" t="s">
        <v>55</v>
      </c>
      <c r="K2610" t="s">
        <v>1891</v>
      </c>
      <c r="M2610" t="s">
        <v>6</v>
      </c>
    </row>
    <row r="2611" spans="2:13" hidden="1">
      <c r="B2611">
        <v>2609</v>
      </c>
      <c r="C2611">
        <v>227</v>
      </c>
      <c r="D2611">
        <v>14</v>
      </c>
      <c r="E2611">
        <v>9</v>
      </c>
      <c r="F2611">
        <v>0</v>
      </c>
      <c r="G2611" t="s">
        <v>18</v>
      </c>
      <c r="H2611" t="s">
        <v>9</v>
      </c>
      <c r="I2611" t="s">
        <v>1883</v>
      </c>
      <c r="J2611" t="s">
        <v>55</v>
      </c>
      <c r="K2611" t="s">
        <v>1892</v>
      </c>
      <c r="M2611" t="s">
        <v>6</v>
      </c>
    </row>
    <row r="2612" spans="2:13" hidden="1">
      <c r="B2612">
        <v>2610</v>
      </c>
      <c r="C2612">
        <v>227</v>
      </c>
      <c r="D2612">
        <v>14</v>
      </c>
      <c r="E2612">
        <v>10</v>
      </c>
      <c r="F2612">
        <v>0</v>
      </c>
      <c r="G2612" t="s">
        <v>18</v>
      </c>
      <c r="H2612" t="s">
        <v>9</v>
      </c>
      <c r="I2612" t="s">
        <v>1883</v>
      </c>
      <c r="J2612" t="s">
        <v>55</v>
      </c>
      <c r="K2612" t="s">
        <v>1893</v>
      </c>
      <c r="M2612" t="s">
        <v>6</v>
      </c>
    </row>
    <row r="2613" spans="2:13" hidden="1">
      <c r="B2613">
        <v>2611</v>
      </c>
      <c r="C2613">
        <v>227</v>
      </c>
      <c r="D2613">
        <v>14</v>
      </c>
      <c r="E2613">
        <v>11</v>
      </c>
      <c r="F2613">
        <v>0</v>
      </c>
      <c r="G2613" t="s">
        <v>18</v>
      </c>
      <c r="H2613" t="s">
        <v>9</v>
      </c>
      <c r="I2613" t="s">
        <v>1883</v>
      </c>
      <c r="J2613" t="s">
        <v>55</v>
      </c>
      <c r="K2613" t="s">
        <v>1894</v>
      </c>
      <c r="M2613" t="s">
        <v>6</v>
      </c>
    </row>
    <row r="2614" spans="2:13" hidden="1">
      <c r="B2614">
        <v>2612</v>
      </c>
      <c r="C2614">
        <v>227</v>
      </c>
      <c r="D2614">
        <v>14</v>
      </c>
      <c r="E2614">
        <v>12</v>
      </c>
      <c r="F2614">
        <v>0</v>
      </c>
      <c r="G2614" t="s">
        <v>18</v>
      </c>
      <c r="H2614" t="s">
        <v>9</v>
      </c>
      <c r="I2614" t="s">
        <v>1883</v>
      </c>
      <c r="J2614" t="s">
        <v>55</v>
      </c>
      <c r="K2614" t="s">
        <v>1895</v>
      </c>
      <c r="M2614" t="s">
        <v>6</v>
      </c>
    </row>
    <row r="2615" spans="2:13" hidden="1">
      <c r="B2615">
        <v>2613</v>
      </c>
      <c r="C2615">
        <v>227</v>
      </c>
      <c r="D2615">
        <v>14</v>
      </c>
      <c r="E2615">
        <v>13</v>
      </c>
      <c r="F2615">
        <v>0</v>
      </c>
      <c r="G2615" t="s">
        <v>18</v>
      </c>
      <c r="H2615" t="s">
        <v>9</v>
      </c>
      <c r="I2615" t="s">
        <v>1883</v>
      </c>
      <c r="J2615" t="s">
        <v>55</v>
      </c>
      <c r="K2615" t="s">
        <v>93</v>
      </c>
      <c r="M2615" t="s">
        <v>6</v>
      </c>
    </row>
    <row r="2616" spans="2:13" hidden="1">
      <c r="B2616">
        <v>2614</v>
      </c>
      <c r="C2616">
        <v>227</v>
      </c>
      <c r="D2616">
        <v>14</v>
      </c>
      <c r="E2616">
        <v>14</v>
      </c>
      <c r="F2616">
        <v>0</v>
      </c>
      <c r="G2616" t="s">
        <v>18</v>
      </c>
      <c r="H2616" t="s">
        <v>9</v>
      </c>
      <c r="I2616" t="s">
        <v>1883</v>
      </c>
      <c r="J2616" t="s">
        <v>64</v>
      </c>
      <c r="K2616" t="s">
        <v>94</v>
      </c>
      <c r="M2616" t="s">
        <v>6</v>
      </c>
    </row>
    <row r="2617" spans="2:13" hidden="1">
      <c r="B2617">
        <v>2615</v>
      </c>
      <c r="C2617">
        <v>228</v>
      </c>
      <c r="D2617">
        <v>23</v>
      </c>
      <c r="E2617">
        <v>0</v>
      </c>
      <c r="F2617">
        <v>0</v>
      </c>
      <c r="G2617" t="s">
        <v>18</v>
      </c>
      <c r="H2617" t="s">
        <v>9</v>
      </c>
      <c r="I2617" t="s">
        <v>1896</v>
      </c>
      <c r="J2617" t="s">
        <v>47</v>
      </c>
      <c r="K2617" t="s">
        <v>1896</v>
      </c>
      <c r="M2617" t="s">
        <v>6</v>
      </c>
    </row>
    <row r="2618" spans="2:13" hidden="1">
      <c r="B2618">
        <v>2616</v>
      </c>
      <c r="C2618">
        <v>228</v>
      </c>
      <c r="D2618">
        <v>23</v>
      </c>
      <c r="E2618">
        <v>1</v>
      </c>
      <c r="F2618">
        <v>0</v>
      </c>
      <c r="G2618" t="s">
        <v>18</v>
      </c>
      <c r="H2618" t="s">
        <v>9</v>
      </c>
      <c r="I2618" t="s">
        <v>1896</v>
      </c>
      <c r="J2618" t="s">
        <v>479</v>
      </c>
      <c r="K2618" t="s">
        <v>1897</v>
      </c>
      <c r="M2618" t="s">
        <v>6</v>
      </c>
    </row>
    <row r="2619" spans="2:13" hidden="1">
      <c r="B2619">
        <v>2617</v>
      </c>
      <c r="C2619">
        <v>228</v>
      </c>
      <c r="D2619">
        <v>23</v>
      </c>
      <c r="E2619">
        <v>2</v>
      </c>
      <c r="F2619">
        <v>0</v>
      </c>
      <c r="G2619" t="s">
        <v>18</v>
      </c>
      <c r="H2619" t="s">
        <v>9</v>
      </c>
      <c r="I2619" t="s">
        <v>1896</v>
      </c>
      <c r="J2619" t="s">
        <v>55</v>
      </c>
      <c r="K2619" t="s">
        <v>1484</v>
      </c>
      <c r="M2619" t="s">
        <v>6</v>
      </c>
    </row>
    <row r="2620" spans="2:13" hidden="1">
      <c r="B2620">
        <v>2618</v>
      </c>
      <c r="C2620">
        <v>228</v>
      </c>
      <c r="D2620">
        <v>23</v>
      </c>
      <c r="E2620">
        <v>3</v>
      </c>
      <c r="F2620">
        <v>0</v>
      </c>
      <c r="G2620" t="s">
        <v>18</v>
      </c>
      <c r="H2620" t="s">
        <v>9</v>
      </c>
      <c r="I2620" t="s">
        <v>1896</v>
      </c>
      <c r="J2620" t="s">
        <v>55</v>
      </c>
      <c r="K2620" t="s">
        <v>1898</v>
      </c>
      <c r="M2620" t="s">
        <v>6</v>
      </c>
    </row>
    <row r="2621" spans="2:13" hidden="1">
      <c r="B2621">
        <v>2619</v>
      </c>
      <c r="C2621">
        <v>228</v>
      </c>
      <c r="D2621">
        <v>23</v>
      </c>
      <c r="E2621">
        <v>4</v>
      </c>
      <c r="F2621">
        <v>0</v>
      </c>
      <c r="G2621" t="s">
        <v>18</v>
      </c>
      <c r="H2621" t="s">
        <v>9</v>
      </c>
      <c r="I2621" t="s">
        <v>1896</v>
      </c>
      <c r="J2621" t="s">
        <v>55</v>
      </c>
      <c r="K2621" t="s">
        <v>1899</v>
      </c>
      <c r="M2621" t="s">
        <v>6</v>
      </c>
    </row>
    <row r="2622" spans="2:13" hidden="1">
      <c r="B2622">
        <v>2620</v>
      </c>
      <c r="C2622">
        <v>228</v>
      </c>
      <c r="D2622">
        <v>23</v>
      </c>
      <c r="E2622">
        <v>5</v>
      </c>
      <c r="F2622">
        <v>0</v>
      </c>
      <c r="G2622" t="s">
        <v>18</v>
      </c>
      <c r="H2622" t="s">
        <v>9</v>
      </c>
      <c r="I2622" t="s">
        <v>1896</v>
      </c>
      <c r="J2622" t="s">
        <v>55</v>
      </c>
      <c r="K2622" t="s">
        <v>1900</v>
      </c>
      <c r="M2622" t="s">
        <v>6</v>
      </c>
    </row>
    <row r="2623" spans="2:13" hidden="1">
      <c r="B2623">
        <v>2621</v>
      </c>
      <c r="C2623">
        <v>228</v>
      </c>
      <c r="D2623">
        <v>23</v>
      </c>
      <c r="E2623">
        <v>6</v>
      </c>
      <c r="F2623">
        <v>0</v>
      </c>
      <c r="G2623" t="s">
        <v>18</v>
      </c>
      <c r="H2623" t="s">
        <v>9</v>
      </c>
      <c r="I2623" t="s">
        <v>1896</v>
      </c>
      <c r="J2623" t="s">
        <v>724</v>
      </c>
      <c r="K2623" t="s">
        <v>1901</v>
      </c>
      <c r="M2623" t="s">
        <v>6</v>
      </c>
    </row>
    <row r="2624" spans="2:13" hidden="1">
      <c r="B2624">
        <v>2622</v>
      </c>
      <c r="C2624">
        <v>228</v>
      </c>
      <c r="D2624">
        <v>23</v>
      </c>
      <c r="E2624">
        <v>7</v>
      </c>
      <c r="F2624">
        <v>0</v>
      </c>
      <c r="G2624" t="s">
        <v>18</v>
      </c>
      <c r="H2624" t="s">
        <v>9</v>
      </c>
      <c r="I2624" t="s">
        <v>1896</v>
      </c>
      <c r="J2624" t="s">
        <v>55</v>
      </c>
      <c r="K2624" t="s">
        <v>1902</v>
      </c>
      <c r="M2624" t="s">
        <v>6</v>
      </c>
    </row>
    <row r="2625" spans="2:13" hidden="1">
      <c r="B2625">
        <v>2623</v>
      </c>
      <c r="C2625">
        <v>228</v>
      </c>
      <c r="D2625">
        <v>23</v>
      </c>
      <c r="E2625">
        <v>8</v>
      </c>
      <c r="F2625">
        <v>0</v>
      </c>
      <c r="G2625" t="s">
        <v>18</v>
      </c>
      <c r="H2625" t="s">
        <v>9</v>
      </c>
      <c r="I2625" t="s">
        <v>1896</v>
      </c>
      <c r="J2625" t="s">
        <v>55</v>
      </c>
      <c r="K2625" t="s">
        <v>1903</v>
      </c>
      <c r="M2625" t="s">
        <v>6</v>
      </c>
    </row>
    <row r="2626" spans="2:13" hidden="1">
      <c r="B2626">
        <v>2624</v>
      </c>
      <c r="C2626">
        <v>228</v>
      </c>
      <c r="D2626">
        <v>23</v>
      </c>
      <c r="E2626">
        <v>9</v>
      </c>
      <c r="F2626">
        <v>0</v>
      </c>
      <c r="G2626" t="s">
        <v>18</v>
      </c>
      <c r="H2626" t="s">
        <v>9</v>
      </c>
      <c r="I2626" t="s">
        <v>1896</v>
      </c>
      <c r="J2626" t="s">
        <v>55</v>
      </c>
      <c r="K2626" t="s">
        <v>1904</v>
      </c>
      <c r="M2626" t="s">
        <v>6</v>
      </c>
    </row>
    <row r="2627" spans="2:13" hidden="1">
      <c r="B2627">
        <v>2625</v>
      </c>
      <c r="C2627">
        <v>228</v>
      </c>
      <c r="D2627">
        <v>23</v>
      </c>
      <c r="E2627">
        <v>10</v>
      </c>
      <c r="F2627">
        <v>0</v>
      </c>
      <c r="G2627" t="s">
        <v>18</v>
      </c>
      <c r="H2627" t="s">
        <v>9</v>
      </c>
      <c r="I2627" t="s">
        <v>1896</v>
      </c>
      <c r="J2627" t="s">
        <v>479</v>
      </c>
      <c r="K2627" t="s">
        <v>1905</v>
      </c>
      <c r="M2627" t="s">
        <v>6</v>
      </c>
    </row>
    <row r="2628" spans="2:13" hidden="1">
      <c r="B2628">
        <v>2626</v>
      </c>
      <c r="C2628">
        <v>228</v>
      </c>
      <c r="D2628">
        <v>23</v>
      </c>
      <c r="E2628">
        <v>11</v>
      </c>
      <c r="F2628">
        <v>0</v>
      </c>
      <c r="G2628" t="s">
        <v>18</v>
      </c>
      <c r="H2628" t="s">
        <v>9</v>
      </c>
      <c r="I2628" t="s">
        <v>1896</v>
      </c>
      <c r="J2628" t="s">
        <v>55</v>
      </c>
      <c r="K2628" t="s">
        <v>1484</v>
      </c>
      <c r="M2628" t="s">
        <v>6</v>
      </c>
    </row>
    <row r="2629" spans="2:13" hidden="1">
      <c r="B2629">
        <v>2627</v>
      </c>
      <c r="C2629">
        <v>228</v>
      </c>
      <c r="D2629">
        <v>23</v>
      </c>
      <c r="E2629">
        <v>12</v>
      </c>
      <c r="F2629">
        <v>0</v>
      </c>
      <c r="G2629" t="s">
        <v>18</v>
      </c>
      <c r="H2629" t="s">
        <v>9</v>
      </c>
      <c r="I2629" t="s">
        <v>1896</v>
      </c>
      <c r="J2629" t="s">
        <v>55</v>
      </c>
      <c r="K2629" t="s">
        <v>1906</v>
      </c>
      <c r="M2629" t="s">
        <v>6</v>
      </c>
    </row>
    <row r="2630" spans="2:13" hidden="1">
      <c r="B2630">
        <v>2628</v>
      </c>
      <c r="C2630">
        <v>228</v>
      </c>
      <c r="D2630">
        <v>23</v>
      </c>
      <c r="E2630">
        <v>13</v>
      </c>
      <c r="F2630">
        <v>0</v>
      </c>
      <c r="G2630" t="s">
        <v>18</v>
      </c>
      <c r="H2630" t="s">
        <v>9</v>
      </c>
      <c r="I2630" t="s">
        <v>1896</v>
      </c>
      <c r="J2630" t="s">
        <v>55</v>
      </c>
      <c r="K2630" t="s">
        <v>1907</v>
      </c>
      <c r="M2630" t="s">
        <v>6</v>
      </c>
    </row>
    <row r="2631" spans="2:13" hidden="1">
      <c r="B2631">
        <v>2629</v>
      </c>
      <c r="C2631">
        <v>228</v>
      </c>
      <c r="D2631">
        <v>23</v>
      </c>
      <c r="E2631">
        <v>14</v>
      </c>
      <c r="F2631">
        <v>0</v>
      </c>
      <c r="G2631" t="s">
        <v>18</v>
      </c>
      <c r="H2631" t="s">
        <v>9</v>
      </c>
      <c r="I2631" t="s">
        <v>1896</v>
      </c>
      <c r="J2631" t="s">
        <v>55</v>
      </c>
      <c r="K2631" t="s">
        <v>1908</v>
      </c>
      <c r="M2631" t="s">
        <v>6</v>
      </c>
    </row>
    <row r="2632" spans="2:13" hidden="1">
      <c r="B2632">
        <v>2630</v>
      </c>
      <c r="C2632">
        <v>228</v>
      </c>
      <c r="D2632">
        <v>23</v>
      </c>
      <c r="E2632">
        <v>15</v>
      </c>
      <c r="F2632">
        <v>0</v>
      </c>
      <c r="G2632" t="s">
        <v>18</v>
      </c>
      <c r="H2632" t="s">
        <v>9</v>
      </c>
      <c r="I2632" t="s">
        <v>1896</v>
      </c>
      <c r="J2632" t="s">
        <v>55</v>
      </c>
      <c r="K2632" t="s">
        <v>1909</v>
      </c>
      <c r="M2632" t="s">
        <v>6</v>
      </c>
    </row>
    <row r="2633" spans="2:13" hidden="1">
      <c r="B2633">
        <v>2631</v>
      </c>
      <c r="C2633">
        <v>228</v>
      </c>
      <c r="D2633">
        <v>23</v>
      </c>
      <c r="E2633">
        <v>16</v>
      </c>
      <c r="F2633">
        <v>0</v>
      </c>
      <c r="G2633" t="s">
        <v>18</v>
      </c>
      <c r="H2633" t="s">
        <v>9</v>
      </c>
      <c r="I2633" t="s">
        <v>1896</v>
      </c>
      <c r="J2633" t="s">
        <v>55</v>
      </c>
      <c r="K2633" t="s">
        <v>1910</v>
      </c>
      <c r="M2633" t="s">
        <v>6</v>
      </c>
    </row>
    <row r="2634" spans="2:13" hidden="1">
      <c r="B2634">
        <v>2632</v>
      </c>
      <c r="C2634">
        <v>228</v>
      </c>
      <c r="D2634">
        <v>23</v>
      </c>
      <c r="E2634">
        <v>17</v>
      </c>
      <c r="F2634">
        <v>0</v>
      </c>
      <c r="G2634" t="s">
        <v>18</v>
      </c>
      <c r="H2634" t="s">
        <v>9</v>
      </c>
      <c r="I2634" t="s">
        <v>1896</v>
      </c>
      <c r="J2634" t="s">
        <v>55</v>
      </c>
      <c r="K2634" t="s">
        <v>1911</v>
      </c>
      <c r="M2634" t="s">
        <v>6</v>
      </c>
    </row>
    <row r="2635" spans="2:13" hidden="1">
      <c r="B2635">
        <v>2633</v>
      </c>
      <c r="C2635">
        <v>228</v>
      </c>
      <c r="D2635">
        <v>23</v>
      </c>
      <c r="E2635">
        <v>18</v>
      </c>
      <c r="F2635">
        <v>0</v>
      </c>
      <c r="G2635" t="s">
        <v>18</v>
      </c>
      <c r="H2635" t="s">
        <v>9</v>
      </c>
      <c r="I2635" t="s">
        <v>1896</v>
      </c>
      <c r="J2635" t="s">
        <v>55</v>
      </c>
      <c r="K2635" t="s">
        <v>1904</v>
      </c>
      <c r="M2635" t="s">
        <v>6</v>
      </c>
    </row>
    <row r="2636" spans="2:13" hidden="1">
      <c r="B2636">
        <v>2634</v>
      </c>
      <c r="C2636">
        <v>228</v>
      </c>
      <c r="D2636">
        <v>23</v>
      </c>
      <c r="E2636">
        <v>19</v>
      </c>
      <c r="F2636">
        <v>0</v>
      </c>
      <c r="G2636" t="s">
        <v>18</v>
      </c>
      <c r="H2636" t="s">
        <v>9</v>
      </c>
      <c r="I2636" t="s">
        <v>1896</v>
      </c>
      <c r="J2636" t="s">
        <v>479</v>
      </c>
      <c r="K2636" t="s">
        <v>1912</v>
      </c>
      <c r="M2636" t="s">
        <v>6</v>
      </c>
    </row>
    <row r="2637" spans="2:13" hidden="1">
      <c r="B2637">
        <v>2635</v>
      </c>
      <c r="C2637">
        <v>228</v>
      </c>
      <c r="D2637">
        <v>23</v>
      </c>
      <c r="E2637">
        <v>20</v>
      </c>
      <c r="F2637">
        <v>0</v>
      </c>
      <c r="G2637" t="s">
        <v>18</v>
      </c>
      <c r="H2637" t="s">
        <v>9</v>
      </c>
      <c r="I2637" t="s">
        <v>1896</v>
      </c>
      <c r="J2637" t="s">
        <v>55</v>
      </c>
      <c r="K2637" t="s">
        <v>1913</v>
      </c>
      <c r="M2637" t="s">
        <v>6</v>
      </c>
    </row>
    <row r="2638" spans="2:13" hidden="1">
      <c r="B2638">
        <v>2636</v>
      </c>
      <c r="C2638">
        <v>228</v>
      </c>
      <c r="D2638">
        <v>23</v>
      </c>
      <c r="E2638">
        <v>21</v>
      </c>
      <c r="F2638">
        <v>0</v>
      </c>
      <c r="G2638" t="s">
        <v>18</v>
      </c>
      <c r="H2638" t="s">
        <v>9</v>
      </c>
      <c r="I2638" t="s">
        <v>1896</v>
      </c>
      <c r="J2638" t="s">
        <v>55</v>
      </c>
      <c r="K2638" t="s">
        <v>1914</v>
      </c>
      <c r="M2638" t="s">
        <v>6</v>
      </c>
    </row>
    <row r="2639" spans="2:13" hidden="1">
      <c r="B2639">
        <v>2637</v>
      </c>
      <c r="C2639">
        <v>228</v>
      </c>
      <c r="D2639">
        <v>23</v>
      </c>
      <c r="E2639">
        <v>22</v>
      </c>
      <c r="F2639">
        <v>0</v>
      </c>
      <c r="G2639" t="s">
        <v>18</v>
      </c>
      <c r="H2639" t="s">
        <v>9</v>
      </c>
      <c r="I2639" t="s">
        <v>1896</v>
      </c>
      <c r="J2639" t="s">
        <v>55</v>
      </c>
      <c r="K2639" t="s">
        <v>93</v>
      </c>
      <c r="M2639" t="s">
        <v>6</v>
      </c>
    </row>
    <row r="2640" spans="2:13" hidden="1">
      <c r="B2640">
        <v>2638</v>
      </c>
      <c r="C2640">
        <v>228</v>
      </c>
      <c r="D2640">
        <v>23</v>
      </c>
      <c r="E2640">
        <v>23</v>
      </c>
      <c r="F2640">
        <v>0</v>
      </c>
      <c r="G2640" t="s">
        <v>18</v>
      </c>
      <c r="H2640" t="s">
        <v>9</v>
      </c>
      <c r="I2640" t="s">
        <v>1896</v>
      </c>
      <c r="J2640" t="s">
        <v>64</v>
      </c>
      <c r="K2640" t="s">
        <v>94</v>
      </c>
      <c r="M2640" t="s">
        <v>6</v>
      </c>
    </row>
    <row r="2641" spans="2:13" hidden="1">
      <c r="B2641">
        <v>2639</v>
      </c>
      <c r="C2641">
        <v>229</v>
      </c>
      <c r="D2641">
        <v>14</v>
      </c>
      <c r="E2641">
        <v>0</v>
      </c>
      <c r="F2641">
        <v>0</v>
      </c>
      <c r="G2641" t="s">
        <v>18</v>
      </c>
      <c r="H2641" t="s">
        <v>9</v>
      </c>
      <c r="I2641" t="s">
        <v>1915</v>
      </c>
      <c r="J2641" t="s">
        <v>54</v>
      </c>
      <c r="K2641" t="s">
        <v>1915</v>
      </c>
      <c r="M2641" t="s">
        <v>6</v>
      </c>
    </row>
    <row r="2642" spans="2:13" hidden="1">
      <c r="B2642">
        <v>2640</v>
      </c>
      <c r="C2642">
        <v>229</v>
      </c>
      <c r="D2642">
        <v>14</v>
      </c>
      <c r="E2642">
        <v>1</v>
      </c>
      <c r="F2642">
        <v>0</v>
      </c>
      <c r="G2642" t="s">
        <v>18</v>
      </c>
      <c r="H2642" t="s">
        <v>9</v>
      </c>
      <c r="I2642" t="s">
        <v>1915</v>
      </c>
      <c r="J2642" t="s">
        <v>55</v>
      </c>
      <c r="K2642" t="s">
        <v>1916</v>
      </c>
      <c r="M2642" t="s">
        <v>6</v>
      </c>
    </row>
    <row r="2643" spans="2:13" hidden="1">
      <c r="B2643">
        <v>2641</v>
      </c>
      <c r="C2643">
        <v>229</v>
      </c>
      <c r="D2643">
        <v>14</v>
      </c>
      <c r="E2643">
        <v>2</v>
      </c>
      <c r="F2643">
        <v>0</v>
      </c>
      <c r="G2643" t="s">
        <v>18</v>
      </c>
      <c r="H2643" t="s">
        <v>9</v>
      </c>
      <c r="I2643" t="s">
        <v>1915</v>
      </c>
      <c r="J2643" t="s">
        <v>55</v>
      </c>
      <c r="K2643" t="s">
        <v>1917</v>
      </c>
      <c r="M2643" t="s">
        <v>6</v>
      </c>
    </row>
    <row r="2644" spans="2:13" hidden="1">
      <c r="B2644">
        <v>2642</v>
      </c>
      <c r="C2644">
        <v>229</v>
      </c>
      <c r="D2644">
        <v>14</v>
      </c>
      <c r="E2644">
        <v>3</v>
      </c>
      <c r="F2644">
        <v>0</v>
      </c>
      <c r="G2644" t="s">
        <v>18</v>
      </c>
      <c r="H2644" t="s">
        <v>9</v>
      </c>
      <c r="I2644" t="s">
        <v>1915</v>
      </c>
      <c r="J2644" t="s">
        <v>724</v>
      </c>
      <c r="K2644" t="s">
        <v>1918</v>
      </c>
      <c r="M2644" t="s">
        <v>6</v>
      </c>
    </row>
    <row r="2645" spans="2:13" hidden="1">
      <c r="B2645">
        <v>2643</v>
      </c>
      <c r="C2645">
        <v>229</v>
      </c>
      <c r="D2645">
        <v>14</v>
      </c>
      <c r="E2645">
        <v>4</v>
      </c>
      <c r="F2645">
        <v>0</v>
      </c>
      <c r="G2645" t="s">
        <v>18</v>
      </c>
      <c r="H2645" t="s">
        <v>9</v>
      </c>
      <c r="I2645" t="s">
        <v>1915</v>
      </c>
      <c r="J2645" t="s">
        <v>724</v>
      </c>
      <c r="K2645" t="s">
        <v>571</v>
      </c>
      <c r="M2645" t="s">
        <v>6</v>
      </c>
    </row>
    <row r="2646" spans="2:13" hidden="1">
      <c r="B2646">
        <v>2644</v>
      </c>
      <c r="C2646">
        <v>229</v>
      </c>
      <c r="D2646">
        <v>14</v>
      </c>
      <c r="E2646">
        <v>5</v>
      </c>
      <c r="F2646">
        <v>0</v>
      </c>
      <c r="G2646" t="s">
        <v>18</v>
      </c>
      <c r="H2646" t="s">
        <v>9</v>
      </c>
      <c r="I2646" t="s">
        <v>1915</v>
      </c>
      <c r="J2646" t="s">
        <v>724</v>
      </c>
      <c r="K2646" t="s">
        <v>1919</v>
      </c>
      <c r="M2646" t="s">
        <v>6</v>
      </c>
    </row>
    <row r="2647" spans="2:13" hidden="1">
      <c r="B2647">
        <v>2645</v>
      </c>
      <c r="C2647">
        <v>229</v>
      </c>
      <c r="D2647">
        <v>14</v>
      </c>
      <c r="E2647">
        <v>6</v>
      </c>
      <c r="F2647">
        <v>0</v>
      </c>
      <c r="G2647" t="s">
        <v>18</v>
      </c>
      <c r="H2647" t="s">
        <v>9</v>
      </c>
      <c r="I2647" t="s">
        <v>1915</v>
      </c>
      <c r="J2647" t="s">
        <v>724</v>
      </c>
      <c r="K2647" t="s">
        <v>1920</v>
      </c>
      <c r="M2647" t="s">
        <v>6</v>
      </c>
    </row>
    <row r="2648" spans="2:13" hidden="1">
      <c r="B2648">
        <v>2646</v>
      </c>
      <c r="C2648">
        <v>229</v>
      </c>
      <c r="D2648">
        <v>14</v>
      </c>
      <c r="E2648">
        <v>7</v>
      </c>
      <c r="F2648">
        <v>0</v>
      </c>
      <c r="G2648" t="s">
        <v>18</v>
      </c>
      <c r="H2648" t="s">
        <v>9</v>
      </c>
      <c r="I2648" t="s">
        <v>1915</v>
      </c>
      <c r="J2648" t="s">
        <v>218</v>
      </c>
      <c r="K2648" t="s">
        <v>1921</v>
      </c>
      <c r="L2648" t="s">
        <v>510</v>
      </c>
      <c r="M2648" t="s">
        <v>6</v>
      </c>
    </row>
    <row r="2649" spans="2:13" hidden="1">
      <c r="B2649">
        <v>2647</v>
      </c>
      <c r="C2649">
        <v>229</v>
      </c>
      <c r="D2649">
        <v>14</v>
      </c>
      <c r="E2649">
        <v>8</v>
      </c>
      <c r="F2649">
        <v>0</v>
      </c>
      <c r="G2649" t="s">
        <v>18</v>
      </c>
      <c r="H2649" t="s">
        <v>9</v>
      </c>
      <c r="I2649" t="s">
        <v>1915</v>
      </c>
      <c r="J2649" t="s">
        <v>724</v>
      </c>
      <c r="K2649" t="s">
        <v>1922</v>
      </c>
      <c r="M2649" t="s">
        <v>6</v>
      </c>
    </row>
    <row r="2650" spans="2:13" hidden="1">
      <c r="B2650">
        <v>2648</v>
      </c>
      <c r="C2650">
        <v>229</v>
      </c>
      <c r="D2650">
        <v>14</v>
      </c>
      <c r="E2650">
        <v>9</v>
      </c>
      <c r="F2650">
        <v>0</v>
      </c>
      <c r="G2650" t="s">
        <v>18</v>
      </c>
      <c r="H2650" t="s">
        <v>9</v>
      </c>
      <c r="I2650" t="s">
        <v>1915</v>
      </c>
      <c r="J2650" t="s">
        <v>55</v>
      </c>
      <c r="K2650" t="s">
        <v>1923</v>
      </c>
      <c r="M2650" t="s">
        <v>6</v>
      </c>
    </row>
    <row r="2651" spans="2:13" hidden="1">
      <c r="B2651">
        <v>2649</v>
      </c>
      <c r="C2651">
        <v>229</v>
      </c>
      <c r="D2651">
        <v>14</v>
      </c>
      <c r="E2651">
        <v>10</v>
      </c>
      <c r="F2651">
        <v>0</v>
      </c>
      <c r="G2651" t="s">
        <v>18</v>
      </c>
      <c r="H2651" t="s">
        <v>9</v>
      </c>
      <c r="I2651" t="s">
        <v>1915</v>
      </c>
      <c r="J2651" t="s">
        <v>55</v>
      </c>
      <c r="K2651" t="s">
        <v>1924</v>
      </c>
      <c r="M2651" t="s">
        <v>6</v>
      </c>
    </row>
    <row r="2652" spans="2:13" hidden="1">
      <c r="B2652">
        <v>2650</v>
      </c>
      <c r="C2652">
        <v>229</v>
      </c>
      <c r="D2652">
        <v>14</v>
      </c>
      <c r="E2652">
        <v>11</v>
      </c>
      <c r="F2652">
        <v>0</v>
      </c>
      <c r="G2652" t="s">
        <v>18</v>
      </c>
      <c r="H2652" t="s">
        <v>9</v>
      </c>
      <c r="I2652" t="s">
        <v>1915</v>
      </c>
      <c r="J2652" t="s">
        <v>55</v>
      </c>
      <c r="K2652" t="s">
        <v>1925</v>
      </c>
      <c r="M2652" t="s">
        <v>6</v>
      </c>
    </row>
    <row r="2653" spans="2:13" hidden="1">
      <c r="B2653">
        <v>2651</v>
      </c>
      <c r="C2653">
        <v>229</v>
      </c>
      <c r="D2653">
        <v>14</v>
      </c>
      <c r="E2653">
        <v>12</v>
      </c>
      <c r="F2653">
        <v>0</v>
      </c>
      <c r="G2653" t="s">
        <v>18</v>
      </c>
      <c r="H2653" t="s">
        <v>9</v>
      </c>
      <c r="I2653" t="s">
        <v>1915</v>
      </c>
      <c r="J2653" t="s">
        <v>1926</v>
      </c>
      <c r="K2653" t="s">
        <v>1927</v>
      </c>
      <c r="M2653" t="s">
        <v>6</v>
      </c>
    </row>
    <row r="2654" spans="2:13" hidden="1">
      <c r="B2654">
        <v>2652</v>
      </c>
      <c r="C2654">
        <v>229</v>
      </c>
      <c r="D2654">
        <v>14</v>
      </c>
      <c r="E2654">
        <v>13</v>
      </c>
      <c r="F2654">
        <v>0</v>
      </c>
      <c r="G2654" t="s">
        <v>18</v>
      </c>
      <c r="H2654" t="s">
        <v>9</v>
      </c>
      <c r="I2654" t="s">
        <v>1915</v>
      </c>
      <c r="J2654" t="s">
        <v>55</v>
      </c>
      <c r="K2654" t="s">
        <v>93</v>
      </c>
      <c r="M2654" t="s">
        <v>6</v>
      </c>
    </row>
    <row r="2655" spans="2:13" hidden="1">
      <c r="B2655">
        <v>2653</v>
      </c>
      <c r="C2655">
        <v>229</v>
      </c>
      <c r="D2655">
        <v>14</v>
      </c>
      <c r="E2655">
        <v>14</v>
      </c>
      <c r="F2655">
        <v>0</v>
      </c>
      <c r="G2655" t="s">
        <v>18</v>
      </c>
      <c r="H2655" t="s">
        <v>9</v>
      </c>
      <c r="I2655" t="s">
        <v>1915</v>
      </c>
      <c r="J2655" t="s">
        <v>64</v>
      </c>
      <c r="K2655" t="s">
        <v>94</v>
      </c>
      <c r="M2655" t="s">
        <v>6</v>
      </c>
    </row>
    <row r="2656" spans="2:13" hidden="1">
      <c r="B2656">
        <v>2654</v>
      </c>
      <c r="C2656">
        <v>230</v>
      </c>
      <c r="D2656">
        <v>8</v>
      </c>
      <c r="E2656">
        <v>0</v>
      </c>
      <c r="F2656">
        <v>0</v>
      </c>
      <c r="G2656" t="s">
        <v>18</v>
      </c>
      <c r="H2656" t="s">
        <v>9</v>
      </c>
      <c r="I2656" t="s">
        <v>1928</v>
      </c>
      <c r="J2656" t="s">
        <v>54</v>
      </c>
      <c r="K2656" t="s">
        <v>1928</v>
      </c>
      <c r="M2656" t="s">
        <v>6</v>
      </c>
    </row>
    <row r="2657" spans="2:13" hidden="1">
      <c r="B2657">
        <v>2655</v>
      </c>
      <c r="C2657">
        <v>230</v>
      </c>
      <c r="D2657">
        <v>8</v>
      </c>
      <c r="E2657">
        <v>1</v>
      </c>
      <c r="F2657">
        <v>0</v>
      </c>
      <c r="G2657" t="s">
        <v>18</v>
      </c>
      <c r="H2657" t="s">
        <v>9</v>
      </c>
      <c r="I2657" t="s">
        <v>1928</v>
      </c>
      <c r="J2657" t="s">
        <v>55</v>
      </c>
      <c r="K2657" t="s">
        <v>1929</v>
      </c>
      <c r="M2657" t="s">
        <v>6</v>
      </c>
    </row>
    <row r="2658" spans="2:13" hidden="1">
      <c r="B2658">
        <v>2656</v>
      </c>
      <c r="C2658">
        <v>230</v>
      </c>
      <c r="D2658">
        <v>8</v>
      </c>
      <c r="E2658">
        <v>2</v>
      </c>
      <c r="F2658">
        <v>0</v>
      </c>
      <c r="G2658" t="s">
        <v>18</v>
      </c>
      <c r="H2658" t="s">
        <v>9</v>
      </c>
      <c r="I2658" t="s">
        <v>1928</v>
      </c>
      <c r="J2658" t="s">
        <v>55</v>
      </c>
      <c r="K2658" t="s">
        <v>1930</v>
      </c>
      <c r="M2658" t="s">
        <v>6</v>
      </c>
    </row>
    <row r="2659" spans="2:13" hidden="1">
      <c r="B2659">
        <v>2657</v>
      </c>
      <c r="C2659">
        <v>230</v>
      </c>
      <c r="D2659">
        <v>8</v>
      </c>
      <c r="E2659">
        <v>3</v>
      </c>
      <c r="F2659">
        <v>0</v>
      </c>
      <c r="G2659" t="s">
        <v>18</v>
      </c>
      <c r="H2659" t="s">
        <v>9</v>
      </c>
      <c r="I2659" t="s">
        <v>1928</v>
      </c>
      <c r="J2659" t="s">
        <v>55</v>
      </c>
      <c r="K2659" t="s">
        <v>1931</v>
      </c>
      <c r="M2659" t="s">
        <v>6</v>
      </c>
    </row>
    <row r="2660" spans="2:13" hidden="1">
      <c r="B2660">
        <v>2658</v>
      </c>
      <c r="C2660">
        <v>230</v>
      </c>
      <c r="D2660">
        <v>8</v>
      </c>
      <c r="E2660">
        <v>4</v>
      </c>
      <c r="F2660">
        <v>0</v>
      </c>
      <c r="G2660" t="s">
        <v>18</v>
      </c>
      <c r="H2660" t="s">
        <v>9</v>
      </c>
      <c r="I2660" t="s">
        <v>1928</v>
      </c>
      <c r="J2660" t="s">
        <v>55</v>
      </c>
      <c r="K2660" t="s">
        <v>1932</v>
      </c>
      <c r="M2660" t="s">
        <v>6</v>
      </c>
    </row>
    <row r="2661" spans="2:13" hidden="1">
      <c r="B2661">
        <v>2659</v>
      </c>
      <c r="C2661">
        <v>230</v>
      </c>
      <c r="D2661">
        <v>8</v>
      </c>
      <c r="E2661">
        <v>5</v>
      </c>
      <c r="F2661">
        <v>0</v>
      </c>
      <c r="G2661" t="s">
        <v>18</v>
      </c>
      <c r="H2661" t="s">
        <v>9</v>
      </c>
      <c r="I2661" t="s">
        <v>1928</v>
      </c>
      <c r="J2661" t="s">
        <v>55</v>
      </c>
      <c r="K2661" t="s">
        <v>1933</v>
      </c>
      <c r="M2661" t="s">
        <v>6</v>
      </c>
    </row>
    <row r="2662" spans="2:13" hidden="1">
      <c r="B2662">
        <v>2660</v>
      </c>
      <c r="C2662">
        <v>230</v>
      </c>
      <c r="D2662">
        <v>8</v>
      </c>
      <c r="E2662">
        <v>6</v>
      </c>
      <c r="F2662">
        <v>0</v>
      </c>
      <c r="G2662" t="s">
        <v>18</v>
      </c>
      <c r="H2662" t="s">
        <v>9</v>
      </c>
      <c r="I2662" t="s">
        <v>1928</v>
      </c>
      <c r="J2662" t="s">
        <v>55</v>
      </c>
      <c r="K2662" t="s">
        <v>1934</v>
      </c>
      <c r="M2662" t="s">
        <v>6</v>
      </c>
    </row>
    <row r="2663" spans="2:13" hidden="1">
      <c r="B2663">
        <v>2661</v>
      </c>
      <c r="C2663">
        <v>230</v>
      </c>
      <c r="D2663">
        <v>8</v>
      </c>
      <c r="E2663">
        <v>7</v>
      </c>
      <c r="F2663">
        <v>0</v>
      </c>
      <c r="G2663" t="s">
        <v>18</v>
      </c>
      <c r="H2663" t="s">
        <v>9</v>
      </c>
      <c r="I2663" t="s">
        <v>1928</v>
      </c>
      <c r="J2663" t="s">
        <v>55</v>
      </c>
      <c r="K2663" t="s">
        <v>93</v>
      </c>
      <c r="M2663" t="s">
        <v>6</v>
      </c>
    </row>
    <row r="2664" spans="2:13" hidden="1">
      <c r="B2664">
        <v>2662</v>
      </c>
      <c r="C2664">
        <v>230</v>
      </c>
      <c r="D2664">
        <v>8</v>
      </c>
      <c r="E2664">
        <v>8</v>
      </c>
      <c r="F2664">
        <v>0</v>
      </c>
      <c r="G2664" t="s">
        <v>18</v>
      </c>
      <c r="H2664" t="s">
        <v>9</v>
      </c>
      <c r="I2664" t="s">
        <v>1928</v>
      </c>
      <c r="J2664" t="s">
        <v>64</v>
      </c>
      <c r="K2664" t="s">
        <v>94</v>
      </c>
      <c r="M2664" t="s">
        <v>6</v>
      </c>
    </row>
    <row r="2665" spans="2:13" hidden="1">
      <c r="B2665">
        <v>2663</v>
      </c>
      <c r="C2665">
        <v>231</v>
      </c>
      <c r="D2665">
        <v>7</v>
      </c>
      <c r="E2665">
        <v>0</v>
      </c>
      <c r="F2665">
        <v>0</v>
      </c>
      <c r="G2665" t="s">
        <v>18</v>
      </c>
      <c r="H2665" t="s">
        <v>9</v>
      </c>
      <c r="I2665" t="s">
        <v>1935</v>
      </c>
      <c r="J2665" t="s">
        <v>54</v>
      </c>
      <c r="K2665" t="s">
        <v>1935</v>
      </c>
      <c r="M2665" t="s">
        <v>6</v>
      </c>
    </row>
    <row r="2666" spans="2:13" hidden="1">
      <c r="B2666">
        <v>2664</v>
      </c>
      <c r="C2666">
        <v>231</v>
      </c>
      <c r="D2666">
        <v>7</v>
      </c>
      <c r="E2666">
        <v>1</v>
      </c>
      <c r="F2666">
        <v>0</v>
      </c>
      <c r="G2666" t="s">
        <v>18</v>
      </c>
      <c r="H2666" t="s">
        <v>9</v>
      </c>
      <c r="I2666" t="s">
        <v>1935</v>
      </c>
      <c r="J2666" t="s">
        <v>55</v>
      </c>
      <c r="K2666" t="s">
        <v>1484</v>
      </c>
      <c r="M2666" t="s">
        <v>6</v>
      </c>
    </row>
    <row r="2667" spans="2:13" hidden="1">
      <c r="B2667">
        <v>2665</v>
      </c>
      <c r="C2667">
        <v>231</v>
      </c>
      <c r="D2667">
        <v>7</v>
      </c>
      <c r="E2667">
        <v>2</v>
      </c>
      <c r="F2667">
        <v>0</v>
      </c>
      <c r="G2667" t="s">
        <v>18</v>
      </c>
      <c r="H2667" t="s">
        <v>9</v>
      </c>
      <c r="I2667" t="s">
        <v>1935</v>
      </c>
      <c r="J2667" t="s">
        <v>55</v>
      </c>
      <c r="K2667" t="s">
        <v>1936</v>
      </c>
      <c r="M2667" t="s">
        <v>6</v>
      </c>
    </row>
    <row r="2668" spans="2:13" hidden="1">
      <c r="B2668">
        <v>2666</v>
      </c>
      <c r="C2668">
        <v>231</v>
      </c>
      <c r="D2668">
        <v>7</v>
      </c>
      <c r="E2668">
        <v>3</v>
      </c>
      <c r="F2668">
        <v>0</v>
      </c>
      <c r="G2668" t="s">
        <v>18</v>
      </c>
      <c r="H2668" t="s">
        <v>9</v>
      </c>
      <c r="I2668" t="s">
        <v>1935</v>
      </c>
      <c r="J2668" t="s">
        <v>55</v>
      </c>
      <c r="K2668" t="s">
        <v>1880</v>
      </c>
      <c r="M2668" t="s">
        <v>6</v>
      </c>
    </row>
    <row r="2669" spans="2:13" hidden="1">
      <c r="B2669">
        <v>2667</v>
      </c>
      <c r="C2669">
        <v>231</v>
      </c>
      <c r="D2669">
        <v>7</v>
      </c>
      <c r="E2669">
        <v>4</v>
      </c>
      <c r="F2669">
        <v>0</v>
      </c>
      <c r="G2669" t="s">
        <v>18</v>
      </c>
      <c r="H2669" t="s">
        <v>9</v>
      </c>
      <c r="I2669" t="s">
        <v>1935</v>
      </c>
      <c r="J2669" t="s">
        <v>55</v>
      </c>
      <c r="K2669" t="s">
        <v>1937</v>
      </c>
      <c r="M2669" t="s">
        <v>6</v>
      </c>
    </row>
    <row r="2670" spans="2:13" hidden="1">
      <c r="B2670">
        <v>2668</v>
      </c>
      <c r="C2670">
        <v>231</v>
      </c>
      <c r="D2670">
        <v>7</v>
      </c>
      <c r="E2670">
        <v>5</v>
      </c>
      <c r="F2670">
        <v>0</v>
      </c>
      <c r="G2670" t="s">
        <v>18</v>
      </c>
      <c r="H2670" t="s">
        <v>9</v>
      </c>
      <c r="I2670" t="s">
        <v>1935</v>
      </c>
      <c r="J2670" t="s">
        <v>55</v>
      </c>
      <c r="K2670" t="s">
        <v>1938</v>
      </c>
      <c r="M2670" t="s">
        <v>6</v>
      </c>
    </row>
    <row r="2671" spans="2:13" hidden="1">
      <c r="B2671">
        <v>2669</v>
      </c>
      <c r="C2671">
        <v>231</v>
      </c>
      <c r="D2671">
        <v>7</v>
      </c>
      <c r="E2671">
        <v>6</v>
      </c>
      <c r="F2671">
        <v>0</v>
      </c>
      <c r="G2671" t="s">
        <v>18</v>
      </c>
      <c r="H2671" t="s">
        <v>9</v>
      </c>
      <c r="I2671" t="s">
        <v>1935</v>
      </c>
      <c r="J2671" t="s">
        <v>55</v>
      </c>
      <c r="K2671" t="s">
        <v>93</v>
      </c>
      <c r="M2671" t="s">
        <v>6</v>
      </c>
    </row>
    <row r="2672" spans="2:13" hidden="1">
      <c r="B2672">
        <v>2670</v>
      </c>
      <c r="C2672">
        <v>231</v>
      </c>
      <c r="D2672">
        <v>7</v>
      </c>
      <c r="E2672">
        <v>7</v>
      </c>
      <c r="F2672">
        <v>0</v>
      </c>
      <c r="G2672" t="s">
        <v>18</v>
      </c>
      <c r="H2672" t="s">
        <v>9</v>
      </c>
      <c r="I2672" t="s">
        <v>1935</v>
      </c>
      <c r="J2672" t="s">
        <v>64</v>
      </c>
      <c r="K2672" t="s">
        <v>94</v>
      </c>
      <c r="M2672" t="s">
        <v>6</v>
      </c>
    </row>
    <row r="2673" spans="2:13" hidden="1">
      <c r="B2673">
        <v>2671</v>
      </c>
      <c r="C2673">
        <v>232</v>
      </c>
      <c r="D2673">
        <v>11</v>
      </c>
      <c r="E2673">
        <v>0</v>
      </c>
      <c r="F2673">
        <v>0</v>
      </c>
      <c r="G2673" t="s">
        <v>18</v>
      </c>
      <c r="H2673" t="s">
        <v>9</v>
      </c>
      <c r="I2673" t="s">
        <v>1939</v>
      </c>
      <c r="J2673" t="s">
        <v>54</v>
      </c>
      <c r="K2673" t="s">
        <v>1939</v>
      </c>
      <c r="M2673" t="s">
        <v>6</v>
      </c>
    </row>
    <row r="2674" spans="2:13" hidden="1">
      <c r="B2674">
        <v>2672</v>
      </c>
      <c r="C2674">
        <v>232</v>
      </c>
      <c r="D2674">
        <v>11</v>
      </c>
      <c r="E2674">
        <v>1</v>
      </c>
      <c r="F2674">
        <v>0</v>
      </c>
      <c r="G2674" t="s">
        <v>18</v>
      </c>
      <c r="H2674" t="s">
        <v>9</v>
      </c>
      <c r="I2674" t="s">
        <v>1939</v>
      </c>
      <c r="J2674" t="s">
        <v>269</v>
      </c>
      <c r="K2674" t="s">
        <v>1940</v>
      </c>
      <c r="M2674" t="s">
        <v>6</v>
      </c>
    </row>
    <row r="2675" spans="2:13" hidden="1">
      <c r="B2675">
        <v>2673</v>
      </c>
      <c r="C2675">
        <v>232</v>
      </c>
      <c r="D2675">
        <v>11</v>
      </c>
      <c r="E2675">
        <v>2</v>
      </c>
      <c r="F2675">
        <v>0</v>
      </c>
      <c r="G2675" t="s">
        <v>18</v>
      </c>
      <c r="H2675" t="s">
        <v>9</v>
      </c>
      <c r="I2675" t="s">
        <v>1939</v>
      </c>
      <c r="J2675" t="s">
        <v>269</v>
      </c>
      <c r="K2675" t="s">
        <v>1941</v>
      </c>
      <c r="M2675" t="s">
        <v>6</v>
      </c>
    </row>
    <row r="2676" spans="2:13" hidden="1">
      <c r="B2676">
        <v>2674</v>
      </c>
      <c r="C2676">
        <v>232</v>
      </c>
      <c r="D2676">
        <v>11</v>
      </c>
      <c r="E2676">
        <v>3</v>
      </c>
      <c r="F2676">
        <v>0</v>
      </c>
      <c r="G2676" t="s">
        <v>18</v>
      </c>
      <c r="H2676" t="s">
        <v>9</v>
      </c>
      <c r="I2676" t="s">
        <v>1939</v>
      </c>
      <c r="J2676" t="s">
        <v>269</v>
      </c>
      <c r="K2676" t="s">
        <v>1942</v>
      </c>
      <c r="M2676" t="s">
        <v>6</v>
      </c>
    </row>
    <row r="2677" spans="2:13" hidden="1">
      <c r="B2677">
        <v>2675</v>
      </c>
      <c r="C2677">
        <v>232</v>
      </c>
      <c r="D2677">
        <v>11</v>
      </c>
      <c r="E2677">
        <v>4</v>
      </c>
      <c r="F2677">
        <v>0</v>
      </c>
      <c r="G2677" t="s">
        <v>18</v>
      </c>
      <c r="H2677" t="s">
        <v>9</v>
      </c>
      <c r="I2677" t="s">
        <v>1939</v>
      </c>
      <c r="J2677" t="s">
        <v>269</v>
      </c>
      <c r="K2677" t="s">
        <v>1943</v>
      </c>
      <c r="M2677" t="s">
        <v>6</v>
      </c>
    </row>
    <row r="2678" spans="2:13" hidden="1">
      <c r="B2678">
        <v>2676</v>
      </c>
      <c r="C2678">
        <v>232</v>
      </c>
      <c r="D2678">
        <v>11</v>
      </c>
      <c r="E2678">
        <v>5</v>
      </c>
      <c r="F2678">
        <v>0</v>
      </c>
      <c r="G2678" t="s">
        <v>18</v>
      </c>
      <c r="H2678" t="s">
        <v>9</v>
      </c>
      <c r="I2678" t="s">
        <v>1939</v>
      </c>
      <c r="J2678" t="s">
        <v>269</v>
      </c>
      <c r="K2678" t="s">
        <v>1944</v>
      </c>
      <c r="M2678" t="s">
        <v>6</v>
      </c>
    </row>
    <row r="2679" spans="2:13" hidden="1">
      <c r="B2679">
        <v>2677</v>
      </c>
      <c r="C2679">
        <v>232</v>
      </c>
      <c r="D2679">
        <v>11</v>
      </c>
      <c r="E2679">
        <v>6</v>
      </c>
      <c r="F2679">
        <v>0</v>
      </c>
      <c r="G2679" t="s">
        <v>18</v>
      </c>
      <c r="H2679" t="s">
        <v>9</v>
      </c>
      <c r="I2679" t="s">
        <v>1939</v>
      </c>
      <c r="J2679" t="s">
        <v>269</v>
      </c>
      <c r="K2679" t="s">
        <v>1945</v>
      </c>
      <c r="M2679" t="s">
        <v>6</v>
      </c>
    </row>
    <row r="2680" spans="2:13" hidden="1">
      <c r="B2680">
        <v>2678</v>
      </c>
      <c r="C2680">
        <v>232</v>
      </c>
      <c r="D2680">
        <v>11</v>
      </c>
      <c r="E2680">
        <v>7</v>
      </c>
      <c r="F2680">
        <v>0</v>
      </c>
      <c r="G2680" t="s">
        <v>18</v>
      </c>
      <c r="H2680" t="s">
        <v>9</v>
      </c>
      <c r="I2680" t="s">
        <v>1939</v>
      </c>
      <c r="J2680" t="s">
        <v>269</v>
      </c>
      <c r="K2680" t="s">
        <v>1946</v>
      </c>
      <c r="M2680" t="s">
        <v>6</v>
      </c>
    </row>
    <row r="2681" spans="2:13" hidden="1">
      <c r="B2681">
        <v>2679</v>
      </c>
      <c r="C2681">
        <v>232</v>
      </c>
      <c r="D2681">
        <v>11</v>
      </c>
      <c r="E2681">
        <v>8</v>
      </c>
      <c r="F2681">
        <v>0</v>
      </c>
      <c r="G2681" t="s">
        <v>18</v>
      </c>
      <c r="H2681" t="s">
        <v>9</v>
      </c>
      <c r="I2681" t="s">
        <v>1939</v>
      </c>
      <c r="J2681" t="s">
        <v>269</v>
      </c>
      <c r="K2681" t="s">
        <v>1947</v>
      </c>
      <c r="M2681" t="s">
        <v>6</v>
      </c>
    </row>
    <row r="2682" spans="2:13" hidden="1">
      <c r="B2682">
        <v>2680</v>
      </c>
      <c r="C2682">
        <v>232</v>
      </c>
      <c r="D2682">
        <v>11</v>
      </c>
      <c r="E2682">
        <v>9</v>
      </c>
      <c r="F2682">
        <v>0</v>
      </c>
      <c r="G2682" t="s">
        <v>18</v>
      </c>
      <c r="H2682" t="s">
        <v>9</v>
      </c>
      <c r="I2682" t="s">
        <v>1939</v>
      </c>
      <c r="J2682" t="s">
        <v>269</v>
      </c>
      <c r="K2682" t="s">
        <v>1948</v>
      </c>
      <c r="M2682" t="s">
        <v>6</v>
      </c>
    </row>
    <row r="2683" spans="2:13" hidden="1">
      <c r="B2683">
        <v>2681</v>
      </c>
      <c r="C2683">
        <v>232</v>
      </c>
      <c r="D2683">
        <v>11</v>
      </c>
      <c r="E2683">
        <v>10</v>
      </c>
      <c r="F2683">
        <v>0</v>
      </c>
      <c r="G2683" t="s">
        <v>18</v>
      </c>
      <c r="H2683" t="s">
        <v>9</v>
      </c>
      <c r="I2683" t="s">
        <v>1939</v>
      </c>
      <c r="J2683" t="s">
        <v>55</v>
      </c>
      <c r="K2683" t="s">
        <v>93</v>
      </c>
      <c r="M2683" t="s">
        <v>6</v>
      </c>
    </row>
    <row r="2684" spans="2:13" hidden="1">
      <c r="B2684">
        <v>2682</v>
      </c>
      <c r="C2684">
        <v>232</v>
      </c>
      <c r="D2684">
        <v>11</v>
      </c>
      <c r="E2684">
        <v>11</v>
      </c>
      <c r="F2684">
        <v>0</v>
      </c>
      <c r="G2684" t="s">
        <v>18</v>
      </c>
      <c r="H2684" t="s">
        <v>9</v>
      </c>
      <c r="I2684" t="s">
        <v>1939</v>
      </c>
      <c r="J2684" t="s">
        <v>64</v>
      </c>
      <c r="K2684" t="s">
        <v>94</v>
      </c>
      <c r="M2684" t="s">
        <v>6</v>
      </c>
    </row>
    <row r="2685" spans="2:13" hidden="1">
      <c r="B2685">
        <v>2683</v>
      </c>
      <c r="C2685">
        <v>233</v>
      </c>
      <c r="D2685">
        <v>11</v>
      </c>
      <c r="E2685">
        <v>0</v>
      </c>
      <c r="F2685">
        <v>0</v>
      </c>
      <c r="G2685" t="s">
        <v>18</v>
      </c>
      <c r="H2685" t="s">
        <v>9</v>
      </c>
      <c r="I2685" t="s">
        <v>1949</v>
      </c>
      <c r="J2685" t="s">
        <v>1950</v>
      </c>
      <c r="K2685" t="s">
        <v>1949</v>
      </c>
      <c r="M2685" t="s">
        <v>6</v>
      </c>
    </row>
    <row r="2686" spans="2:13" hidden="1">
      <c r="B2686">
        <v>2684</v>
      </c>
      <c r="C2686">
        <v>233</v>
      </c>
      <c r="D2686">
        <v>11</v>
      </c>
      <c r="E2686">
        <v>1</v>
      </c>
      <c r="F2686">
        <v>0</v>
      </c>
      <c r="G2686" t="s">
        <v>18</v>
      </c>
      <c r="H2686" t="s">
        <v>9</v>
      </c>
      <c r="I2686" t="s">
        <v>1949</v>
      </c>
      <c r="J2686" t="s">
        <v>269</v>
      </c>
      <c r="K2686" t="s">
        <v>1951</v>
      </c>
      <c r="M2686" t="s">
        <v>6</v>
      </c>
    </row>
    <row r="2687" spans="2:13" hidden="1">
      <c r="B2687">
        <v>2685</v>
      </c>
      <c r="C2687">
        <v>233</v>
      </c>
      <c r="D2687">
        <v>11</v>
      </c>
      <c r="E2687">
        <v>2</v>
      </c>
      <c r="F2687">
        <v>0</v>
      </c>
      <c r="G2687" t="s">
        <v>18</v>
      </c>
      <c r="H2687" t="s">
        <v>9</v>
      </c>
      <c r="I2687" t="s">
        <v>1949</v>
      </c>
      <c r="J2687" t="s">
        <v>269</v>
      </c>
      <c r="K2687" t="s">
        <v>1952</v>
      </c>
      <c r="M2687" t="s">
        <v>6</v>
      </c>
    </row>
    <row r="2688" spans="2:13" hidden="1">
      <c r="B2688">
        <v>2686</v>
      </c>
      <c r="C2688">
        <v>233</v>
      </c>
      <c r="D2688">
        <v>11</v>
      </c>
      <c r="E2688">
        <v>3</v>
      </c>
      <c r="F2688">
        <v>0</v>
      </c>
      <c r="G2688" t="s">
        <v>18</v>
      </c>
      <c r="H2688" t="s">
        <v>9</v>
      </c>
      <c r="I2688" t="s">
        <v>1949</v>
      </c>
      <c r="J2688" t="s">
        <v>269</v>
      </c>
      <c r="K2688" t="s">
        <v>1953</v>
      </c>
      <c r="M2688" t="s">
        <v>6</v>
      </c>
    </row>
    <row r="2689" spans="2:13" hidden="1">
      <c r="B2689">
        <v>2687</v>
      </c>
      <c r="C2689">
        <v>233</v>
      </c>
      <c r="D2689">
        <v>11</v>
      </c>
      <c r="E2689">
        <v>4</v>
      </c>
      <c r="F2689">
        <v>0</v>
      </c>
      <c r="G2689" t="s">
        <v>18</v>
      </c>
      <c r="H2689" t="s">
        <v>9</v>
      </c>
      <c r="I2689" t="s">
        <v>1949</v>
      </c>
      <c r="J2689" t="s">
        <v>269</v>
      </c>
      <c r="K2689" t="s">
        <v>1954</v>
      </c>
      <c r="M2689" t="s">
        <v>6</v>
      </c>
    </row>
    <row r="2690" spans="2:13" hidden="1">
      <c r="B2690">
        <v>2688</v>
      </c>
      <c r="C2690">
        <v>233</v>
      </c>
      <c r="D2690">
        <v>11</v>
      </c>
      <c r="E2690">
        <v>5</v>
      </c>
      <c r="F2690">
        <v>0</v>
      </c>
      <c r="G2690" t="s">
        <v>18</v>
      </c>
      <c r="H2690" t="s">
        <v>9</v>
      </c>
      <c r="I2690" t="s">
        <v>1949</v>
      </c>
      <c r="J2690" t="s">
        <v>269</v>
      </c>
      <c r="K2690" t="s">
        <v>1955</v>
      </c>
      <c r="M2690" t="s">
        <v>6</v>
      </c>
    </row>
    <row r="2691" spans="2:13" hidden="1">
      <c r="B2691">
        <v>2689</v>
      </c>
      <c r="C2691">
        <v>233</v>
      </c>
      <c r="D2691">
        <v>11</v>
      </c>
      <c r="E2691">
        <v>6</v>
      </c>
      <c r="F2691">
        <v>0</v>
      </c>
      <c r="G2691" t="s">
        <v>18</v>
      </c>
      <c r="H2691" t="s">
        <v>9</v>
      </c>
      <c r="I2691" t="s">
        <v>1949</v>
      </c>
      <c r="J2691" t="s">
        <v>269</v>
      </c>
      <c r="K2691" t="s">
        <v>1956</v>
      </c>
      <c r="M2691" t="s">
        <v>6</v>
      </c>
    </row>
    <row r="2692" spans="2:13" hidden="1">
      <c r="B2692">
        <v>2690</v>
      </c>
      <c r="C2692">
        <v>233</v>
      </c>
      <c r="D2692">
        <v>11</v>
      </c>
      <c r="E2692">
        <v>7</v>
      </c>
      <c r="F2692">
        <v>0</v>
      </c>
      <c r="G2692" t="s">
        <v>18</v>
      </c>
      <c r="H2692" t="s">
        <v>9</v>
      </c>
      <c r="I2692" t="s">
        <v>1949</v>
      </c>
      <c r="J2692" t="s">
        <v>269</v>
      </c>
      <c r="K2692" t="s">
        <v>1957</v>
      </c>
      <c r="M2692" t="s">
        <v>6</v>
      </c>
    </row>
    <row r="2693" spans="2:13" hidden="1">
      <c r="B2693">
        <v>2691</v>
      </c>
      <c r="C2693">
        <v>233</v>
      </c>
      <c r="D2693">
        <v>11</v>
      </c>
      <c r="E2693">
        <v>8</v>
      </c>
      <c r="F2693">
        <v>0</v>
      </c>
      <c r="G2693" t="s">
        <v>18</v>
      </c>
      <c r="H2693" t="s">
        <v>9</v>
      </c>
      <c r="I2693" t="s">
        <v>1949</v>
      </c>
      <c r="J2693" t="s">
        <v>269</v>
      </c>
      <c r="K2693" t="s">
        <v>1958</v>
      </c>
      <c r="M2693" t="s">
        <v>6</v>
      </c>
    </row>
    <row r="2694" spans="2:13" hidden="1">
      <c r="B2694">
        <v>2692</v>
      </c>
      <c r="C2694">
        <v>233</v>
      </c>
      <c r="D2694">
        <v>11</v>
      </c>
      <c r="E2694">
        <v>9</v>
      </c>
      <c r="F2694">
        <v>0</v>
      </c>
      <c r="G2694" t="s">
        <v>18</v>
      </c>
      <c r="H2694" t="s">
        <v>9</v>
      </c>
      <c r="I2694" t="s">
        <v>1949</v>
      </c>
      <c r="J2694" t="s">
        <v>269</v>
      </c>
      <c r="K2694" t="s">
        <v>1959</v>
      </c>
      <c r="M2694" t="s">
        <v>6</v>
      </c>
    </row>
    <row r="2695" spans="2:13" hidden="1">
      <c r="B2695">
        <v>2693</v>
      </c>
      <c r="C2695">
        <v>233</v>
      </c>
      <c r="D2695">
        <v>11</v>
      </c>
      <c r="E2695">
        <v>10</v>
      </c>
      <c r="F2695">
        <v>0</v>
      </c>
      <c r="G2695" t="s">
        <v>18</v>
      </c>
      <c r="H2695" t="s">
        <v>9</v>
      </c>
      <c r="I2695" t="s">
        <v>1949</v>
      </c>
      <c r="J2695" t="s">
        <v>55</v>
      </c>
      <c r="K2695" t="s">
        <v>93</v>
      </c>
      <c r="M2695" t="s">
        <v>6</v>
      </c>
    </row>
    <row r="2696" spans="2:13" hidden="1">
      <c r="B2696">
        <v>2694</v>
      </c>
      <c r="C2696">
        <v>233</v>
      </c>
      <c r="D2696">
        <v>11</v>
      </c>
      <c r="E2696">
        <v>11</v>
      </c>
      <c r="F2696">
        <v>0</v>
      </c>
      <c r="G2696" t="s">
        <v>18</v>
      </c>
      <c r="H2696" t="s">
        <v>9</v>
      </c>
      <c r="I2696" t="s">
        <v>1949</v>
      </c>
      <c r="J2696" t="s">
        <v>64</v>
      </c>
      <c r="K2696" t="s">
        <v>94</v>
      </c>
      <c r="M2696" t="s">
        <v>6</v>
      </c>
    </row>
    <row r="2697" spans="2:13" hidden="1">
      <c r="B2697">
        <v>2695</v>
      </c>
      <c r="C2697">
        <v>234</v>
      </c>
      <c r="D2697">
        <v>19</v>
      </c>
      <c r="E2697">
        <v>0</v>
      </c>
      <c r="F2697">
        <v>0</v>
      </c>
      <c r="G2697" t="s">
        <v>18</v>
      </c>
      <c r="H2697" t="s">
        <v>9</v>
      </c>
      <c r="I2697" t="s">
        <v>1960</v>
      </c>
      <c r="J2697" t="s">
        <v>478</v>
      </c>
      <c r="K2697" t="s">
        <v>1960</v>
      </c>
      <c r="M2697" t="s">
        <v>6</v>
      </c>
    </row>
    <row r="2698" spans="2:13" hidden="1">
      <c r="B2698">
        <v>2696</v>
      </c>
      <c r="C2698">
        <v>234</v>
      </c>
      <c r="D2698">
        <v>19</v>
      </c>
      <c r="E2698">
        <v>1</v>
      </c>
      <c r="F2698">
        <v>0</v>
      </c>
      <c r="G2698" t="s">
        <v>18</v>
      </c>
      <c r="H2698" t="s">
        <v>9</v>
      </c>
      <c r="I2698" t="s">
        <v>1960</v>
      </c>
      <c r="J2698" t="s">
        <v>479</v>
      </c>
      <c r="K2698" t="s">
        <v>1961</v>
      </c>
      <c r="M2698" t="s">
        <v>6</v>
      </c>
    </row>
    <row r="2699" spans="2:13" hidden="1">
      <c r="B2699">
        <v>2697</v>
      </c>
      <c r="C2699">
        <v>234</v>
      </c>
      <c r="D2699">
        <v>19</v>
      </c>
      <c r="E2699">
        <v>2</v>
      </c>
      <c r="F2699">
        <v>0</v>
      </c>
      <c r="G2699" t="s">
        <v>18</v>
      </c>
      <c r="H2699" t="s">
        <v>9</v>
      </c>
      <c r="I2699" t="s">
        <v>1960</v>
      </c>
      <c r="J2699" t="s">
        <v>55</v>
      </c>
      <c r="K2699" t="s">
        <v>1962</v>
      </c>
      <c r="M2699" t="s">
        <v>6</v>
      </c>
    </row>
    <row r="2700" spans="2:13" hidden="1">
      <c r="B2700">
        <v>2698</v>
      </c>
      <c r="C2700">
        <v>234</v>
      </c>
      <c r="D2700">
        <v>19</v>
      </c>
      <c r="E2700">
        <v>3</v>
      </c>
      <c r="F2700">
        <v>0</v>
      </c>
      <c r="G2700" t="s">
        <v>18</v>
      </c>
      <c r="H2700" t="s">
        <v>9</v>
      </c>
      <c r="I2700" t="s">
        <v>1960</v>
      </c>
      <c r="J2700" t="s">
        <v>55</v>
      </c>
      <c r="K2700" t="s">
        <v>1963</v>
      </c>
      <c r="M2700" t="s">
        <v>6</v>
      </c>
    </row>
    <row r="2701" spans="2:13" hidden="1">
      <c r="B2701">
        <v>2699</v>
      </c>
      <c r="C2701">
        <v>234</v>
      </c>
      <c r="D2701">
        <v>19</v>
      </c>
      <c r="E2701">
        <v>4</v>
      </c>
      <c r="F2701">
        <v>0</v>
      </c>
      <c r="G2701" t="s">
        <v>18</v>
      </c>
      <c r="H2701" t="s">
        <v>9</v>
      </c>
      <c r="I2701" t="s">
        <v>1960</v>
      </c>
      <c r="J2701" t="s">
        <v>55</v>
      </c>
      <c r="K2701" t="s">
        <v>1964</v>
      </c>
      <c r="M2701" t="s">
        <v>6</v>
      </c>
    </row>
    <row r="2702" spans="2:13" hidden="1">
      <c r="B2702">
        <v>2700</v>
      </c>
      <c r="C2702">
        <v>234</v>
      </c>
      <c r="D2702">
        <v>19</v>
      </c>
      <c r="E2702">
        <v>5</v>
      </c>
      <c r="F2702">
        <v>0</v>
      </c>
      <c r="G2702" t="s">
        <v>18</v>
      </c>
      <c r="H2702" t="s">
        <v>9</v>
      </c>
      <c r="I2702" t="s">
        <v>1960</v>
      </c>
      <c r="J2702" t="s">
        <v>55</v>
      </c>
      <c r="K2702" t="s">
        <v>1965</v>
      </c>
      <c r="M2702" t="s">
        <v>6</v>
      </c>
    </row>
    <row r="2703" spans="2:13" hidden="1">
      <c r="B2703">
        <v>2701</v>
      </c>
      <c r="C2703">
        <v>234</v>
      </c>
      <c r="D2703">
        <v>19</v>
      </c>
      <c r="E2703">
        <v>6</v>
      </c>
      <c r="F2703">
        <v>0</v>
      </c>
      <c r="G2703" t="s">
        <v>18</v>
      </c>
      <c r="H2703" t="s">
        <v>9</v>
      </c>
      <c r="I2703" t="s">
        <v>1960</v>
      </c>
      <c r="J2703" t="s">
        <v>55</v>
      </c>
      <c r="K2703" t="s">
        <v>1966</v>
      </c>
      <c r="M2703" t="s">
        <v>6</v>
      </c>
    </row>
    <row r="2704" spans="2:13" hidden="1">
      <c r="B2704">
        <v>2702</v>
      </c>
      <c r="C2704">
        <v>234</v>
      </c>
      <c r="D2704">
        <v>19</v>
      </c>
      <c r="E2704">
        <v>7</v>
      </c>
      <c r="F2704">
        <v>0</v>
      </c>
      <c r="G2704" t="s">
        <v>18</v>
      </c>
      <c r="H2704" t="s">
        <v>9</v>
      </c>
      <c r="I2704" t="s">
        <v>1960</v>
      </c>
      <c r="J2704" t="s">
        <v>55</v>
      </c>
      <c r="K2704" t="s">
        <v>1967</v>
      </c>
      <c r="M2704" t="s">
        <v>6</v>
      </c>
    </row>
    <row r="2705" spans="2:13" hidden="1">
      <c r="B2705">
        <v>2703</v>
      </c>
      <c r="C2705">
        <v>234</v>
      </c>
      <c r="D2705">
        <v>19</v>
      </c>
      <c r="E2705">
        <v>8</v>
      </c>
      <c r="F2705">
        <v>0</v>
      </c>
      <c r="G2705" t="s">
        <v>18</v>
      </c>
      <c r="H2705" t="s">
        <v>9</v>
      </c>
      <c r="I2705" t="s">
        <v>1960</v>
      </c>
      <c r="J2705" t="s">
        <v>479</v>
      </c>
      <c r="K2705" t="s">
        <v>1968</v>
      </c>
      <c r="M2705" t="s">
        <v>6</v>
      </c>
    </row>
    <row r="2706" spans="2:13" hidden="1">
      <c r="B2706">
        <v>2704</v>
      </c>
      <c r="C2706">
        <v>234</v>
      </c>
      <c r="D2706">
        <v>19</v>
      </c>
      <c r="E2706">
        <v>9</v>
      </c>
      <c r="F2706">
        <v>0</v>
      </c>
      <c r="G2706" t="s">
        <v>18</v>
      </c>
      <c r="H2706" t="s">
        <v>9</v>
      </c>
      <c r="I2706" t="s">
        <v>1960</v>
      </c>
      <c r="J2706" t="s">
        <v>55</v>
      </c>
      <c r="K2706" t="s">
        <v>1969</v>
      </c>
      <c r="M2706" t="s">
        <v>6</v>
      </c>
    </row>
    <row r="2707" spans="2:13" hidden="1">
      <c r="B2707">
        <v>2705</v>
      </c>
      <c r="C2707">
        <v>234</v>
      </c>
      <c r="D2707">
        <v>19</v>
      </c>
      <c r="E2707">
        <v>10</v>
      </c>
      <c r="F2707">
        <v>0</v>
      </c>
      <c r="G2707" t="s">
        <v>18</v>
      </c>
      <c r="H2707" t="s">
        <v>9</v>
      </c>
      <c r="I2707" t="s">
        <v>1960</v>
      </c>
      <c r="J2707" t="s">
        <v>479</v>
      </c>
      <c r="K2707" t="s">
        <v>1970</v>
      </c>
      <c r="M2707" t="s">
        <v>6</v>
      </c>
    </row>
    <row r="2708" spans="2:13" hidden="1">
      <c r="B2708">
        <v>2706</v>
      </c>
      <c r="C2708">
        <v>234</v>
      </c>
      <c r="D2708">
        <v>19</v>
      </c>
      <c r="E2708">
        <v>11</v>
      </c>
      <c r="F2708">
        <v>0</v>
      </c>
      <c r="G2708" t="s">
        <v>18</v>
      </c>
      <c r="H2708" t="s">
        <v>9</v>
      </c>
      <c r="I2708" t="s">
        <v>1960</v>
      </c>
      <c r="J2708" t="s">
        <v>55</v>
      </c>
      <c r="K2708" t="s">
        <v>1971</v>
      </c>
      <c r="M2708" t="s">
        <v>6</v>
      </c>
    </row>
    <row r="2709" spans="2:13" hidden="1">
      <c r="B2709">
        <v>2707</v>
      </c>
      <c r="C2709">
        <v>234</v>
      </c>
      <c r="D2709">
        <v>19</v>
      </c>
      <c r="E2709">
        <v>12</v>
      </c>
      <c r="F2709">
        <v>0</v>
      </c>
      <c r="G2709" t="s">
        <v>18</v>
      </c>
      <c r="H2709" t="s">
        <v>9</v>
      </c>
      <c r="I2709" t="s">
        <v>1960</v>
      </c>
      <c r="J2709" t="s">
        <v>479</v>
      </c>
      <c r="K2709" t="s">
        <v>1972</v>
      </c>
      <c r="M2709" t="s">
        <v>6</v>
      </c>
    </row>
    <row r="2710" spans="2:13" hidden="1">
      <c r="B2710">
        <v>2708</v>
      </c>
      <c r="C2710">
        <v>234</v>
      </c>
      <c r="D2710">
        <v>19</v>
      </c>
      <c r="E2710">
        <v>13</v>
      </c>
      <c r="F2710">
        <v>0</v>
      </c>
      <c r="G2710" t="s">
        <v>18</v>
      </c>
      <c r="H2710" t="s">
        <v>9</v>
      </c>
      <c r="I2710" t="s">
        <v>1960</v>
      </c>
      <c r="J2710" t="s">
        <v>55</v>
      </c>
      <c r="K2710" t="s">
        <v>1973</v>
      </c>
      <c r="M2710" t="s">
        <v>6</v>
      </c>
    </row>
    <row r="2711" spans="2:13" hidden="1">
      <c r="B2711">
        <v>2709</v>
      </c>
      <c r="C2711">
        <v>234</v>
      </c>
      <c r="D2711">
        <v>19</v>
      </c>
      <c r="E2711">
        <v>14</v>
      </c>
      <c r="F2711">
        <v>0</v>
      </c>
      <c r="G2711" t="s">
        <v>18</v>
      </c>
      <c r="H2711" t="s">
        <v>9</v>
      </c>
      <c r="I2711" t="s">
        <v>1960</v>
      </c>
      <c r="J2711" t="s">
        <v>55</v>
      </c>
      <c r="K2711" t="s">
        <v>1974</v>
      </c>
      <c r="M2711" t="s">
        <v>6</v>
      </c>
    </row>
    <row r="2712" spans="2:13" hidden="1">
      <c r="B2712">
        <v>2710</v>
      </c>
      <c r="C2712">
        <v>234</v>
      </c>
      <c r="D2712">
        <v>19</v>
      </c>
      <c r="E2712">
        <v>15</v>
      </c>
      <c r="F2712">
        <v>0</v>
      </c>
      <c r="G2712" t="s">
        <v>18</v>
      </c>
      <c r="H2712" t="s">
        <v>9</v>
      </c>
      <c r="I2712" t="s">
        <v>1960</v>
      </c>
      <c r="J2712" t="s">
        <v>479</v>
      </c>
      <c r="K2712" t="s">
        <v>34</v>
      </c>
      <c r="M2712" t="s">
        <v>6</v>
      </c>
    </row>
    <row r="2713" spans="2:13" hidden="1">
      <c r="B2713">
        <v>2711</v>
      </c>
      <c r="C2713">
        <v>234</v>
      </c>
      <c r="D2713">
        <v>19</v>
      </c>
      <c r="E2713">
        <v>16</v>
      </c>
      <c r="F2713">
        <v>0</v>
      </c>
      <c r="G2713" t="s">
        <v>18</v>
      </c>
      <c r="H2713" t="s">
        <v>9</v>
      </c>
      <c r="I2713" t="s">
        <v>1960</v>
      </c>
      <c r="J2713" t="s">
        <v>55</v>
      </c>
      <c r="K2713" t="s">
        <v>1975</v>
      </c>
      <c r="M2713" t="s">
        <v>6</v>
      </c>
    </row>
    <row r="2714" spans="2:13" hidden="1">
      <c r="B2714">
        <v>2712</v>
      </c>
      <c r="C2714">
        <v>234</v>
      </c>
      <c r="D2714">
        <v>19</v>
      </c>
      <c r="E2714">
        <v>17</v>
      </c>
      <c r="F2714">
        <v>0</v>
      </c>
      <c r="G2714" t="s">
        <v>18</v>
      </c>
      <c r="H2714" t="s">
        <v>9</v>
      </c>
      <c r="I2714" t="s">
        <v>1960</v>
      </c>
      <c r="J2714" t="s">
        <v>55</v>
      </c>
      <c r="K2714" t="s">
        <v>1976</v>
      </c>
      <c r="M2714" t="s">
        <v>6</v>
      </c>
    </row>
    <row r="2715" spans="2:13" hidden="1">
      <c r="B2715">
        <v>2713</v>
      </c>
      <c r="C2715">
        <v>234</v>
      </c>
      <c r="D2715">
        <v>19</v>
      </c>
      <c r="E2715">
        <v>18</v>
      </c>
      <c r="F2715">
        <v>0</v>
      </c>
      <c r="G2715" t="s">
        <v>18</v>
      </c>
      <c r="H2715" t="s">
        <v>9</v>
      </c>
      <c r="I2715" t="s">
        <v>1960</v>
      </c>
      <c r="J2715" t="s">
        <v>55</v>
      </c>
      <c r="K2715" t="s">
        <v>93</v>
      </c>
      <c r="M2715" t="s">
        <v>6</v>
      </c>
    </row>
    <row r="2716" spans="2:13" hidden="1">
      <c r="B2716">
        <v>2714</v>
      </c>
      <c r="C2716">
        <v>234</v>
      </c>
      <c r="D2716">
        <v>19</v>
      </c>
      <c r="E2716">
        <v>19</v>
      </c>
      <c r="F2716">
        <v>0</v>
      </c>
      <c r="G2716" t="s">
        <v>18</v>
      </c>
      <c r="H2716" t="s">
        <v>9</v>
      </c>
      <c r="I2716" t="s">
        <v>1960</v>
      </c>
      <c r="J2716" t="s">
        <v>64</v>
      </c>
      <c r="K2716" t="s">
        <v>94</v>
      </c>
      <c r="M2716" t="s">
        <v>6</v>
      </c>
    </row>
    <row r="2717" spans="2:13" hidden="1">
      <c r="B2717">
        <v>2715</v>
      </c>
      <c r="C2717">
        <v>235</v>
      </c>
      <c r="D2717">
        <v>4</v>
      </c>
      <c r="E2717">
        <v>0</v>
      </c>
      <c r="F2717">
        <v>0</v>
      </c>
      <c r="G2717" t="s">
        <v>18</v>
      </c>
      <c r="H2717" t="s">
        <v>9</v>
      </c>
      <c r="I2717" t="s">
        <v>1977</v>
      </c>
      <c r="J2717" t="s">
        <v>54</v>
      </c>
      <c r="K2717" t="s">
        <v>1977</v>
      </c>
      <c r="M2717" t="s">
        <v>6</v>
      </c>
    </row>
    <row r="2718" spans="2:13" hidden="1">
      <c r="B2718">
        <v>2716</v>
      </c>
      <c r="C2718">
        <v>235</v>
      </c>
      <c r="D2718">
        <v>4</v>
      </c>
      <c r="E2718">
        <v>1</v>
      </c>
      <c r="F2718">
        <v>0</v>
      </c>
      <c r="G2718" t="s">
        <v>18</v>
      </c>
      <c r="H2718" t="s">
        <v>9</v>
      </c>
      <c r="I2718" t="s">
        <v>1977</v>
      </c>
      <c r="J2718" t="s">
        <v>55</v>
      </c>
      <c r="K2718" t="s">
        <v>1978</v>
      </c>
      <c r="M2718" t="s">
        <v>6</v>
      </c>
    </row>
    <row r="2719" spans="2:13" hidden="1">
      <c r="B2719">
        <v>2717</v>
      </c>
      <c r="C2719">
        <v>235</v>
      </c>
      <c r="D2719">
        <v>4</v>
      </c>
      <c r="E2719">
        <v>2</v>
      </c>
      <c r="F2719">
        <v>0</v>
      </c>
      <c r="G2719" t="s">
        <v>18</v>
      </c>
      <c r="H2719" t="s">
        <v>9</v>
      </c>
      <c r="I2719" t="s">
        <v>1977</v>
      </c>
      <c r="J2719" t="s">
        <v>994</v>
      </c>
      <c r="K2719" t="s">
        <v>1273</v>
      </c>
      <c r="M2719" t="s">
        <v>6</v>
      </c>
    </row>
    <row r="2720" spans="2:13" hidden="1">
      <c r="B2720">
        <v>2718</v>
      </c>
      <c r="C2720">
        <v>235</v>
      </c>
      <c r="D2720">
        <v>4</v>
      </c>
      <c r="E2720">
        <v>3</v>
      </c>
      <c r="F2720">
        <v>0</v>
      </c>
      <c r="G2720" t="s">
        <v>18</v>
      </c>
      <c r="H2720" t="s">
        <v>9</v>
      </c>
      <c r="I2720" t="s">
        <v>1977</v>
      </c>
      <c r="J2720" t="s">
        <v>55</v>
      </c>
      <c r="K2720" t="s">
        <v>93</v>
      </c>
      <c r="M2720" t="s">
        <v>6</v>
      </c>
    </row>
    <row r="2721" spans="2:13" hidden="1">
      <c r="B2721">
        <v>2719</v>
      </c>
      <c r="C2721">
        <v>235</v>
      </c>
      <c r="D2721">
        <v>4</v>
      </c>
      <c r="E2721">
        <v>4</v>
      </c>
      <c r="F2721">
        <v>0</v>
      </c>
      <c r="G2721" t="s">
        <v>18</v>
      </c>
      <c r="H2721" t="s">
        <v>9</v>
      </c>
      <c r="I2721" t="s">
        <v>1977</v>
      </c>
      <c r="J2721" t="s">
        <v>64</v>
      </c>
      <c r="K2721" t="s">
        <v>94</v>
      </c>
      <c r="M2721" t="s">
        <v>6</v>
      </c>
    </row>
    <row r="2722" spans="2:13" hidden="1">
      <c r="B2722">
        <v>2720</v>
      </c>
      <c r="C2722">
        <v>236</v>
      </c>
      <c r="D2722">
        <v>13</v>
      </c>
      <c r="E2722">
        <v>0</v>
      </c>
      <c r="F2722">
        <v>0</v>
      </c>
      <c r="G2722" t="s">
        <v>18</v>
      </c>
      <c r="H2722" t="s">
        <v>9</v>
      </c>
      <c r="I2722" t="s">
        <v>1979</v>
      </c>
      <c r="J2722" t="s">
        <v>478</v>
      </c>
      <c r="K2722" t="s">
        <v>1979</v>
      </c>
      <c r="M2722" t="s">
        <v>6</v>
      </c>
    </row>
    <row r="2723" spans="2:13" hidden="1">
      <c r="B2723">
        <v>2721</v>
      </c>
      <c r="C2723">
        <v>236</v>
      </c>
      <c r="D2723">
        <v>13</v>
      </c>
      <c r="E2723">
        <v>1</v>
      </c>
      <c r="F2723">
        <v>0</v>
      </c>
      <c r="G2723" t="s">
        <v>18</v>
      </c>
      <c r="H2723" t="s">
        <v>9</v>
      </c>
      <c r="I2723" t="s">
        <v>1979</v>
      </c>
      <c r="J2723" t="s">
        <v>479</v>
      </c>
      <c r="K2723" t="s">
        <v>1381</v>
      </c>
      <c r="M2723" t="s">
        <v>6</v>
      </c>
    </row>
    <row r="2724" spans="2:13" hidden="1">
      <c r="B2724">
        <v>2722</v>
      </c>
      <c r="C2724">
        <v>236</v>
      </c>
      <c r="D2724">
        <v>13</v>
      </c>
      <c r="E2724">
        <v>2</v>
      </c>
      <c r="F2724">
        <v>0</v>
      </c>
      <c r="G2724" t="s">
        <v>18</v>
      </c>
      <c r="H2724" t="s">
        <v>9</v>
      </c>
      <c r="I2724" t="s">
        <v>1979</v>
      </c>
      <c r="J2724" t="s">
        <v>55</v>
      </c>
      <c r="K2724" t="s">
        <v>1980</v>
      </c>
      <c r="M2724" t="s">
        <v>6</v>
      </c>
    </row>
    <row r="2725" spans="2:13" hidden="1">
      <c r="B2725">
        <v>2723</v>
      </c>
      <c r="C2725">
        <v>236</v>
      </c>
      <c r="D2725">
        <v>13</v>
      </c>
      <c r="E2725">
        <v>3</v>
      </c>
      <c r="F2725">
        <v>0</v>
      </c>
      <c r="G2725" t="s">
        <v>18</v>
      </c>
      <c r="H2725" t="s">
        <v>9</v>
      </c>
      <c r="I2725" t="s">
        <v>1979</v>
      </c>
      <c r="J2725" t="s">
        <v>55</v>
      </c>
      <c r="K2725" t="s">
        <v>1981</v>
      </c>
      <c r="M2725" t="s">
        <v>6</v>
      </c>
    </row>
    <row r="2726" spans="2:13" hidden="1">
      <c r="B2726">
        <v>2724</v>
      </c>
      <c r="C2726">
        <v>236</v>
      </c>
      <c r="D2726">
        <v>13</v>
      </c>
      <c r="E2726">
        <v>4</v>
      </c>
      <c r="F2726">
        <v>0</v>
      </c>
      <c r="G2726" t="s">
        <v>18</v>
      </c>
      <c r="H2726" t="s">
        <v>9</v>
      </c>
      <c r="I2726" t="s">
        <v>1979</v>
      </c>
      <c r="J2726" t="s">
        <v>479</v>
      </c>
      <c r="K2726" t="s">
        <v>1982</v>
      </c>
      <c r="M2726" t="s">
        <v>6</v>
      </c>
    </row>
    <row r="2727" spans="2:13" hidden="1">
      <c r="B2727">
        <v>2725</v>
      </c>
      <c r="C2727">
        <v>236</v>
      </c>
      <c r="D2727">
        <v>13</v>
      </c>
      <c r="E2727">
        <v>5</v>
      </c>
      <c r="F2727">
        <v>0</v>
      </c>
      <c r="G2727" t="s">
        <v>18</v>
      </c>
      <c r="H2727" t="s">
        <v>9</v>
      </c>
      <c r="I2727" t="s">
        <v>1979</v>
      </c>
      <c r="J2727" t="s">
        <v>55</v>
      </c>
      <c r="K2727" t="s">
        <v>1983</v>
      </c>
      <c r="M2727" t="s">
        <v>6</v>
      </c>
    </row>
    <row r="2728" spans="2:13" hidden="1">
      <c r="B2728">
        <v>2726</v>
      </c>
      <c r="C2728">
        <v>236</v>
      </c>
      <c r="D2728">
        <v>13</v>
      </c>
      <c r="E2728">
        <v>6</v>
      </c>
      <c r="F2728">
        <v>0</v>
      </c>
      <c r="G2728" t="s">
        <v>18</v>
      </c>
      <c r="H2728" t="s">
        <v>9</v>
      </c>
      <c r="I2728" t="s">
        <v>1979</v>
      </c>
      <c r="J2728" t="s">
        <v>55</v>
      </c>
      <c r="K2728" t="s">
        <v>1984</v>
      </c>
      <c r="M2728" t="s">
        <v>6</v>
      </c>
    </row>
    <row r="2729" spans="2:13" hidden="1">
      <c r="B2729">
        <v>2727</v>
      </c>
      <c r="C2729">
        <v>236</v>
      </c>
      <c r="D2729">
        <v>13</v>
      </c>
      <c r="E2729">
        <v>7</v>
      </c>
      <c r="F2729">
        <v>0</v>
      </c>
      <c r="G2729" t="s">
        <v>18</v>
      </c>
      <c r="H2729" t="s">
        <v>9</v>
      </c>
      <c r="I2729" t="s">
        <v>1979</v>
      </c>
      <c r="J2729" t="s">
        <v>479</v>
      </c>
      <c r="K2729" t="s">
        <v>1985</v>
      </c>
      <c r="M2729" t="s">
        <v>6</v>
      </c>
    </row>
    <row r="2730" spans="2:13" hidden="1">
      <c r="B2730">
        <v>2728</v>
      </c>
      <c r="C2730">
        <v>236</v>
      </c>
      <c r="D2730">
        <v>13</v>
      </c>
      <c r="E2730">
        <v>8</v>
      </c>
      <c r="F2730">
        <v>0</v>
      </c>
      <c r="G2730" t="s">
        <v>18</v>
      </c>
      <c r="H2730" t="s">
        <v>9</v>
      </c>
      <c r="I2730" t="s">
        <v>1979</v>
      </c>
      <c r="J2730" t="s">
        <v>55</v>
      </c>
      <c r="K2730" t="s">
        <v>1986</v>
      </c>
      <c r="M2730" t="s">
        <v>6</v>
      </c>
    </row>
    <row r="2731" spans="2:13" hidden="1">
      <c r="B2731">
        <v>2729</v>
      </c>
      <c r="C2731">
        <v>236</v>
      </c>
      <c r="D2731">
        <v>13</v>
      </c>
      <c r="E2731">
        <v>9</v>
      </c>
      <c r="F2731">
        <v>0</v>
      </c>
      <c r="G2731" t="s">
        <v>18</v>
      </c>
      <c r="H2731" t="s">
        <v>9</v>
      </c>
      <c r="I2731" t="s">
        <v>1979</v>
      </c>
      <c r="J2731" t="s">
        <v>55</v>
      </c>
      <c r="K2731" t="s">
        <v>1987</v>
      </c>
      <c r="M2731" t="s">
        <v>6</v>
      </c>
    </row>
    <row r="2732" spans="2:13" hidden="1">
      <c r="B2732">
        <v>2730</v>
      </c>
      <c r="C2732">
        <v>236</v>
      </c>
      <c r="D2732">
        <v>13</v>
      </c>
      <c r="E2732">
        <v>10</v>
      </c>
      <c r="F2732">
        <v>0</v>
      </c>
      <c r="G2732" t="s">
        <v>18</v>
      </c>
      <c r="H2732" t="s">
        <v>9</v>
      </c>
      <c r="I2732" t="s">
        <v>1979</v>
      </c>
      <c r="J2732" t="s">
        <v>55</v>
      </c>
      <c r="K2732" t="s">
        <v>1988</v>
      </c>
      <c r="M2732" t="s">
        <v>6</v>
      </c>
    </row>
    <row r="2733" spans="2:13" hidden="1">
      <c r="B2733">
        <v>2731</v>
      </c>
      <c r="C2733">
        <v>236</v>
      </c>
      <c r="D2733">
        <v>13</v>
      </c>
      <c r="E2733">
        <v>11</v>
      </c>
      <c r="F2733">
        <v>0</v>
      </c>
      <c r="G2733" t="s">
        <v>18</v>
      </c>
      <c r="H2733" t="s">
        <v>9</v>
      </c>
      <c r="I2733" t="s">
        <v>1979</v>
      </c>
      <c r="J2733" t="s">
        <v>55</v>
      </c>
      <c r="K2733" t="s">
        <v>1989</v>
      </c>
      <c r="M2733" t="s">
        <v>6</v>
      </c>
    </row>
    <row r="2734" spans="2:13" hidden="1">
      <c r="B2734">
        <v>2732</v>
      </c>
      <c r="C2734">
        <v>236</v>
      </c>
      <c r="D2734">
        <v>13</v>
      </c>
      <c r="E2734">
        <v>12</v>
      </c>
      <c r="F2734">
        <v>0</v>
      </c>
      <c r="G2734" t="s">
        <v>18</v>
      </c>
      <c r="H2734" t="s">
        <v>9</v>
      </c>
      <c r="I2734" t="s">
        <v>1979</v>
      </c>
      <c r="J2734" t="s">
        <v>55</v>
      </c>
      <c r="K2734" t="s">
        <v>93</v>
      </c>
      <c r="M2734" t="s">
        <v>6</v>
      </c>
    </row>
    <row r="2735" spans="2:13" hidden="1">
      <c r="B2735">
        <v>2733</v>
      </c>
      <c r="C2735">
        <v>236</v>
      </c>
      <c r="D2735">
        <v>13</v>
      </c>
      <c r="E2735">
        <v>13</v>
      </c>
      <c r="F2735">
        <v>0</v>
      </c>
      <c r="G2735" t="s">
        <v>18</v>
      </c>
      <c r="H2735" t="s">
        <v>9</v>
      </c>
      <c r="I2735" t="s">
        <v>1979</v>
      </c>
      <c r="J2735" t="s">
        <v>64</v>
      </c>
      <c r="K2735" t="s">
        <v>94</v>
      </c>
      <c r="M2735" t="s">
        <v>6</v>
      </c>
    </row>
    <row r="2736" spans="2:13" hidden="1">
      <c r="B2736">
        <v>2734</v>
      </c>
      <c r="C2736">
        <v>237</v>
      </c>
      <c r="D2736">
        <v>23</v>
      </c>
      <c r="E2736">
        <v>0</v>
      </c>
      <c r="F2736">
        <v>0</v>
      </c>
      <c r="G2736" t="s">
        <v>18</v>
      </c>
      <c r="H2736" t="s">
        <v>9</v>
      </c>
      <c r="I2736" t="s">
        <v>1990</v>
      </c>
      <c r="J2736" t="s">
        <v>478</v>
      </c>
      <c r="K2736" t="s">
        <v>1990</v>
      </c>
      <c r="M2736" t="s">
        <v>6</v>
      </c>
    </row>
    <row r="2737" spans="2:13" hidden="1">
      <c r="B2737">
        <v>2735</v>
      </c>
      <c r="C2737">
        <v>237</v>
      </c>
      <c r="D2737">
        <v>23</v>
      </c>
      <c r="E2737">
        <v>1</v>
      </c>
      <c r="F2737">
        <v>0</v>
      </c>
      <c r="G2737" t="s">
        <v>18</v>
      </c>
      <c r="H2737" t="s">
        <v>9</v>
      </c>
      <c r="I2737" t="s">
        <v>1990</v>
      </c>
      <c r="J2737" t="s">
        <v>479</v>
      </c>
      <c r="K2737" t="s">
        <v>1652</v>
      </c>
      <c r="M2737" t="s">
        <v>6</v>
      </c>
    </row>
    <row r="2738" spans="2:13" hidden="1">
      <c r="B2738">
        <v>2736</v>
      </c>
      <c r="C2738">
        <v>237</v>
      </c>
      <c r="D2738">
        <v>23</v>
      </c>
      <c r="E2738">
        <v>2</v>
      </c>
      <c r="F2738">
        <v>0</v>
      </c>
      <c r="G2738" t="s">
        <v>18</v>
      </c>
      <c r="H2738" t="s">
        <v>9</v>
      </c>
      <c r="I2738" t="s">
        <v>1990</v>
      </c>
      <c r="J2738" t="s">
        <v>55</v>
      </c>
      <c r="K2738" t="s">
        <v>1875</v>
      </c>
      <c r="M2738" t="s">
        <v>6</v>
      </c>
    </row>
    <row r="2739" spans="2:13" hidden="1">
      <c r="B2739">
        <v>2737</v>
      </c>
      <c r="C2739">
        <v>237</v>
      </c>
      <c r="D2739">
        <v>23</v>
      </c>
      <c r="E2739">
        <v>3</v>
      </c>
      <c r="F2739">
        <v>0</v>
      </c>
      <c r="G2739" t="s">
        <v>18</v>
      </c>
      <c r="H2739" t="s">
        <v>9</v>
      </c>
      <c r="I2739" t="s">
        <v>1990</v>
      </c>
      <c r="J2739" t="s">
        <v>55</v>
      </c>
      <c r="K2739" t="s">
        <v>1876</v>
      </c>
      <c r="M2739" t="s">
        <v>6</v>
      </c>
    </row>
    <row r="2740" spans="2:13" hidden="1">
      <c r="B2740">
        <v>2738</v>
      </c>
      <c r="C2740">
        <v>237</v>
      </c>
      <c r="D2740">
        <v>23</v>
      </c>
      <c r="E2740">
        <v>4</v>
      </c>
      <c r="F2740">
        <v>0</v>
      </c>
      <c r="G2740" t="s">
        <v>18</v>
      </c>
      <c r="H2740" t="s">
        <v>9</v>
      </c>
      <c r="I2740" t="s">
        <v>1990</v>
      </c>
      <c r="J2740" t="s">
        <v>479</v>
      </c>
      <c r="K2740" t="s">
        <v>1877</v>
      </c>
      <c r="M2740" t="s">
        <v>6</v>
      </c>
    </row>
    <row r="2741" spans="2:13" hidden="1">
      <c r="B2741">
        <v>2739</v>
      </c>
      <c r="C2741">
        <v>237</v>
      </c>
      <c r="D2741">
        <v>23</v>
      </c>
      <c r="E2741">
        <v>5</v>
      </c>
      <c r="F2741">
        <v>0</v>
      </c>
      <c r="G2741" t="s">
        <v>18</v>
      </c>
      <c r="H2741" t="s">
        <v>9</v>
      </c>
      <c r="I2741" t="s">
        <v>1990</v>
      </c>
      <c r="J2741" t="s">
        <v>55</v>
      </c>
      <c r="K2741" t="s">
        <v>1878</v>
      </c>
      <c r="M2741" t="s">
        <v>6</v>
      </c>
    </row>
    <row r="2742" spans="2:13" hidden="1">
      <c r="B2742">
        <v>2740</v>
      </c>
      <c r="C2742">
        <v>237</v>
      </c>
      <c r="D2742">
        <v>23</v>
      </c>
      <c r="E2742">
        <v>6</v>
      </c>
      <c r="F2742">
        <v>0</v>
      </c>
      <c r="G2742" t="s">
        <v>18</v>
      </c>
      <c r="H2742" t="s">
        <v>9</v>
      </c>
      <c r="I2742" t="s">
        <v>1990</v>
      </c>
      <c r="J2742" t="s">
        <v>55</v>
      </c>
      <c r="K2742" t="s">
        <v>1879</v>
      </c>
      <c r="M2742" t="s">
        <v>6</v>
      </c>
    </row>
    <row r="2743" spans="2:13" hidden="1">
      <c r="B2743">
        <v>2741</v>
      </c>
      <c r="C2743">
        <v>237</v>
      </c>
      <c r="D2743">
        <v>23</v>
      </c>
      <c r="E2743">
        <v>7</v>
      </c>
      <c r="F2743">
        <v>0</v>
      </c>
      <c r="G2743" t="s">
        <v>18</v>
      </c>
      <c r="H2743" t="s">
        <v>9</v>
      </c>
      <c r="I2743" t="s">
        <v>1990</v>
      </c>
      <c r="J2743" t="s">
        <v>55</v>
      </c>
      <c r="K2743" t="s">
        <v>1880</v>
      </c>
      <c r="M2743" t="s">
        <v>6</v>
      </c>
    </row>
    <row r="2744" spans="2:13" hidden="1">
      <c r="B2744">
        <v>2742</v>
      </c>
      <c r="C2744">
        <v>237</v>
      </c>
      <c r="D2744">
        <v>23</v>
      </c>
      <c r="E2744">
        <v>8</v>
      </c>
      <c r="F2744">
        <v>0</v>
      </c>
      <c r="G2744" t="s">
        <v>18</v>
      </c>
      <c r="H2744" t="s">
        <v>9</v>
      </c>
      <c r="I2744" t="s">
        <v>1990</v>
      </c>
      <c r="J2744" t="s">
        <v>55</v>
      </c>
      <c r="K2744" t="s">
        <v>1881</v>
      </c>
      <c r="M2744" t="s">
        <v>6</v>
      </c>
    </row>
    <row r="2745" spans="2:13" hidden="1">
      <c r="B2745">
        <v>2743</v>
      </c>
      <c r="C2745">
        <v>237</v>
      </c>
      <c r="D2745">
        <v>23</v>
      </c>
      <c r="E2745">
        <v>9</v>
      </c>
      <c r="F2745">
        <v>0</v>
      </c>
      <c r="G2745" t="s">
        <v>18</v>
      </c>
      <c r="H2745" t="s">
        <v>9</v>
      </c>
      <c r="I2745" t="s">
        <v>1990</v>
      </c>
      <c r="J2745" t="s">
        <v>55</v>
      </c>
      <c r="K2745" t="s">
        <v>1882</v>
      </c>
      <c r="M2745" t="s">
        <v>6</v>
      </c>
    </row>
    <row r="2746" spans="2:13" hidden="1">
      <c r="B2746">
        <v>2744</v>
      </c>
      <c r="C2746">
        <v>237</v>
      </c>
      <c r="D2746">
        <v>23</v>
      </c>
      <c r="E2746">
        <v>10</v>
      </c>
      <c r="F2746">
        <v>0</v>
      </c>
      <c r="G2746" t="s">
        <v>18</v>
      </c>
      <c r="H2746" t="s">
        <v>9</v>
      </c>
      <c r="I2746" t="s">
        <v>1990</v>
      </c>
      <c r="J2746" t="s">
        <v>55</v>
      </c>
      <c r="K2746" t="s">
        <v>1679</v>
      </c>
      <c r="M2746" t="s">
        <v>6</v>
      </c>
    </row>
    <row r="2747" spans="2:13" hidden="1">
      <c r="B2747">
        <v>2745</v>
      </c>
      <c r="C2747">
        <v>237</v>
      </c>
      <c r="D2747">
        <v>23</v>
      </c>
      <c r="E2747">
        <v>11</v>
      </c>
      <c r="F2747">
        <v>0</v>
      </c>
      <c r="G2747" t="s">
        <v>18</v>
      </c>
      <c r="H2747" t="s">
        <v>9</v>
      </c>
      <c r="I2747" t="s">
        <v>1990</v>
      </c>
      <c r="J2747" t="s">
        <v>479</v>
      </c>
      <c r="K2747" t="s">
        <v>1991</v>
      </c>
      <c r="M2747" t="s">
        <v>6</v>
      </c>
    </row>
    <row r="2748" spans="2:13" hidden="1">
      <c r="B2748">
        <v>2746</v>
      </c>
      <c r="C2748">
        <v>237</v>
      </c>
      <c r="D2748">
        <v>23</v>
      </c>
      <c r="E2748">
        <v>12</v>
      </c>
      <c r="F2748">
        <v>0</v>
      </c>
      <c r="G2748" t="s">
        <v>18</v>
      </c>
      <c r="H2748" t="s">
        <v>9</v>
      </c>
      <c r="I2748" t="s">
        <v>1990</v>
      </c>
      <c r="J2748" t="s">
        <v>55</v>
      </c>
      <c r="K2748" t="s">
        <v>1992</v>
      </c>
      <c r="M2748" t="s">
        <v>6</v>
      </c>
    </row>
    <row r="2749" spans="2:13" hidden="1">
      <c r="B2749">
        <v>2747</v>
      </c>
      <c r="C2749">
        <v>237</v>
      </c>
      <c r="D2749">
        <v>23</v>
      </c>
      <c r="E2749">
        <v>13</v>
      </c>
      <c r="F2749">
        <v>0</v>
      </c>
      <c r="G2749" t="s">
        <v>18</v>
      </c>
      <c r="H2749" t="s">
        <v>9</v>
      </c>
      <c r="I2749" t="s">
        <v>1990</v>
      </c>
      <c r="J2749" t="s">
        <v>55</v>
      </c>
      <c r="K2749" t="s">
        <v>1685</v>
      </c>
      <c r="M2749" t="s">
        <v>6</v>
      </c>
    </row>
    <row r="2750" spans="2:13" hidden="1">
      <c r="B2750">
        <v>2748</v>
      </c>
      <c r="C2750">
        <v>237</v>
      </c>
      <c r="D2750">
        <v>23</v>
      </c>
      <c r="E2750">
        <v>14</v>
      </c>
      <c r="F2750">
        <v>0</v>
      </c>
      <c r="G2750" t="s">
        <v>18</v>
      </c>
      <c r="H2750" t="s">
        <v>9</v>
      </c>
      <c r="I2750" t="s">
        <v>1990</v>
      </c>
      <c r="J2750" t="s">
        <v>99</v>
      </c>
      <c r="K2750" t="s">
        <v>1686</v>
      </c>
      <c r="M2750" t="s">
        <v>6</v>
      </c>
    </row>
    <row r="2751" spans="2:13" hidden="1">
      <c r="B2751">
        <v>2749</v>
      </c>
      <c r="C2751">
        <v>237</v>
      </c>
      <c r="D2751">
        <v>23</v>
      </c>
      <c r="E2751">
        <v>15</v>
      </c>
      <c r="F2751">
        <v>0</v>
      </c>
      <c r="G2751" t="s">
        <v>18</v>
      </c>
      <c r="H2751" t="s">
        <v>9</v>
      </c>
      <c r="I2751" t="s">
        <v>1990</v>
      </c>
      <c r="J2751" t="s">
        <v>99</v>
      </c>
      <c r="K2751" t="s">
        <v>1687</v>
      </c>
      <c r="M2751" t="s">
        <v>6</v>
      </c>
    </row>
    <row r="2752" spans="2:13" hidden="1">
      <c r="B2752">
        <v>2750</v>
      </c>
      <c r="C2752">
        <v>237</v>
      </c>
      <c r="D2752">
        <v>23</v>
      </c>
      <c r="E2752">
        <v>16</v>
      </c>
      <c r="F2752">
        <v>0</v>
      </c>
      <c r="G2752" t="s">
        <v>18</v>
      </c>
      <c r="H2752" t="s">
        <v>9</v>
      </c>
      <c r="I2752" t="s">
        <v>1990</v>
      </c>
      <c r="J2752" t="s">
        <v>99</v>
      </c>
      <c r="K2752" t="s">
        <v>1688</v>
      </c>
      <c r="M2752" t="s">
        <v>6</v>
      </c>
    </row>
    <row r="2753" spans="2:13" hidden="1">
      <c r="B2753">
        <v>2751</v>
      </c>
      <c r="C2753">
        <v>237</v>
      </c>
      <c r="D2753">
        <v>23</v>
      </c>
      <c r="E2753">
        <v>17</v>
      </c>
      <c r="F2753">
        <v>0</v>
      </c>
      <c r="G2753" t="s">
        <v>18</v>
      </c>
      <c r="H2753" t="s">
        <v>9</v>
      </c>
      <c r="I2753" t="s">
        <v>1990</v>
      </c>
      <c r="J2753" t="s">
        <v>99</v>
      </c>
      <c r="K2753" t="s">
        <v>1689</v>
      </c>
      <c r="M2753" t="s">
        <v>6</v>
      </c>
    </row>
    <row r="2754" spans="2:13" hidden="1">
      <c r="B2754">
        <v>2752</v>
      </c>
      <c r="C2754">
        <v>237</v>
      </c>
      <c r="D2754">
        <v>23</v>
      </c>
      <c r="E2754">
        <v>18</v>
      </c>
      <c r="F2754">
        <v>0</v>
      </c>
      <c r="G2754" t="s">
        <v>18</v>
      </c>
      <c r="H2754" t="s">
        <v>9</v>
      </c>
      <c r="I2754" t="s">
        <v>1990</v>
      </c>
      <c r="J2754" t="s">
        <v>55</v>
      </c>
      <c r="K2754" t="s">
        <v>1690</v>
      </c>
      <c r="M2754" t="s">
        <v>6</v>
      </c>
    </row>
    <row r="2755" spans="2:13" hidden="1">
      <c r="B2755">
        <v>2753</v>
      </c>
      <c r="C2755">
        <v>237</v>
      </c>
      <c r="D2755">
        <v>23</v>
      </c>
      <c r="E2755">
        <v>19</v>
      </c>
      <c r="F2755">
        <v>0</v>
      </c>
      <c r="G2755" t="s">
        <v>18</v>
      </c>
      <c r="H2755" t="s">
        <v>9</v>
      </c>
      <c r="I2755" t="s">
        <v>1990</v>
      </c>
      <c r="J2755" t="s">
        <v>55</v>
      </c>
      <c r="K2755" t="s">
        <v>1691</v>
      </c>
      <c r="M2755" t="s">
        <v>6</v>
      </c>
    </row>
    <row r="2756" spans="2:13" hidden="1">
      <c r="B2756">
        <v>2754</v>
      </c>
      <c r="C2756">
        <v>237</v>
      </c>
      <c r="D2756">
        <v>23</v>
      </c>
      <c r="E2756">
        <v>20</v>
      </c>
      <c r="F2756">
        <v>0</v>
      </c>
      <c r="G2756" t="s">
        <v>18</v>
      </c>
      <c r="H2756" t="s">
        <v>9</v>
      </c>
      <c r="I2756" t="s">
        <v>1990</v>
      </c>
      <c r="J2756" t="s">
        <v>99</v>
      </c>
      <c r="K2756" t="s">
        <v>1692</v>
      </c>
      <c r="M2756" t="s">
        <v>6</v>
      </c>
    </row>
    <row r="2757" spans="2:13" hidden="1">
      <c r="B2757">
        <v>2755</v>
      </c>
      <c r="C2757">
        <v>237</v>
      </c>
      <c r="D2757">
        <v>23</v>
      </c>
      <c r="E2757">
        <v>21</v>
      </c>
      <c r="F2757">
        <v>0</v>
      </c>
      <c r="G2757" t="s">
        <v>18</v>
      </c>
      <c r="H2757" t="s">
        <v>9</v>
      </c>
      <c r="I2757" t="s">
        <v>1990</v>
      </c>
      <c r="J2757" t="s">
        <v>55</v>
      </c>
      <c r="K2757" t="s">
        <v>1690</v>
      </c>
      <c r="M2757" t="s">
        <v>6</v>
      </c>
    </row>
    <row r="2758" spans="2:13" hidden="1">
      <c r="B2758">
        <v>2756</v>
      </c>
      <c r="C2758">
        <v>237</v>
      </c>
      <c r="D2758">
        <v>23</v>
      </c>
      <c r="E2758">
        <v>22</v>
      </c>
      <c r="F2758">
        <v>0</v>
      </c>
      <c r="G2758" t="s">
        <v>18</v>
      </c>
      <c r="H2758" t="s">
        <v>9</v>
      </c>
      <c r="I2758" t="s">
        <v>1990</v>
      </c>
      <c r="J2758" t="s">
        <v>55</v>
      </c>
      <c r="K2758" t="s">
        <v>93</v>
      </c>
      <c r="M2758" t="s">
        <v>6</v>
      </c>
    </row>
    <row r="2759" spans="2:13" hidden="1">
      <c r="B2759">
        <v>2757</v>
      </c>
      <c r="C2759">
        <v>237</v>
      </c>
      <c r="D2759">
        <v>23</v>
      </c>
      <c r="E2759">
        <v>23</v>
      </c>
      <c r="F2759">
        <v>0</v>
      </c>
      <c r="G2759" t="s">
        <v>18</v>
      </c>
      <c r="H2759" t="s">
        <v>9</v>
      </c>
      <c r="I2759" t="s">
        <v>1990</v>
      </c>
      <c r="J2759" t="s">
        <v>64</v>
      </c>
      <c r="K2759" t="s">
        <v>94</v>
      </c>
      <c r="M2759" t="s">
        <v>6</v>
      </c>
    </row>
    <row r="2760" spans="2:13" hidden="1">
      <c r="B2760">
        <v>2758</v>
      </c>
      <c r="C2760">
        <v>238</v>
      </c>
      <c r="D2760">
        <v>11</v>
      </c>
      <c r="E2760">
        <v>0</v>
      </c>
      <c r="F2760">
        <v>0</v>
      </c>
      <c r="G2760" t="s">
        <v>18</v>
      </c>
      <c r="H2760" t="s">
        <v>9</v>
      </c>
      <c r="I2760" t="s">
        <v>1993</v>
      </c>
      <c r="J2760" t="s">
        <v>478</v>
      </c>
      <c r="K2760" t="s">
        <v>1993</v>
      </c>
      <c r="M2760" t="s">
        <v>6</v>
      </c>
    </row>
    <row r="2761" spans="2:13" hidden="1">
      <c r="B2761">
        <v>2759</v>
      </c>
      <c r="C2761">
        <v>238</v>
      </c>
      <c r="D2761">
        <v>11</v>
      </c>
      <c r="E2761">
        <v>1</v>
      </c>
      <c r="F2761">
        <v>0</v>
      </c>
      <c r="G2761" t="s">
        <v>18</v>
      </c>
      <c r="H2761" t="s">
        <v>9</v>
      </c>
      <c r="I2761" t="s">
        <v>1993</v>
      </c>
      <c r="J2761" t="s">
        <v>479</v>
      </c>
      <c r="K2761" t="s">
        <v>1982</v>
      </c>
      <c r="M2761" t="s">
        <v>6</v>
      </c>
    </row>
    <row r="2762" spans="2:13" hidden="1">
      <c r="B2762">
        <v>2760</v>
      </c>
      <c r="C2762">
        <v>238</v>
      </c>
      <c r="D2762">
        <v>11</v>
      </c>
      <c r="E2762">
        <v>2</v>
      </c>
      <c r="F2762">
        <v>0</v>
      </c>
      <c r="G2762" t="s">
        <v>18</v>
      </c>
      <c r="H2762" t="s">
        <v>9</v>
      </c>
      <c r="I2762" t="s">
        <v>1993</v>
      </c>
      <c r="J2762" t="s">
        <v>55</v>
      </c>
      <c r="K2762" t="s">
        <v>1983</v>
      </c>
      <c r="M2762" t="s">
        <v>6</v>
      </c>
    </row>
    <row r="2763" spans="2:13" hidden="1">
      <c r="B2763">
        <v>2761</v>
      </c>
      <c r="C2763">
        <v>238</v>
      </c>
      <c r="D2763">
        <v>11</v>
      </c>
      <c r="E2763">
        <v>3</v>
      </c>
      <c r="F2763">
        <v>0</v>
      </c>
      <c r="G2763" t="s">
        <v>18</v>
      </c>
      <c r="H2763" t="s">
        <v>9</v>
      </c>
      <c r="I2763" t="s">
        <v>1993</v>
      </c>
      <c r="J2763" t="s">
        <v>55</v>
      </c>
      <c r="K2763" t="s">
        <v>1994</v>
      </c>
      <c r="M2763" t="s">
        <v>6</v>
      </c>
    </row>
    <row r="2764" spans="2:13" hidden="1">
      <c r="B2764">
        <v>2762</v>
      </c>
      <c r="C2764">
        <v>238</v>
      </c>
      <c r="D2764">
        <v>11</v>
      </c>
      <c r="E2764">
        <v>4</v>
      </c>
      <c r="F2764">
        <v>0</v>
      </c>
      <c r="G2764" t="s">
        <v>18</v>
      </c>
      <c r="H2764" t="s">
        <v>9</v>
      </c>
      <c r="I2764" t="s">
        <v>1993</v>
      </c>
      <c r="J2764" t="s">
        <v>55</v>
      </c>
      <c r="K2764" t="s">
        <v>1995</v>
      </c>
      <c r="M2764" t="s">
        <v>6</v>
      </c>
    </row>
    <row r="2765" spans="2:13" hidden="1">
      <c r="B2765">
        <v>2763</v>
      </c>
      <c r="C2765">
        <v>238</v>
      </c>
      <c r="D2765">
        <v>11</v>
      </c>
      <c r="E2765">
        <v>5</v>
      </c>
      <c r="F2765">
        <v>0</v>
      </c>
      <c r="G2765" t="s">
        <v>18</v>
      </c>
      <c r="H2765" t="s">
        <v>9</v>
      </c>
      <c r="I2765" t="s">
        <v>1993</v>
      </c>
      <c r="J2765" t="s">
        <v>479</v>
      </c>
      <c r="K2765" t="s">
        <v>1625</v>
      </c>
      <c r="M2765" t="s">
        <v>6</v>
      </c>
    </row>
    <row r="2766" spans="2:13" hidden="1">
      <c r="B2766">
        <v>2764</v>
      </c>
      <c r="C2766">
        <v>238</v>
      </c>
      <c r="D2766">
        <v>11</v>
      </c>
      <c r="E2766">
        <v>6</v>
      </c>
      <c r="F2766">
        <v>0</v>
      </c>
      <c r="G2766" t="s">
        <v>18</v>
      </c>
      <c r="H2766" t="s">
        <v>9</v>
      </c>
      <c r="I2766" t="s">
        <v>1993</v>
      </c>
      <c r="J2766" t="s">
        <v>55</v>
      </c>
      <c r="K2766" t="s">
        <v>1996</v>
      </c>
      <c r="M2766" t="s">
        <v>6</v>
      </c>
    </row>
    <row r="2767" spans="2:13" hidden="1">
      <c r="B2767">
        <v>2765</v>
      </c>
      <c r="C2767">
        <v>238</v>
      </c>
      <c r="D2767">
        <v>11</v>
      </c>
      <c r="E2767">
        <v>7</v>
      </c>
      <c r="F2767">
        <v>0</v>
      </c>
      <c r="G2767" t="s">
        <v>18</v>
      </c>
      <c r="H2767" t="s">
        <v>9</v>
      </c>
      <c r="I2767" t="s">
        <v>1993</v>
      </c>
      <c r="J2767" t="s">
        <v>55</v>
      </c>
      <c r="K2767" t="s">
        <v>1997</v>
      </c>
      <c r="M2767" t="s">
        <v>6</v>
      </c>
    </row>
    <row r="2768" spans="2:13" hidden="1">
      <c r="B2768">
        <v>2766</v>
      </c>
      <c r="C2768">
        <v>238</v>
      </c>
      <c r="D2768">
        <v>11</v>
      </c>
      <c r="E2768">
        <v>8</v>
      </c>
      <c r="F2768">
        <v>0</v>
      </c>
      <c r="G2768" t="s">
        <v>18</v>
      </c>
      <c r="H2768" t="s">
        <v>9</v>
      </c>
      <c r="I2768" t="s">
        <v>1993</v>
      </c>
      <c r="J2768" t="s">
        <v>55</v>
      </c>
      <c r="K2768" t="s">
        <v>1998</v>
      </c>
      <c r="M2768" t="s">
        <v>6</v>
      </c>
    </row>
    <row r="2769" spans="2:13" hidden="1">
      <c r="B2769">
        <v>2767</v>
      </c>
      <c r="C2769">
        <v>238</v>
      </c>
      <c r="D2769">
        <v>11</v>
      </c>
      <c r="E2769">
        <v>9</v>
      </c>
      <c r="F2769">
        <v>0</v>
      </c>
      <c r="G2769" t="s">
        <v>18</v>
      </c>
      <c r="H2769" t="s">
        <v>9</v>
      </c>
      <c r="I2769" t="s">
        <v>1993</v>
      </c>
      <c r="J2769" t="s">
        <v>55</v>
      </c>
      <c r="K2769" t="s">
        <v>1999</v>
      </c>
      <c r="M2769" t="s">
        <v>6</v>
      </c>
    </row>
    <row r="2770" spans="2:13" hidden="1">
      <c r="B2770">
        <v>2768</v>
      </c>
      <c r="C2770">
        <v>238</v>
      </c>
      <c r="D2770">
        <v>11</v>
      </c>
      <c r="E2770">
        <v>10</v>
      </c>
      <c r="F2770">
        <v>0</v>
      </c>
      <c r="G2770" t="s">
        <v>18</v>
      </c>
      <c r="H2770" t="s">
        <v>9</v>
      </c>
      <c r="I2770" t="s">
        <v>1993</v>
      </c>
      <c r="J2770" t="s">
        <v>55</v>
      </c>
      <c r="K2770" t="s">
        <v>93</v>
      </c>
      <c r="M2770" t="s">
        <v>6</v>
      </c>
    </row>
    <row r="2771" spans="2:13" hidden="1">
      <c r="B2771">
        <v>2769</v>
      </c>
      <c r="C2771">
        <v>238</v>
      </c>
      <c r="D2771">
        <v>11</v>
      </c>
      <c r="E2771">
        <v>11</v>
      </c>
      <c r="F2771">
        <v>0</v>
      </c>
      <c r="G2771" t="s">
        <v>18</v>
      </c>
      <c r="H2771" t="s">
        <v>9</v>
      </c>
      <c r="I2771" t="s">
        <v>1993</v>
      </c>
      <c r="J2771" t="s">
        <v>64</v>
      </c>
      <c r="K2771" t="s">
        <v>94</v>
      </c>
      <c r="M2771" t="s">
        <v>6</v>
      </c>
    </row>
    <row r="2772" spans="2:13" hidden="1">
      <c r="B2772">
        <v>2770</v>
      </c>
      <c r="C2772">
        <v>239</v>
      </c>
      <c r="D2772">
        <v>8</v>
      </c>
      <c r="E2772">
        <v>0</v>
      </c>
      <c r="F2772">
        <v>0</v>
      </c>
      <c r="G2772" t="s">
        <v>18</v>
      </c>
      <c r="H2772" t="s">
        <v>9</v>
      </c>
      <c r="I2772" t="s">
        <v>2000</v>
      </c>
      <c r="J2772" t="s">
        <v>54</v>
      </c>
      <c r="K2772" t="s">
        <v>2000</v>
      </c>
      <c r="M2772" t="s">
        <v>6</v>
      </c>
    </row>
    <row r="2773" spans="2:13" hidden="1">
      <c r="B2773">
        <v>2771</v>
      </c>
      <c r="C2773">
        <v>239</v>
      </c>
      <c r="D2773">
        <v>8</v>
      </c>
      <c r="E2773">
        <v>1</v>
      </c>
      <c r="F2773">
        <v>0</v>
      </c>
      <c r="G2773" t="s">
        <v>18</v>
      </c>
      <c r="H2773" t="s">
        <v>9</v>
      </c>
      <c r="I2773" t="s">
        <v>2000</v>
      </c>
      <c r="J2773" t="s">
        <v>55</v>
      </c>
      <c r="K2773" t="s">
        <v>2001</v>
      </c>
      <c r="M2773" t="s">
        <v>6</v>
      </c>
    </row>
    <row r="2774" spans="2:13" hidden="1">
      <c r="B2774">
        <v>2772</v>
      </c>
      <c r="C2774">
        <v>239</v>
      </c>
      <c r="D2774">
        <v>8</v>
      </c>
      <c r="E2774">
        <v>2</v>
      </c>
      <c r="F2774">
        <v>0</v>
      </c>
      <c r="G2774" t="s">
        <v>18</v>
      </c>
      <c r="H2774" t="s">
        <v>9</v>
      </c>
      <c r="I2774" t="s">
        <v>2000</v>
      </c>
      <c r="J2774" t="s">
        <v>55</v>
      </c>
      <c r="K2774" t="s">
        <v>2002</v>
      </c>
      <c r="M2774" t="s">
        <v>6</v>
      </c>
    </row>
    <row r="2775" spans="2:13" hidden="1">
      <c r="B2775">
        <v>2773</v>
      </c>
      <c r="C2775">
        <v>239</v>
      </c>
      <c r="D2775">
        <v>8</v>
      </c>
      <c r="E2775">
        <v>3</v>
      </c>
      <c r="F2775">
        <v>0</v>
      </c>
      <c r="G2775" t="s">
        <v>18</v>
      </c>
      <c r="H2775" t="s">
        <v>9</v>
      </c>
      <c r="I2775" t="s">
        <v>2000</v>
      </c>
      <c r="J2775" t="s">
        <v>55</v>
      </c>
      <c r="K2775" t="s">
        <v>2003</v>
      </c>
      <c r="M2775" t="s">
        <v>6</v>
      </c>
    </row>
    <row r="2776" spans="2:13" hidden="1">
      <c r="B2776">
        <v>2774</v>
      </c>
      <c r="C2776">
        <v>239</v>
      </c>
      <c r="D2776">
        <v>8</v>
      </c>
      <c r="E2776">
        <v>4</v>
      </c>
      <c r="F2776">
        <v>0</v>
      </c>
      <c r="G2776" t="s">
        <v>18</v>
      </c>
      <c r="H2776" t="s">
        <v>9</v>
      </c>
      <c r="I2776" t="s">
        <v>2000</v>
      </c>
      <c r="J2776" t="s">
        <v>55</v>
      </c>
      <c r="K2776" t="s">
        <v>1881</v>
      </c>
      <c r="M2776" t="s">
        <v>6</v>
      </c>
    </row>
    <row r="2777" spans="2:13" hidden="1">
      <c r="B2777">
        <v>2775</v>
      </c>
      <c r="C2777">
        <v>239</v>
      </c>
      <c r="D2777">
        <v>8</v>
      </c>
      <c r="E2777">
        <v>5</v>
      </c>
      <c r="F2777">
        <v>0</v>
      </c>
      <c r="G2777" t="s">
        <v>18</v>
      </c>
      <c r="H2777" t="s">
        <v>9</v>
      </c>
      <c r="I2777" t="s">
        <v>2000</v>
      </c>
      <c r="J2777" t="s">
        <v>55</v>
      </c>
      <c r="K2777" t="s">
        <v>2004</v>
      </c>
      <c r="M2777" t="s">
        <v>6</v>
      </c>
    </row>
    <row r="2778" spans="2:13" hidden="1">
      <c r="B2778">
        <v>2776</v>
      </c>
      <c r="C2778">
        <v>239</v>
      </c>
      <c r="D2778">
        <v>8</v>
      </c>
      <c r="E2778">
        <v>6</v>
      </c>
      <c r="F2778">
        <v>0</v>
      </c>
      <c r="G2778" t="s">
        <v>18</v>
      </c>
      <c r="H2778" t="s">
        <v>9</v>
      </c>
      <c r="I2778" t="s">
        <v>2000</v>
      </c>
      <c r="J2778" t="s">
        <v>55</v>
      </c>
      <c r="K2778" t="s">
        <v>898</v>
      </c>
      <c r="M2778" t="s">
        <v>6</v>
      </c>
    </row>
    <row r="2779" spans="2:13" hidden="1">
      <c r="B2779">
        <v>2777</v>
      </c>
      <c r="C2779">
        <v>239</v>
      </c>
      <c r="D2779">
        <v>8</v>
      </c>
      <c r="E2779">
        <v>7</v>
      </c>
      <c r="F2779">
        <v>0</v>
      </c>
      <c r="G2779" t="s">
        <v>18</v>
      </c>
      <c r="H2779" t="s">
        <v>9</v>
      </c>
      <c r="I2779" t="s">
        <v>2000</v>
      </c>
      <c r="J2779" t="s">
        <v>55</v>
      </c>
      <c r="K2779" t="s">
        <v>93</v>
      </c>
      <c r="M2779" t="s">
        <v>6</v>
      </c>
    </row>
    <row r="2780" spans="2:13" hidden="1">
      <c r="B2780">
        <v>2778</v>
      </c>
      <c r="C2780">
        <v>239</v>
      </c>
      <c r="D2780">
        <v>8</v>
      </c>
      <c r="E2780">
        <v>8</v>
      </c>
      <c r="F2780">
        <v>0</v>
      </c>
      <c r="G2780" t="s">
        <v>18</v>
      </c>
      <c r="H2780" t="s">
        <v>9</v>
      </c>
      <c r="I2780" t="s">
        <v>2000</v>
      </c>
      <c r="J2780" t="s">
        <v>64</v>
      </c>
      <c r="K2780" t="s">
        <v>94</v>
      </c>
      <c r="M2780" t="s">
        <v>6</v>
      </c>
    </row>
    <row r="2781" spans="2:13" hidden="1">
      <c r="B2781">
        <v>2779</v>
      </c>
      <c r="C2781">
        <v>240</v>
      </c>
      <c r="D2781">
        <v>5</v>
      </c>
      <c r="E2781">
        <v>0</v>
      </c>
      <c r="F2781">
        <v>0</v>
      </c>
      <c r="G2781" t="s">
        <v>18</v>
      </c>
      <c r="H2781" t="s">
        <v>9</v>
      </c>
      <c r="I2781" t="s">
        <v>2005</v>
      </c>
      <c r="J2781" t="s">
        <v>54</v>
      </c>
      <c r="K2781" t="s">
        <v>2005</v>
      </c>
      <c r="M2781" t="s">
        <v>6</v>
      </c>
    </row>
    <row r="2782" spans="2:13" hidden="1">
      <c r="B2782">
        <v>2780</v>
      </c>
      <c r="C2782">
        <v>240</v>
      </c>
      <c r="D2782">
        <v>5</v>
      </c>
      <c r="E2782">
        <v>1</v>
      </c>
      <c r="F2782">
        <v>0</v>
      </c>
      <c r="G2782" t="s">
        <v>18</v>
      </c>
      <c r="H2782" t="s">
        <v>9</v>
      </c>
      <c r="I2782" t="s">
        <v>2005</v>
      </c>
      <c r="J2782" t="s">
        <v>55</v>
      </c>
      <c r="K2782" t="s">
        <v>2006</v>
      </c>
      <c r="M2782" t="s">
        <v>6</v>
      </c>
    </row>
    <row r="2783" spans="2:13" hidden="1">
      <c r="B2783">
        <v>2781</v>
      </c>
      <c r="C2783">
        <v>240</v>
      </c>
      <c r="D2783">
        <v>5</v>
      </c>
      <c r="E2783">
        <v>2</v>
      </c>
      <c r="F2783">
        <v>0</v>
      </c>
      <c r="G2783" t="s">
        <v>18</v>
      </c>
      <c r="H2783" t="s">
        <v>9</v>
      </c>
      <c r="I2783" t="s">
        <v>2005</v>
      </c>
      <c r="J2783" t="s">
        <v>55</v>
      </c>
      <c r="K2783" t="s">
        <v>1089</v>
      </c>
      <c r="M2783" t="s">
        <v>6</v>
      </c>
    </row>
    <row r="2784" spans="2:13" hidden="1">
      <c r="B2784">
        <v>2782</v>
      </c>
      <c r="C2784">
        <v>240</v>
      </c>
      <c r="D2784">
        <v>5</v>
      </c>
      <c r="E2784">
        <v>3</v>
      </c>
      <c r="F2784">
        <v>0</v>
      </c>
      <c r="G2784" t="s">
        <v>18</v>
      </c>
      <c r="H2784" t="s">
        <v>9</v>
      </c>
      <c r="I2784" t="s">
        <v>2005</v>
      </c>
      <c r="J2784" t="s">
        <v>55</v>
      </c>
      <c r="K2784" t="s">
        <v>1090</v>
      </c>
      <c r="M2784" t="s">
        <v>6</v>
      </c>
    </row>
    <row r="2785" spans="2:13" hidden="1">
      <c r="B2785">
        <v>2783</v>
      </c>
      <c r="C2785">
        <v>240</v>
      </c>
      <c r="D2785">
        <v>5</v>
      </c>
      <c r="E2785">
        <v>4</v>
      </c>
      <c r="F2785">
        <v>0</v>
      </c>
      <c r="G2785" t="s">
        <v>18</v>
      </c>
      <c r="H2785" t="s">
        <v>9</v>
      </c>
      <c r="I2785" t="s">
        <v>2005</v>
      </c>
      <c r="J2785" t="s">
        <v>55</v>
      </c>
      <c r="K2785" t="s">
        <v>93</v>
      </c>
      <c r="M2785" t="s">
        <v>6</v>
      </c>
    </row>
    <row r="2786" spans="2:13" hidden="1">
      <c r="B2786">
        <v>2784</v>
      </c>
      <c r="C2786">
        <v>240</v>
      </c>
      <c r="D2786">
        <v>5</v>
      </c>
      <c r="E2786">
        <v>5</v>
      </c>
      <c r="F2786">
        <v>0</v>
      </c>
      <c r="G2786" t="s">
        <v>18</v>
      </c>
      <c r="H2786" t="s">
        <v>9</v>
      </c>
      <c r="I2786" t="s">
        <v>2005</v>
      </c>
      <c r="J2786" t="s">
        <v>64</v>
      </c>
      <c r="K2786" t="s">
        <v>94</v>
      </c>
      <c r="M2786" t="s">
        <v>6</v>
      </c>
    </row>
    <row r="2787" spans="2:13" hidden="1">
      <c r="B2787">
        <v>2785</v>
      </c>
      <c r="C2787">
        <v>241</v>
      </c>
      <c r="D2787">
        <v>10</v>
      </c>
      <c r="E2787">
        <v>0</v>
      </c>
      <c r="F2787">
        <v>0</v>
      </c>
      <c r="G2787" t="s">
        <v>18</v>
      </c>
      <c r="H2787" t="s">
        <v>9</v>
      </c>
      <c r="I2787" t="s">
        <v>2007</v>
      </c>
      <c r="J2787" t="s">
        <v>478</v>
      </c>
      <c r="K2787" t="s">
        <v>2007</v>
      </c>
      <c r="M2787" t="s">
        <v>6</v>
      </c>
    </row>
    <row r="2788" spans="2:13" hidden="1">
      <c r="B2788">
        <v>2786</v>
      </c>
      <c r="C2788">
        <v>241</v>
      </c>
      <c r="D2788">
        <v>10</v>
      </c>
      <c r="E2788">
        <v>1</v>
      </c>
      <c r="F2788">
        <v>0</v>
      </c>
      <c r="G2788" t="s">
        <v>18</v>
      </c>
      <c r="H2788" t="s">
        <v>9</v>
      </c>
      <c r="I2788" t="s">
        <v>2007</v>
      </c>
      <c r="J2788" t="s">
        <v>479</v>
      </c>
      <c r="K2788" t="s">
        <v>2008</v>
      </c>
      <c r="M2788" t="s">
        <v>6</v>
      </c>
    </row>
    <row r="2789" spans="2:13" hidden="1">
      <c r="B2789">
        <v>2787</v>
      </c>
      <c r="C2789">
        <v>241</v>
      </c>
      <c r="D2789">
        <v>10</v>
      </c>
      <c r="E2789">
        <v>2</v>
      </c>
      <c r="F2789">
        <v>0</v>
      </c>
      <c r="G2789" t="s">
        <v>18</v>
      </c>
      <c r="H2789" t="s">
        <v>9</v>
      </c>
      <c r="I2789" t="s">
        <v>2007</v>
      </c>
      <c r="J2789" t="s">
        <v>55</v>
      </c>
      <c r="K2789" t="s">
        <v>2009</v>
      </c>
      <c r="M2789" t="s">
        <v>6</v>
      </c>
    </row>
    <row r="2790" spans="2:13" hidden="1">
      <c r="B2790">
        <v>2788</v>
      </c>
      <c r="C2790">
        <v>241</v>
      </c>
      <c r="D2790">
        <v>10</v>
      </c>
      <c r="E2790">
        <v>3</v>
      </c>
      <c r="F2790">
        <v>0</v>
      </c>
      <c r="G2790" t="s">
        <v>18</v>
      </c>
      <c r="H2790" t="s">
        <v>9</v>
      </c>
      <c r="I2790" t="s">
        <v>2007</v>
      </c>
      <c r="J2790" t="s">
        <v>55</v>
      </c>
      <c r="K2790" t="s">
        <v>2010</v>
      </c>
      <c r="M2790" t="s">
        <v>6</v>
      </c>
    </row>
    <row r="2791" spans="2:13" hidden="1">
      <c r="B2791">
        <v>2789</v>
      </c>
      <c r="C2791">
        <v>241</v>
      </c>
      <c r="D2791">
        <v>10</v>
      </c>
      <c r="E2791">
        <v>4</v>
      </c>
      <c r="F2791">
        <v>0</v>
      </c>
      <c r="G2791" t="s">
        <v>18</v>
      </c>
      <c r="H2791" t="s">
        <v>9</v>
      </c>
      <c r="I2791" t="s">
        <v>2007</v>
      </c>
      <c r="J2791" t="s">
        <v>55</v>
      </c>
      <c r="K2791" t="s">
        <v>2011</v>
      </c>
      <c r="M2791" t="s">
        <v>6</v>
      </c>
    </row>
    <row r="2792" spans="2:13" hidden="1">
      <c r="B2792">
        <v>2790</v>
      </c>
      <c r="C2792">
        <v>241</v>
      </c>
      <c r="D2792">
        <v>10</v>
      </c>
      <c r="E2792">
        <v>5</v>
      </c>
      <c r="F2792">
        <v>0</v>
      </c>
      <c r="G2792" t="s">
        <v>18</v>
      </c>
      <c r="H2792" t="s">
        <v>9</v>
      </c>
      <c r="I2792" t="s">
        <v>2007</v>
      </c>
      <c r="J2792" t="s">
        <v>55</v>
      </c>
      <c r="K2792" t="s">
        <v>2012</v>
      </c>
      <c r="M2792" t="s">
        <v>6</v>
      </c>
    </row>
    <row r="2793" spans="2:13" hidden="1">
      <c r="B2793">
        <v>2791</v>
      </c>
      <c r="C2793">
        <v>241</v>
      </c>
      <c r="D2793">
        <v>10</v>
      </c>
      <c r="E2793">
        <v>6</v>
      </c>
      <c r="F2793">
        <v>0</v>
      </c>
      <c r="G2793" t="s">
        <v>18</v>
      </c>
      <c r="H2793" t="s">
        <v>9</v>
      </c>
      <c r="I2793" t="s">
        <v>2007</v>
      </c>
      <c r="J2793" t="s">
        <v>55</v>
      </c>
      <c r="K2793" t="s">
        <v>2013</v>
      </c>
      <c r="M2793" t="s">
        <v>6</v>
      </c>
    </row>
    <row r="2794" spans="2:13" hidden="1">
      <c r="B2794">
        <v>2792</v>
      </c>
      <c r="C2794">
        <v>241</v>
      </c>
      <c r="D2794">
        <v>10</v>
      </c>
      <c r="E2794">
        <v>7</v>
      </c>
      <c r="F2794">
        <v>0</v>
      </c>
      <c r="G2794" t="s">
        <v>18</v>
      </c>
      <c r="H2794" t="s">
        <v>9</v>
      </c>
      <c r="I2794" t="s">
        <v>2007</v>
      </c>
      <c r="J2794" t="s">
        <v>55</v>
      </c>
      <c r="K2794" t="s">
        <v>2014</v>
      </c>
      <c r="M2794" t="s">
        <v>6</v>
      </c>
    </row>
    <row r="2795" spans="2:13" hidden="1">
      <c r="B2795">
        <v>2793</v>
      </c>
      <c r="C2795">
        <v>241</v>
      </c>
      <c r="D2795">
        <v>10</v>
      </c>
      <c r="E2795">
        <v>8</v>
      </c>
      <c r="F2795">
        <v>0</v>
      </c>
      <c r="G2795" t="s">
        <v>18</v>
      </c>
      <c r="H2795" t="s">
        <v>9</v>
      </c>
      <c r="I2795" t="s">
        <v>2007</v>
      </c>
      <c r="J2795" t="s">
        <v>55</v>
      </c>
      <c r="K2795" t="s">
        <v>2015</v>
      </c>
      <c r="M2795" t="s">
        <v>6</v>
      </c>
    </row>
    <row r="2796" spans="2:13" hidden="1">
      <c r="B2796">
        <v>2794</v>
      </c>
      <c r="C2796">
        <v>241</v>
      </c>
      <c r="D2796">
        <v>10</v>
      </c>
      <c r="E2796">
        <v>9</v>
      </c>
      <c r="F2796">
        <v>0</v>
      </c>
      <c r="G2796" t="s">
        <v>18</v>
      </c>
      <c r="H2796" t="s">
        <v>9</v>
      </c>
      <c r="I2796" t="s">
        <v>2007</v>
      </c>
      <c r="J2796" t="s">
        <v>479</v>
      </c>
      <c r="K2796" t="s">
        <v>2016</v>
      </c>
      <c r="M2796" t="s">
        <v>6</v>
      </c>
    </row>
    <row r="2797" spans="2:13" hidden="1">
      <c r="B2797">
        <v>2795</v>
      </c>
      <c r="C2797">
        <v>241</v>
      </c>
      <c r="D2797">
        <v>10</v>
      </c>
      <c r="E2797">
        <v>10</v>
      </c>
      <c r="F2797">
        <v>0</v>
      </c>
      <c r="G2797" t="s">
        <v>18</v>
      </c>
      <c r="H2797" t="s">
        <v>9</v>
      </c>
      <c r="I2797" t="s">
        <v>2007</v>
      </c>
      <c r="J2797" t="s">
        <v>55</v>
      </c>
      <c r="K2797" t="s">
        <v>2017</v>
      </c>
      <c r="M2797" t="s">
        <v>6</v>
      </c>
    </row>
    <row r="2798" spans="2:13" hidden="1">
      <c r="B2798">
        <v>2796</v>
      </c>
      <c r="C2798">
        <v>242</v>
      </c>
      <c r="D2798">
        <v>8</v>
      </c>
      <c r="E2798">
        <v>0</v>
      </c>
      <c r="F2798">
        <v>0</v>
      </c>
      <c r="G2798" t="s">
        <v>18</v>
      </c>
      <c r="H2798" t="s">
        <v>9</v>
      </c>
      <c r="I2798" t="s">
        <v>2018</v>
      </c>
      <c r="J2798" t="s">
        <v>54</v>
      </c>
      <c r="K2798" t="s">
        <v>2018</v>
      </c>
      <c r="M2798" t="s">
        <v>6</v>
      </c>
    </row>
    <row r="2799" spans="2:13" hidden="1">
      <c r="B2799">
        <v>2797</v>
      </c>
      <c r="C2799">
        <v>242</v>
      </c>
      <c r="D2799">
        <v>8</v>
      </c>
      <c r="E2799">
        <v>1</v>
      </c>
      <c r="F2799">
        <v>0</v>
      </c>
      <c r="G2799" t="s">
        <v>18</v>
      </c>
      <c r="H2799" t="s">
        <v>9</v>
      </c>
      <c r="I2799" t="s">
        <v>2018</v>
      </c>
      <c r="J2799" t="s">
        <v>55</v>
      </c>
      <c r="K2799" t="s">
        <v>2019</v>
      </c>
      <c r="M2799" t="s">
        <v>6</v>
      </c>
    </row>
    <row r="2800" spans="2:13" hidden="1">
      <c r="B2800">
        <v>2798</v>
      </c>
      <c r="C2800">
        <v>242</v>
      </c>
      <c r="D2800">
        <v>8</v>
      </c>
      <c r="E2800">
        <v>2</v>
      </c>
      <c r="F2800">
        <v>0</v>
      </c>
      <c r="G2800" t="s">
        <v>18</v>
      </c>
      <c r="H2800" t="s">
        <v>9</v>
      </c>
      <c r="I2800" t="s">
        <v>2018</v>
      </c>
      <c r="J2800" t="s">
        <v>55</v>
      </c>
      <c r="K2800" t="s">
        <v>1722</v>
      </c>
      <c r="M2800" t="s">
        <v>6</v>
      </c>
    </row>
    <row r="2801" spans="2:13" hidden="1">
      <c r="B2801">
        <v>2799</v>
      </c>
      <c r="C2801">
        <v>242</v>
      </c>
      <c r="D2801">
        <v>8</v>
      </c>
      <c r="E2801">
        <v>3</v>
      </c>
      <c r="F2801">
        <v>0</v>
      </c>
      <c r="G2801" t="s">
        <v>18</v>
      </c>
      <c r="H2801" t="s">
        <v>9</v>
      </c>
      <c r="I2801" t="s">
        <v>2018</v>
      </c>
      <c r="J2801" t="s">
        <v>55</v>
      </c>
      <c r="K2801" t="s">
        <v>1723</v>
      </c>
      <c r="M2801" t="s">
        <v>6</v>
      </c>
    </row>
    <row r="2802" spans="2:13" hidden="1">
      <c r="B2802">
        <v>2800</v>
      </c>
      <c r="C2802">
        <v>242</v>
      </c>
      <c r="D2802">
        <v>8</v>
      </c>
      <c r="E2802">
        <v>4</v>
      </c>
      <c r="F2802">
        <v>0</v>
      </c>
      <c r="G2802" t="s">
        <v>18</v>
      </c>
      <c r="H2802" t="s">
        <v>9</v>
      </c>
      <c r="I2802" t="s">
        <v>2018</v>
      </c>
      <c r="J2802" t="s">
        <v>55</v>
      </c>
      <c r="K2802" t="s">
        <v>2020</v>
      </c>
      <c r="M2802" t="s">
        <v>6</v>
      </c>
    </row>
    <row r="2803" spans="2:13" hidden="1">
      <c r="B2803">
        <v>2801</v>
      </c>
      <c r="C2803">
        <v>242</v>
      </c>
      <c r="D2803">
        <v>8</v>
      </c>
      <c r="E2803">
        <v>5</v>
      </c>
      <c r="F2803">
        <v>0</v>
      </c>
      <c r="G2803" t="s">
        <v>18</v>
      </c>
      <c r="H2803" t="s">
        <v>9</v>
      </c>
      <c r="I2803" t="s">
        <v>2018</v>
      </c>
      <c r="J2803" t="s">
        <v>55</v>
      </c>
      <c r="K2803" t="s">
        <v>2021</v>
      </c>
      <c r="M2803" t="s">
        <v>6</v>
      </c>
    </row>
    <row r="2804" spans="2:13" hidden="1">
      <c r="B2804">
        <v>2802</v>
      </c>
      <c r="C2804">
        <v>242</v>
      </c>
      <c r="D2804">
        <v>8</v>
      </c>
      <c r="E2804">
        <v>6</v>
      </c>
      <c r="F2804">
        <v>0</v>
      </c>
      <c r="G2804" t="s">
        <v>18</v>
      </c>
      <c r="H2804" t="s">
        <v>9</v>
      </c>
      <c r="I2804" t="s">
        <v>2018</v>
      </c>
      <c r="J2804" t="s">
        <v>55</v>
      </c>
      <c r="K2804" t="s">
        <v>2022</v>
      </c>
      <c r="M2804" t="s">
        <v>6</v>
      </c>
    </row>
    <row r="2805" spans="2:13" hidden="1">
      <c r="B2805">
        <v>2803</v>
      </c>
      <c r="C2805">
        <v>242</v>
      </c>
      <c r="D2805">
        <v>8</v>
      </c>
      <c r="E2805">
        <v>7</v>
      </c>
      <c r="F2805">
        <v>0</v>
      </c>
      <c r="G2805" t="s">
        <v>18</v>
      </c>
      <c r="H2805" t="s">
        <v>9</v>
      </c>
      <c r="I2805" t="s">
        <v>2018</v>
      </c>
      <c r="J2805" t="s">
        <v>55</v>
      </c>
      <c r="K2805" t="s">
        <v>93</v>
      </c>
      <c r="M2805" t="s">
        <v>6</v>
      </c>
    </row>
    <row r="2806" spans="2:13" hidden="1">
      <c r="B2806">
        <v>2804</v>
      </c>
      <c r="C2806">
        <v>242</v>
      </c>
      <c r="D2806">
        <v>8</v>
      </c>
      <c r="E2806">
        <v>8</v>
      </c>
      <c r="F2806">
        <v>0</v>
      </c>
      <c r="G2806" t="s">
        <v>18</v>
      </c>
      <c r="H2806" t="s">
        <v>9</v>
      </c>
      <c r="I2806" t="s">
        <v>2018</v>
      </c>
      <c r="J2806" t="s">
        <v>64</v>
      </c>
      <c r="K2806" t="s">
        <v>94</v>
      </c>
      <c r="M2806" t="s">
        <v>6</v>
      </c>
    </row>
    <row r="2807" spans="2:13" hidden="1">
      <c r="B2807">
        <v>2805</v>
      </c>
      <c r="C2807">
        <v>243</v>
      </c>
      <c r="D2807">
        <v>20</v>
      </c>
      <c r="E2807">
        <v>0</v>
      </c>
      <c r="F2807">
        <v>0</v>
      </c>
      <c r="G2807" t="s">
        <v>2023</v>
      </c>
      <c r="H2807" t="s">
        <v>52</v>
      </c>
      <c r="I2807" t="s">
        <v>2024</v>
      </c>
      <c r="J2807" t="s">
        <v>478</v>
      </c>
      <c r="K2807" t="s">
        <v>2024</v>
      </c>
      <c r="M2807" t="s">
        <v>6</v>
      </c>
    </row>
    <row r="2808" spans="2:13" hidden="1">
      <c r="B2808">
        <v>2806</v>
      </c>
      <c r="C2808">
        <v>243</v>
      </c>
      <c r="D2808">
        <v>20</v>
      </c>
      <c r="E2808">
        <v>1</v>
      </c>
      <c r="F2808">
        <v>0</v>
      </c>
      <c r="G2808" t="s">
        <v>2023</v>
      </c>
      <c r="H2808" t="s">
        <v>52</v>
      </c>
      <c r="I2808" t="s">
        <v>2024</v>
      </c>
      <c r="J2808" t="s">
        <v>55</v>
      </c>
      <c r="K2808" t="s">
        <v>2025</v>
      </c>
      <c r="M2808" t="s">
        <v>6</v>
      </c>
    </row>
    <row r="2809" spans="2:13" hidden="1">
      <c r="B2809">
        <v>2807</v>
      </c>
      <c r="C2809">
        <v>243</v>
      </c>
      <c r="D2809">
        <v>20</v>
      </c>
      <c r="E2809">
        <v>2</v>
      </c>
      <c r="F2809">
        <v>0</v>
      </c>
      <c r="G2809" t="s">
        <v>2023</v>
      </c>
      <c r="H2809" t="s">
        <v>52</v>
      </c>
      <c r="I2809" t="s">
        <v>2024</v>
      </c>
      <c r="J2809" t="s">
        <v>55</v>
      </c>
      <c r="K2809" t="s">
        <v>429</v>
      </c>
      <c r="M2809" t="s">
        <v>6</v>
      </c>
    </row>
    <row r="2810" spans="2:13" hidden="1">
      <c r="B2810">
        <v>2808</v>
      </c>
      <c r="C2810">
        <v>243</v>
      </c>
      <c r="D2810">
        <v>20</v>
      </c>
      <c r="E2810">
        <v>3</v>
      </c>
      <c r="F2810">
        <v>0</v>
      </c>
      <c r="G2810" t="s">
        <v>2023</v>
      </c>
      <c r="H2810" t="s">
        <v>52</v>
      </c>
      <c r="I2810" t="s">
        <v>2024</v>
      </c>
      <c r="J2810" t="s">
        <v>55</v>
      </c>
      <c r="K2810" t="s">
        <v>430</v>
      </c>
      <c r="M2810" t="s">
        <v>6</v>
      </c>
    </row>
    <row r="2811" spans="2:13" hidden="1">
      <c r="B2811">
        <v>2809</v>
      </c>
      <c r="C2811">
        <v>243</v>
      </c>
      <c r="D2811">
        <v>20</v>
      </c>
      <c r="E2811">
        <v>4</v>
      </c>
      <c r="F2811">
        <v>0</v>
      </c>
      <c r="G2811" t="s">
        <v>2023</v>
      </c>
      <c r="H2811" t="s">
        <v>52</v>
      </c>
      <c r="I2811" t="s">
        <v>2024</v>
      </c>
      <c r="J2811" t="s">
        <v>55</v>
      </c>
      <c r="K2811" t="s">
        <v>2026</v>
      </c>
      <c r="M2811" t="s">
        <v>6</v>
      </c>
    </row>
    <row r="2812" spans="2:13" hidden="1">
      <c r="B2812">
        <v>2810</v>
      </c>
      <c r="C2812">
        <v>243</v>
      </c>
      <c r="D2812">
        <v>20</v>
      </c>
      <c r="E2812">
        <v>5</v>
      </c>
      <c r="F2812">
        <v>0</v>
      </c>
      <c r="G2812" t="s">
        <v>2023</v>
      </c>
      <c r="H2812" t="s">
        <v>52</v>
      </c>
      <c r="I2812" t="s">
        <v>2024</v>
      </c>
      <c r="J2812" t="s">
        <v>55</v>
      </c>
      <c r="K2812" t="s">
        <v>587</v>
      </c>
      <c r="M2812" t="s">
        <v>6</v>
      </c>
    </row>
    <row r="2813" spans="2:13" hidden="1">
      <c r="B2813">
        <v>2811</v>
      </c>
      <c r="C2813">
        <v>243</v>
      </c>
      <c r="D2813">
        <v>20</v>
      </c>
      <c r="E2813">
        <v>6</v>
      </c>
      <c r="F2813">
        <v>0</v>
      </c>
      <c r="G2813" t="s">
        <v>2023</v>
      </c>
      <c r="H2813" t="s">
        <v>52</v>
      </c>
      <c r="I2813" t="s">
        <v>2024</v>
      </c>
      <c r="J2813" t="s">
        <v>55</v>
      </c>
      <c r="K2813" t="s">
        <v>588</v>
      </c>
      <c r="M2813" t="s">
        <v>6</v>
      </c>
    </row>
    <row r="2814" spans="2:13" hidden="1">
      <c r="B2814">
        <v>2812</v>
      </c>
      <c r="C2814">
        <v>243</v>
      </c>
      <c r="D2814">
        <v>20</v>
      </c>
      <c r="E2814">
        <v>7</v>
      </c>
      <c r="F2814">
        <v>0</v>
      </c>
      <c r="G2814" t="s">
        <v>2023</v>
      </c>
      <c r="H2814" t="s">
        <v>52</v>
      </c>
      <c r="I2814" t="s">
        <v>2024</v>
      </c>
      <c r="J2814" t="s">
        <v>55</v>
      </c>
      <c r="K2814" t="s">
        <v>589</v>
      </c>
      <c r="M2814" t="s">
        <v>6</v>
      </c>
    </row>
    <row r="2815" spans="2:13" hidden="1">
      <c r="B2815">
        <v>2813</v>
      </c>
      <c r="C2815">
        <v>243</v>
      </c>
      <c r="D2815">
        <v>20</v>
      </c>
      <c r="E2815">
        <v>8</v>
      </c>
      <c r="F2815">
        <v>0</v>
      </c>
      <c r="G2815" t="s">
        <v>2023</v>
      </c>
      <c r="H2815" t="s">
        <v>52</v>
      </c>
      <c r="I2815" t="s">
        <v>2024</v>
      </c>
      <c r="J2815" t="s">
        <v>55</v>
      </c>
      <c r="K2815" t="s">
        <v>590</v>
      </c>
      <c r="M2815" t="s">
        <v>6</v>
      </c>
    </row>
    <row r="2816" spans="2:13" hidden="1">
      <c r="B2816">
        <v>2814</v>
      </c>
      <c r="C2816">
        <v>243</v>
      </c>
      <c r="D2816">
        <v>20</v>
      </c>
      <c r="E2816">
        <v>9</v>
      </c>
      <c r="F2816">
        <v>0</v>
      </c>
      <c r="G2816" t="s">
        <v>2023</v>
      </c>
      <c r="H2816" t="s">
        <v>52</v>
      </c>
      <c r="I2816" t="s">
        <v>2024</v>
      </c>
      <c r="J2816" t="s">
        <v>55</v>
      </c>
      <c r="K2816" t="s">
        <v>2027</v>
      </c>
      <c r="M2816" t="s">
        <v>6</v>
      </c>
    </row>
    <row r="2817" spans="2:13" hidden="1">
      <c r="B2817">
        <v>2815</v>
      </c>
      <c r="C2817">
        <v>243</v>
      </c>
      <c r="D2817">
        <v>20</v>
      </c>
      <c r="E2817">
        <v>10</v>
      </c>
      <c r="F2817">
        <v>0</v>
      </c>
      <c r="G2817" t="s">
        <v>2023</v>
      </c>
      <c r="H2817" t="s">
        <v>52</v>
      </c>
      <c r="I2817" t="s">
        <v>2024</v>
      </c>
      <c r="J2817" t="s">
        <v>55</v>
      </c>
      <c r="K2817" t="s">
        <v>2028</v>
      </c>
      <c r="M2817" t="s">
        <v>6</v>
      </c>
    </row>
    <row r="2818" spans="2:13" hidden="1">
      <c r="B2818">
        <v>2816</v>
      </c>
      <c r="C2818">
        <v>243</v>
      </c>
      <c r="D2818">
        <v>20</v>
      </c>
      <c r="E2818">
        <v>11</v>
      </c>
      <c r="F2818">
        <v>0</v>
      </c>
      <c r="G2818" t="s">
        <v>2023</v>
      </c>
      <c r="H2818" t="s">
        <v>52</v>
      </c>
      <c r="I2818" t="s">
        <v>2024</v>
      </c>
      <c r="J2818" t="s">
        <v>55</v>
      </c>
      <c r="K2818" t="s">
        <v>2029</v>
      </c>
      <c r="M2818" t="s">
        <v>6</v>
      </c>
    </row>
    <row r="2819" spans="2:13" hidden="1">
      <c r="B2819">
        <v>2817</v>
      </c>
      <c r="C2819">
        <v>243</v>
      </c>
      <c r="D2819">
        <v>20</v>
      </c>
      <c r="E2819">
        <v>12</v>
      </c>
      <c r="F2819">
        <v>0</v>
      </c>
      <c r="G2819" t="s">
        <v>2023</v>
      </c>
      <c r="H2819" t="s">
        <v>52</v>
      </c>
      <c r="I2819" t="s">
        <v>2024</v>
      </c>
      <c r="J2819" t="s">
        <v>55</v>
      </c>
      <c r="K2819" t="s">
        <v>2030</v>
      </c>
      <c r="M2819" t="s">
        <v>6</v>
      </c>
    </row>
    <row r="2820" spans="2:13" hidden="1">
      <c r="B2820">
        <v>2818</v>
      </c>
      <c r="C2820">
        <v>243</v>
      </c>
      <c r="D2820">
        <v>20</v>
      </c>
      <c r="E2820">
        <v>13</v>
      </c>
      <c r="F2820">
        <v>0</v>
      </c>
      <c r="G2820" t="s">
        <v>2023</v>
      </c>
      <c r="H2820" t="s">
        <v>52</v>
      </c>
      <c r="I2820" t="s">
        <v>2024</v>
      </c>
      <c r="J2820" t="s">
        <v>55</v>
      </c>
      <c r="K2820" t="s">
        <v>2031</v>
      </c>
      <c r="M2820" t="s">
        <v>6</v>
      </c>
    </row>
    <row r="2821" spans="2:13" hidden="1">
      <c r="B2821">
        <v>2819</v>
      </c>
      <c r="C2821">
        <v>243</v>
      </c>
      <c r="D2821">
        <v>20</v>
      </c>
      <c r="E2821">
        <v>14</v>
      </c>
      <c r="F2821">
        <v>0</v>
      </c>
      <c r="G2821" t="s">
        <v>2023</v>
      </c>
      <c r="H2821" t="s">
        <v>52</v>
      </c>
      <c r="I2821" t="s">
        <v>2024</v>
      </c>
      <c r="J2821" t="s">
        <v>437</v>
      </c>
      <c r="K2821" t="s">
        <v>438</v>
      </c>
      <c r="L2821" t="s">
        <v>439</v>
      </c>
      <c r="M2821" t="s">
        <v>6</v>
      </c>
    </row>
    <row r="2822" spans="2:13" hidden="1">
      <c r="B2822">
        <v>2820</v>
      </c>
      <c r="C2822">
        <v>243</v>
      </c>
      <c r="D2822">
        <v>20</v>
      </c>
      <c r="E2822">
        <v>15</v>
      </c>
      <c r="F2822">
        <v>0</v>
      </c>
      <c r="G2822" t="s">
        <v>2023</v>
      </c>
      <c r="H2822" t="s">
        <v>52</v>
      </c>
      <c r="I2822" t="s">
        <v>2024</v>
      </c>
      <c r="J2822" t="s">
        <v>64</v>
      </c>
      <c r="K2822" t="s">
        <v>440</v>
      </c>
      <c r="M2822" t="s">
        <v>6</v>
      </c>
    </row>
    <row r="2823" spans="2:13" hidden="1">
      <c r="B2823">
        <v>2821</v>
      </c>
      <c r="C2823">
        <v>243</v>
      </c>
      <c r="D2823">
        <v>20</v>
      </c>
      <c r="E2823">
        <v>16</v>
      </c>
      <c r="F2823">
        <v>0</v>
      </c>
      <c r="G2823" t="s">
        <v>2023</v>
      </c>
      <c r="H2823" t="s">
        <v>52</v>
      </c>
      <c r="I2823" t="s">
        <v>2024</v>
      </c>
      <c r="J2823" t="s">
        <v>55</v>
      </c>
      <c r="K2823" t="s">
        <v>2032</v>
      </c>
      <c r="M2823" t="s">
        <v>6</v>
      </c>
    </row>
    <row r="2824" spans="2:13" hidden="1">
      <c r="B2824">
        <v>2822</v>
      </c>
      <c r="C2824">
        <v>243</v>
      </c>
      <c r="D2824">
        <v>20</v>
      </c>
      <c r="E2824">
        <v>17</v>
      </c>
      <c r="F2824">
        <v>0</v>
      </c>
      <c r="G2824" t="s">
        <v>2023</v>
      </c>
      <c r="H2824" t="s">
        <v>52</v>
      </c>
      <c r="I2824" t="s">
        <v>2024</v>
      </c>
      <c r="J2824" t="s">
        <v>437</v>
      </c>
      <c r="K2824" t="s">
        <v>438</v>
      </c>
      <c r="L2824" t="s">
        <v>439</v>
      </c>
      <c r="M2824" t="s">
        <v>6</v>
      </c>
    </row>
    <row r="2825" spans="2:13" hidden="1">
      <c r="B2825">
        <v>2823</v>
      </c>
      <c r="C2825">
        <v>243</v>
      </c>
      <c r="D2825">
        <v>20</v>
      </c>
      <c r="E2825">
        <v>18</v>
      </c>
      <c r="F2825">
        <v>0</v>
      </c>
      <c r="G2825" t="s">
        <v>2023</v>
      </c>
      <c r="H2825" t="s">
        <v>52</v>
      </c>
      <c r="I2825" t="s">
        <v>2024</v>
      </c>
      <c r="J2825" t="s">
        <v>64</v>
      </c>
      <c r="K2825" t="s">
        <v>440</v>
      </c>
      <c r="M2825" t="s">
        <v>6</v>
      </c>
    </row>
    <row r="2826" spans="2:13" hidden="1">
      <c r="B2826">
        <v>2824</v>
      </c>
      <c r="C2826">
        <v>243</v>
      </c>
      <c r="D2826">
        <v>20</v>
      </c>
      <c r="E2826">
        <v>19</v>
      </c>
      <c r="F2826">
        <v>0</v>
      </c>
      <c r="G2826" t="s">
        <v>2023</v>
      </c>
      <c r="H2826" t="s">
        <v>52</v>
      </c>
      <c r="I2826" t="s">
        <v>2024</v>
      </c>
      <c r="J2826" t="s">
        <v>214</v>
      </c>
      <c r="K2826" t="s">
        <v>443</v>
      </c>
      <c r="M2826" t="s">
        <v>6</v>
      </c>
    </row>
    <row r="2827" spans="2:13" hidden="1">
      <c r="B2827">
        <v>2825</v>
      </c>
      <c r="C2827">
        <v>243</v>
      </c>
      <c r="D2827">
        <v>20</v>
      </c>
      <c r="E2827">
        <v>20</v>
      </c>
      <c r="F2827">
        <v>0</v>
      </c>
      <c r="G2827" t="s">
        <v>2023</v>
      </c>
      <c r="H2827" t="s">
        <v>52</v>
      </c>
      <c r="I2827" t="s">
        <v>2024</v>
      </c>
      <c r="J2827" t="s">
        <v>55</v>
      </c>
      <c r="K2827" t="s">
        <v>442</v>
      </c>
      <c r="M2827" t="s">
        <v>6</v>
      </c>
    </row>
    <row r="2828" spans="2:13" hidden="1">
      <c r="B2828">
        <v>2826</v>
      </c>
      <c r="C2828">
        <v>244</v>
      </c>
      <c r="D2828">
        <v>28</v>
      </c>
      <c r="E2828">
        <v>0</v>
      </c>
      <c r="F2828">
        <v>0</v>
      </c>
      <c r="G2828" t="s">
        <v>2023</v>
      </c>
      <c r="H2828" t="s">
        <v>52</v>
      </c>
      <c r="I2828" t="s">
        <v>2033</v>
      </c>
      <c r="J2828" t="s">
        <v>478</v>
      </c>
      <c r="K2828" t="s">
        <v>2033</v>
      </c>
      <c r="M2828" t="s">
        <v>6</v>
      </c>
    </row>
    <row r="2829" spans="2:13" hidden="1">
      <c r="B2829">
        <v>2827</v>
      </c>
      <c r="C2829">
        <v>244</v>
      </c>
      <c r="D2829">
        <v>28</v>
      </c>
      <c r="E2829">
        <v>1</v>
      </c>
      <c r="F2829">
        <v>0</v>
      </c>
      <c r="G2829" t="s">
        <v>2023</v>
      </c>
      <c r="H2829" t="s">
        <v>52</v>
      </c>
      <c r="I2829" t="s">
        <v>2033</v>
      </c>
      <c r="J2829" t="s">
        <v>479</v>
      </c>
      <c r="K2829" t="s">
        <v>2034</v>
      </c>
      <c r="M2829" t="s">
        <v>6</v>
      </c>
    </row>
    <row r="2830" spans="2:13" hidden="1">
      <c r="B2830">
        <v>2828</v>
      </c>
      <c r="C2830">
        <v>244</v>
      </c>
      <c r="D2830">
        <v>28</v>
      </c>
      <c r="E2830">
        <v>2</v>
      </c>
      <c r="F2830">
        <v>0</v>
      </c>
      <c r="G2830" t="s">
        <v>2023</v>
      </c>
      <c r="H2830" t="s">
        <v>52</v>
      </c>
      <c r="I2830" t="s">
        <v>2033</v>
      </c>
      <c r="J2830" t="s">
        <v>55</v>
      </c>
      <c r="K2830" t="s">
        <v>429</v>
      </c>
      <c r="M2830" t="s">
        <v>6</v>
      </c>
    </row>
    <row r="2831" spans="2:13" hidden="1">
      <c r="B2831">
        <v>2829</v>
      </c>
      <c r="C2831">
        <v>244</v>
      </c>
      <c r="D2831">
        <v>28</v>
      </c>
      <c r="E2831">
        <v>3</v>
      </c>
      <c r="F2831">
        <v>0</v>
      </c>
      <c r="G2831" t="s">
        <v>2023</v>
      </c>
      <c r="H2831" t="s">
        <v>52</v>
      </c>
      <c r="I2831" t="s">
        <v>2033</v>
      </c>
      <c r="J2831" t="s">
        <v>55</v>
      </c>
      <c r="K2831" t="s">
        <v>430</v>
      </c>
      <c r="M2831" t="s">
        <v>6</v>
      </c>
    </row>
    <row r="2832" spans="2:13" hidden="1">
      <c r="B2832">
        <v>2830</v>
      </c>
      <c r="C2832">
        <v>244</v>
      </c>
      <c r="D2832">
        <v>28</v>
      </c>
      <c r="E2832">
        <v>4</v>
      </c>
      <c r="F2832">
        <v>0</v>
      </c>
      <c r="G2832" t="s">
        <v>2023</v>
      </c>
      <c r="H2832" t="s">
        <v>52</v>
      </c>
      <c r="I2832" t="s">
        <v>2033</v>
      </c>
      <c r="J2832" t="s">
        <v>55</v>
      </c>
      <c r="K2832" t="s">
        <v>2035</v>
      </c>
      <c r="M2832" t="s">
        <v>6</v>
      </c>
    </row>
    <row r="2833" spans="2:13" hidden="1">
      <c r="B2833">
        <v>2831</v>
      </c>
      <c r="C2833">
        <v>244</v>
      </c>
      <c r="D2833">
        <v>28</v>
      </c>
      <c r="E2833">
        <v>5</v>
      </c>
      <c r="F2833">
        <v>0</v>
      </c>
      <c r="G2833" t="s">
        <v>2023</v>
      </c>
      <c r="H2833" t="s">
        <v>52</v>
      </c>
      <c r="I2833" t="s">
        <v>2033</v>
      </c>
      <c r="J2833" t="s">
        <v>214</v>
      </c>
      <c r="K2833" t="s">
        <v>2036</v>
      </c>
      <c r="M2833" t="s">
        <v>6</v>
      </c>
    </row>
    <row r="2834" spans="2:13" hidden="1">
      <c r="B2834">
        <v>2832</v>
      </c>
      <c r="C2834">
        <v>244</v>
      </c>
      <c r="D2834">
        <v>28</v>
      </c>
      <c r="E2834">
        <v>6</v>
      </c>
      <c r="F2834">
        <v>0</v>
      </c>
      <c r="G2834" t="s">
        <v>2023</v>
      </c>
      <c r="H2834" t="s">
        <v>52</v>
      </c>
      <c r="I2834" t="s">
        <v>2033</v>
      </c>
      <c r="J2834" t="s">
        <v>214</v>
      </c>
      <c r="K2834" t="s">
        <v>1618</v>
      </c>
      <c r="M2834" t="s">
        <v>6</v>
      </c>
    </row>
    <row r="2835" spans="2:13" hidden="1">
      <c r="B2835">
        <v>2833</v>
      </c>
      <c r="C2835">
        <v>244</v>
      </c>
      <c r="D2835">
        <v>28</v>
      </c>
      <c r="E2835">
        <v>7</v>
      </c>
      <c r="F2835">
        <v>0</v>
      </c>
      <c r="G2835" t="s">
        <v>2023</v>
      </c>
      <c r="H2835" t="s">
        <v>52</v>
      </c>
      <c r="I2835" t="s">
        <v>2033</v>
      </c>
      <c r="J2835" t="s">
        <v>214</v>
      </c>
      <c r="K2835" t="s">
        <v>1619</v>
      </c>
      <c r="M2835" t="s">
        <v>6</v>
      </c>
    </row>
    <row r="2836" spans="2:13" hidden="1">
      <c r="B2836">
        <v>2834</v>
      </c>
      <c r="C2836">
        <v>244</v>
      </c>
      <c r="D2836">
        <v>28</v>
      </c>
      <c r="E2836">
        <v>8</v>
      </c>
      <c r="F2836">
        <v>0</v>
      </c>
      <c r="G2836" t="s">
        <v>2023</v>
      </c>
      <c r="H2836" t="s">
        <v>52</v>
      </c>
      <c r="I2836" t="s">
        <v>2033</v>
      </c>
      <c r="J2836" t="s">
        <v>214</v>
      </c>
      <c r="K2836" t="s">
        <v>1620</v>
      </c>
      <c r="M2836" t="s">
        <v>6</v>
      </c>
    </row>
    <row r="2837" spans="2:13" hidden="1">
      <c r="B2837">
        <v>2835</v>
      </c>
      <c r="C2837">
        <v>244</v>
      </c>
      <c r="D2837">
        <v>28</v>
      </c>
      <c r="E2837">
        <v>9</v>
      </c>
      <c r="F2837">
        <v>0</v>
      </c>
      <c r="G2837" t="s">
        <v>2023</v>
      </c>
      <c r="H2837" t="s">
        <v>52</v>
      </c>
      <c r="I2837" t="s">
        <v>2033</v>
      </c>
      <c r="J2837" t="s">
        <v>214</v>
      </c>
      <c r="K2837" t="s">
        <v>443</v>
      </c>
      <c r="M2837" t="s">
        <v>6</v>
      </c>
    </row>
    <row r="2838" spans="2:13" hidden="1">
      <c r="B2838">
        <v>2836</v>
      </c>
      <c r="C2838">
        <v>244</v>
      </c>
      <c r="D2838">
        <v>28</v>
      </c>
      <c r="E2838">
        <v>10</v>
      </c>
      <c r="F2838">
        <v>0</v>
      </c>
      <c r="G2838" t="s">
        <v>2023</v>
      </c>
      <c r="H2838" t="s">
        <v>52</v>
      </c>
      <c r="I2838" t="s">
        <v>2033</v>
      </c>
      <c r="J2838" t="s">
        <v>55</v>
      </c>
      <c r="K2838" t="s">
        <v>442</v>
      </c>
      <c r="M2838" t="s">
        <v>6</v>
      </c>
    </row>
    <row r="2839" spans="2:13" hidden="1">
      <c r="B2839">
        <v>2837</v>
      </c>
      <c r="C2839">
        <v>244</v>
      </c>
      <c r="D2839">
        <v>28</v>
      </c>
      <c r="E2839">
        <v>11</v>
      </c>
      <c r="F2839">
        <v>0</v>
      </c>
      <c r="G2839" t="s">
        <v>2023</v>
      </c>
      <c r="H2839" t="s">
        <v>52</v>
      </c>
      <c r="I2839" t="s">
        <v>2033</v>
      </c>
      <c r="J2839" t="s">
        <v>64</v>
      </c>
      <c r="K2839" t="s">
        <v>440</v>
      </c>
      <c r="M2839" t="s">
        <v>6</v>
      </c>
    </row>
    <row r="2840" spans="2:13" hidden="1">
      <c r="B2840">
        <v>2838</v>
      </c>
      <c r="C2840">
        <v>244</v>
      </c>
      <c r="D2840">
        <v>28</v>
      </c>
      <c r="E2840">
        <v>12</v>
      </c>
      <c r="F2840">
        <v>0</v>
      </c>
      <c r="G2840" t="s">
        <v>2023</v>
      </c>
      <c r="H2840" t="s">
        <v>52</v>
      </c>
      <c r="I2840" t="s">
        <v>2033</v>
      </c>
      <c r="J2840" t="s">
        <v>479</v>
      </c>
      <c r="K2840" t="s">
        <v>2037</v>
      </c>
      <c r="M2840" t="s">
        <v>6</v>
      </c>
    </row>
    <row r="2841" spans="2:13" hidden="1">
      <c r="B2841">
        <v>2839</v>
      </c>
      <c r="C2841">
        <v>244</v>
      </c>
      <c r="D2841">
        <v>28</v>
      </c>
      <c r="E2841">
        <v>13</v>
      </c>
      <c r="F2841">
        <v>0</v>
      </c>
      <c r="G2841" t="s">
        <v>2023</v>
      </c>
      <c r="H2841" t="s">
        <v>52</v>
      </c>
      <c r="I2841" t="s">
        <v>2033</v>
      </c>
      <c r="J2841" t="s">
        <v>55</v>
      </c>
      <c r="K2841" t="s">
        <v>429</v>
      </c>
      <c r="M2841" t="s">
        <v>6</v>
      </c>
    </row>
    <row r="2842" spans="2:13" hidden="1">
      <c r="B2842">
        <v>2840</v>
      </c>
      <c r="C2842">
        <v>244</v>
      </c>
      <c r="D2842">
        <v>28</v>
      </c>
      <c r="E2842">
        <v>14</v>
      </c>
      <c r="F2842">
        <v>0</v>
      </c>
      <c r="G2842" t="s">
        <v>2023</v>
      </c>
      <c r="H2842" t="s">
        <v>52</v>
      </c>
      <c r="I2842" t="s">
        <v>2033</v>
      </c>
      <c r="J2842" t="s">
        <v>55</v>
      </c>
      <c r="K2842" t="s">
        <v>430</v>
      </c>
      <c r="M2842" t="s">
        <v>6</v>
      </c>
    </row>
    <row r="2843" spans="2:13" hidden="1">
      <c r="B2843">
        <v>2841</v>
      </c>
      <c r="C2843">
        <v>244</v>
      </c>
      <c r="D2843">
        <v>28</v>
      </c>
      <c r="E2843">
        <v>15</v>
      </c>
      <c r="F2843">
        <v>0</v>
      </c>
      <c r="G2843" t="s">
        <v>2023</v>
      </c>
      <c r="H2843" t="s">
        <v>52</v>
      </c>
      <c r="I2843" t="s">
        <v>2033</v>
      </c>
      <c r="J2843" t="s">
        <v>55</v>
      </c>
      <c r="K2843" t="s">
        <v>2038</v>
      </c>
      <c r="M2843" t="s">
        <v>6</v>
      </c>
    </row>
    <row r="2844" spans="2:13" hidden="1">
      <c r="B2844">
        <v>2842</v>
      </c>
      <c r="C2844">
        <v>244</v>
      </c>
      <c r="D2844">
        <v>28</v>
      </c>
      <c r="E2844">
        <v>16</v>
      </c>
      <c r="F2844">
        <v>0</v>
      </c>
      <c r="G2844" t="s">
        <v>2023</v>
      </c>
      <c r="H2844" t="s">
        <v>52</v>
      </c>
      <c r="I2844" t="s">
        <v>2033</v>
      </c>
      <c r="J2844" t="s">
        <v>437</v>
      </c>
      <c r="K2844" t="s">
        <v>2039</v>
      </c>
      <c r="L2844" t="s">
        <v>2040</v>
      </c>
      <c r="M2844" t="s">
        <v>6</v>
      </c>
    </row>
    <row r="2845" spans="2:13" hidden="1">
      <c r="B2845">
        <v>2843</v>
      </c>
      <c r="C2845">
        <v>244</v>
      </c>
      <c r="D2845">
        <v>28</v>
      </c>
      <c r="E2845">
        <v>17</v>
      </c>
      <c r="F2845">
        <v>0</v>
      </c>
      <c r="G2845" t="s">
        <v>2023</v>
      </c>
      <c r="H2845" t="s">
        <v>52</v>
      </c>
      <c r="I2845" t="s">
        <v>2033</v>
      </c>
      <c r="J2845" t="s">
        <v>437</v>
      </c>
      <c r="K2845" t="s">
        <v>2041</v>
      </c>
      <c r="L2845" t="s">
        <v>2040</v>
      </c>
      <c r="M2845" t="s">
        <v>6</v>
      </c>
    </row>
    <row r="2846" spans="2:13" hidden="1">
      <c r="B2846">
        <v>2844</v>
      </c>
      <c r="C2846">
        <v>244</v>
      </c>
      <c r="D2846">
        <v>28</v>
      </c>
      <c r="E2846">
        <v>18</v>
      </c>
      <c r="F2846">
        <v>0</v>
      </c>
      <c r="G2846" t="s">
        <v>2023</v>
      </c>
      <c r="H2846" t="s">
        <v>52</v>
      </c>
      <c r="I2846" t="s">
        <v>2033</v>
      </c>
      <c r="J2846" t="s">
        <v>437</v>
      </c>
      <c r="K2846" t="s">
        <v>2042</v>
      </c>
      <c r="L2846" t="s">
        <v>2040</v>
      </c>
      <c r="M2846" t="s">
        <v>6</v>
      </c>
    </row>
    <row r="2847" spans="2:13" hidden="1">
      <c r="B2847">
        <v>2845</v>
      </c>
      <c r="C2847">
        <v>244</v>
      </c>
      <c r="D2847">
        <v>28</v>
      </c>
      <c r="E2847">
        <v>19</v>
      </c>
      <c r="F2847">
        <v>0</v>
      </c>
      <c r="G2847" t="s">
        <v>2023</v>
      </c>
      <c r="H2847" t="s">
        <v>52</v>
      </c>
      <c r="I2847" t="s">
        <v>2033</v>
      </c>
      <c r="J2847" t="s">
        <v>437</v>
      </c>
      <c r="K2847" t="s">
        <v>2043</v>
      </c>
      <c r="L2847" t="s">
        <v>2040</v>
      </c>
      <c r="M2847" t="s">
        <v>6</v>
      </c>
    </row>
    <row r="2848" spans="2:13" hidden="1">
      <c r="B2848">
        <v>2846</v>
      </c>
      <c r="C2848">
        <v>244</v>
      </c>
      <c r="D2848">
        <v>28</v>
      </c>
      <c r="E2848">
        <v>20</v>
      </c>
      <c r="F2848">
        <v>0</v>
      </c>
      <c r="G2848" t="s">
        <v>2023</v>
      </c>
      <c r="H2848" t="s">
        <v>52</v>
      </c>
      <c r="I2848" t="s">
        <v>2033</v>
      </c>
      <c r="J2848" t="s">
        <v>437</v>
      </c>
      <c r="K2848" t="s">
        <v>2044</v>
      </c>
      <c r="L2848" t="s">
        <v>2040</v>
      </c>
      <c r="M2848" t="s">
        <v>6</v>
      </c>
    </row>
    <row r="2849" spans="2:13" hidden="1">
      <c r="B2849">
        <v>2847</v>
      </c>
      <c r="C2849">
        <v>244</v>
      </c>
      <c r="D2849">
        <v>28</v>
      </c>
      <c r="E2849">
        <v>21</v>
      </c>
      <c r="F2849">
        <v>0</v>
      </c>
      <c r="G2849" t="s">
        <v>2023</v>
      </c>
      <c r="H2849" t="s">
        <v>52</v>
      </c>
      <c r="I2849" t="s">
        <v>2033</v>
      </c>
      <c r="J2849" t="s">
        <v>55</v>
      </c>
      <c r="K2849" t="s">
        <v>2045</v>
      </c>
      <c r="M2849" t="s">
        <v>6</v>
      </c>
    </row>
    <row r="2850" spans="2:13" hidden="1">
      <c r="B2850">
        <v>2848</v>
      </c>
      <c r="C2850">
        <v>244</v>
      </c>
      <c r="D2850">
        <v>28</v>
      </c>
      <c r="E2850">
        <v>22</v>
      </c>
      <c r="F2850">
        <v>0</v>
      </c>
      <c r="G2850" t="s">
        <v>2023</v>
      </c>
      <c r="H2850" t="s">
        <v>52</v>
      </c>
      <c r="I2850" t="s">
        <v>2033</v>
      </c>
      <c r="J2850" t="s">
        <v>437</v>
      </c>
      <c r="K2850" t="s">
        <v>438</v>
      </c>
      <c r="L2850" t="s">
        <v>439</v>
      </c>
      <c r="M2850" t="s">
        <v>6</v>
      </c>
    </row>
    <row r="2851" spans="2:13" hidden="1">
      <c r="B2851">
        <v>2849</v>
      </c>
      <c r="C2851">
        <v>244</v>
      </c>
      <c r="D2851">
        <v>28</v>
      </c>
      <c r="E2851">
        <v>23</v>
      </c>
      <c r="F2851">
        <v>0</v>
      </c>
      <c r="G2851" t="s">
        <v>2023</v>
      </c>
      <c r="H2851" t="s">
        <v>52</v>
      </c>
      <c r="I2851" t="s">
        <v>2033</v>
      </c>
      <c r="J2851" t="s">
        <v>214</v>
      </c>
      <c r="K2851" t="s">
        <v>2046</v>
      </c>
      <c r="M2851" t="s">
        <v>6</v>
      </c>
    </row>
    <row r="2852" spans="2:13" hidden="1">
      <c r="B2852">
        <v>2850</v>
      </c>
      <c r="C2852">
        <v>244</v>
      </c>
      <c r="D2852">
        <v>28</v>
      </c>
      <c r="E2852">
        <v>24</v>
      </c>
      <c r="F2852">
        <v>0</v>
      </c>
      <c r="G2852" t="s">
        <v>2023</v>
      </c>
      <c r="H2852" t="s">
        <v>52</v>
      </c>
      <c r="I2852" t="s">
        <v>2033</v>
      </c>
      <c r="J2852" t="s">
        <v>64</v>
      </c>
      <c r="K2852" t="s">
        <v>440</v>
      </c>
      <c r="M2852" t="s">
        <v>6</v>
      </c>
    </row>
    <row r="2853" spans="2:13" hidden="1">
      <c r="B2853">
        <v>2851</v>
      </c>
      <c r="C2853">
        <v>244</v>
      </c>
      <c r="D2853">
        <v>28</v>
      </c>
      <c r="E2853">
        <v>25</v>
      </c>
      <c r="F2853">
        <v>0</v>
      </c>
      <c r="G2853" t="s">
        <v>2023</v>
      </c>
      <c r="H2853" t="s">
        <v>52</v>
      </c>
      <c r="I2853" t="s">
        <v>2033</v>
      </c>
      <c r="J2853" t="s">
        <v>479</v>
      </c>
      <c r="K2853" t="s">
        <v>2047</v>
      </c>
      <c r="M2853" t="s">
        <v>6</v>
      </c>
    </row>
    <row r="2854" spans="2:13" hidden="1">
      <c r="B2854">
        <v>2852</v>
      </c>
      <c r="C2854">
        <v>244</v>
      </c>
      <c r="D2854">
        <v>28</v>
      </c>
      <c r="E2854">
        <v>26</v>
      </c>
      <c r="F2854">
        <v>0</v>
      </c>
      <c r="G2854" t="s">
        <v>2023</v>
      </c>
      <c r="H2854" t="s">
        <v>52</v>
      </c>
      <c r="I2854" t="s">
        <v>2033</v>
      </c>
      <c r="J2854" t="s">
        <v>55</v>
      </c>
      <c r="K2854" t="s">
        <v>1581</v>
      </c>
      <c r="M2854" t="s">
        <v>6</v>
      </c>
    </row>
    <row r="2855" spans="2:13" hidden="1">
      <c r="B2855">
        <v>2853</v>
      </c>
      <c r="C2855">
        <v>244</v>
      </c>
      <c r="D2855">
        <v>28</v>
      </c>
      <c r="E2855">
        <v>27</v>
      </c>
      <c r="F2855">
        <v>0</v>
      </c>
      <c r="G2855" t="s">
        <v>2023</v>
      </c>
      <c r="H2855" t="s">
        <v>52</v>
      </c>
      <c r="I2855" t="s">
        <v>2033</v>
      </c>
      <c r="J2855" t="s">
        <v>55</v>
      </c>
      <c r="K2855" t="s">
        <v>1582</v>
      </c>
      <c r="M2855" t="s">
        <v>6</v>
      </c>
    </row>
    <row r="2856" spans="2:13" hidden="1">
      <c r="B2856">
        <v>2854</v>
      </c>
      <c r="C2856">
        <v>244</v>
      </c>
      <c r="D2856">
        <v>28</v>
      </c>
      <c r="E2856">
        <v>28</v>
      </c>
      <c r="F2856">
        <v>0</v>
      </c>
      <c r="G2856" t="s">
        <v>2023</v>
      </c>
      <c r="H2856" t="s">
        <v>52</v>
      </c>
      <c r="I2856" t="s">
        <v>2033</v>
      </c>
      <c r="J2856" t="s">
        <v>55</v>
      </c>
      <c r="K2856" t="s">
        <v>1583</v>
      </c>
      <c r="M2856" t="s">
        <v>6</v>
      </c>
    </row>
    <row r="2857" spans="2:13" hidden="1">
      <c r="B2857">
        <v>2855</v>
      </c>
      <c r="C2857">
        <v>245</v>
      </c>
      <c r="D2857">
        <v>61</v>
      </c>
      <c r="E2857">
        <v>0</v>
      </c>
      <c r="F2857">
        <v>0</v>
      </c>
      <c r="G2857" t="s">
        <v>2023</v>
      </c>
      <c r="H2857" t="s">
        <v>52</v>
      </c>
      <c r="I2857" t="s">
        <v>2048</v>
      </c>
      <c r="J2857" t="s">
        <v>478</v>
      </c>
      <c r="K2857" t="s">
        <v>2048</v>
      </c>
      <c r="M2857" t="s">
        <v>6</v>
      </c>
    </row>
    <row r="2858" spans="2:13" hidden="1">
      <c r="B2858">
        <v>2856</v>
      </c>
      <c r="C2858">
        <v>245</v>
      </c>
      <c r="D2858">
        <v>61</v>
      </c>
      <c r="E2858">
        <v>1</v>
      </c>
      <c r="F2858">
        <v>0</v>
      </c>
      <c r="G2858" t="s">
        <v>2023</v>
      </c>
      <c r="H2858" t="s">
        <v>52</v>
      </c>
      <c r="I2858" t="s">
        <v>2048</v>
      </c>
      <c r="J2858" t="s">
        <v>479</v>
      </c>
      <c r="K2858" t="s">
        <v>2049</v>
      </c>
      <c r="M2858" t="s">
        <v>6</v>
      </c>
    </row>
    <row r="2859" spans="2:13" hidden="1">
      <c r="B2859">
        <v>2857</v>
      </c>
      <c r="C2859">
        <v>245</v>
      </c>
      <c r="D2859">
        <v>61</v>
      </c>
      <c r="E2859">
        <v>2</v>
      </c>
      <c r="F2859">
        <v>0</v>
      </c>
      <c r="G2859" t="s">
        <v>2023</v>
      </c>
      <c r="H2859" t="s">
        <v>52</v>
      </c>
      <c r="I2859" t="s">
        <v>2048</v>
      </c>
      <c r="J2859" t="s">
        <v>55</v>
      </c>
      <c r="K2859" t="s">
        <v>2025</v>
      </c>
      <c r="M2859" t="s">
        <v>6</v>
      </c>
    </row>
    <row r="2860" spans="2:13" hidden="1">
      <c r="B2860">
        <v>2858</v>
      </c>
      <c r="C2860">
        <v>245</v>
      </c>
      <c r="D2860">
        <v>61</v>
      </c>
      <c r="E2860">
        <v>3</v>
      </c>
      <c r="F2860">
        <v>0</v>
      </c>
      <c r="G2860" t="s">
        <v>2023</v>
      </c>
      <c r="H2860" t="s">
        <v>52</v>
      </c>
      <c r="I2860" t="s">
        <v>2048</v>
      </c>
      <c r="J2860" t="s">
        <v>55</v>
      </c>
      <c r="K2860" t="s">
        <v>2050</v>
      </c>
      <c r="M2860" t="s">
        <v>6</v>
      </c>
    </row>
    <row r="2861" spans="2:13" hidden="1">
      <c r="B2861">
        <v>2859</v>
      </c>
      <c r="C2861">
        <v>245</v>
      </c>
      <c r="D2861">
        <v>61</v>
      </c>
      <c r="E2861">
        <v>4</v>
      </c>
      <c r="F2861">
        <v>0</v>
      </c>
      <c r="G2861" t="s">
        <v>2023</v>
      </c>
      <c r="H2861" t="s">
        <v>52</v>
      </c>
      <c r="I2861" t="s">
        <v>2048</v>
      </c>
      <c r="J2861" t="s">
        <v>55</v>
      </c>
      <c r="K2861" t="s">
        <v>2051</v>
      </c>
      <c r="M2861" t="s">
        <v>6</v>
      </c>
    </row>
    <row r="2862" spans="2:13" hidden="1">
      <c r="B2862">
        <v>2860</v>
      </c>
      <c r="C2862">
        <v>245</v>
      </c>
      <c r="D2862">
        <v>61</v>
      </c>
      <c r="E2862">
        <v>5</v>
      </c>
      <c r="F2862">
        <v>0</v>
      </c>
      <c r="G2862" t="s">
        <v>2023</v>
      </c>
      <c r="H2862" t="s">
        <v>52</v>
      </c>
      <c r="I2862" t="s">
        <v>2048</v>
      </c>
      <c r="J2862" t="s">
        <v>437</v>
      </c>
      <c r="K2862" t="s">
        <v>438</v>
      </c>
      <c r="L2862" t="s">
        <v>439</v>
      </c>
      <c r="M2862" t="s">
        <v>6</v>
      </c>
    </row>
    <row r="2863" spans="2:13" hidden="1">
      <c r="B2863">
        <v>2861</v>
      </c>
      <c r="C2863">
        <v>245</v>
      </c>
      <c r="D2863">
        <v>61</v>
      </c>
      <c r="E2863">
        <v>6</v>
      </c>
      <c r="F2863">
        <v>0</v>
      </c>
      <c r="G2863" t="s">
        <v>2023</v>
      </c>
      <c r="H2863" t="s">
        <v>52</v>
      </c>
      <c r="I2863" t="s">
        <v>2048</v>
      </c>
      <c r="J2863" t="s">
        <v>214</v>
      </c>
      <c r="K2863" t="s">
        <v>443</v>
      </c>
      <c r="M2863" t="s">
        <v>6</v>
      </c>
    </row>
    <row r="2864" spans="2:13" hidden="1">
      <c r="B2864">
        <v>2862</v>
      </c>
      <c r="C2864">
        <v>245</v>
      </c>
      <c r="D2864">
        <v>61</v>
      </c>
      <c r="E2864">
        <v>7</v>
      </c>
      <c r="F2864">
        <v>0</v>
      </c>
      <c r="G2864" t="s">
        <v>2023</v>
      </c>
      <c r="H2864" t="s">
        <v>52</v>
      </c>
      <c r="I2864" t="s">
        <v>2048</v>
      </c>
      <c r="J2864" t="s">
        <v>55</v>
      </c>
      <c r="K2864" t="s">
        <v>442</v>
      </c>
      <c r="M2864" t="s">
        <v>6</v>
      </c>
    </row>
    <row r="2865" spans="2:13" hidden="1">
      <c r="B2865">
        <v>2863</v>
      </c>
      <c r="C2865">
        <v>245</v>
      </c>
      <c r="D2865">
        <v>61</v>
      </c>
      <c r="E2865">
        <v>8</v>
      </c>
      <c r="F2865">
        <v>0</v>
      </c>
      <c r="G2865" t="s">
        <v>2023</v>
      </c>
      <c r="H2865" t="s">
        <v>52</v>
      </c>
      <c r="I2865" t="s">
        <v>2048</v>
      </c>
      <c r="J2865" t="s">
        <v>479</v>
      </c>
      <c r="K2865" t="s">
        <v>2052</v>
      </c>
      <c r="M2865" t="s">
        <v>6</v>
      </c>
    </row>
    <row r="2866" spans="2:13" hidden="1">
      <c r="B2866">
        <v>2864</v>
      </c>
      <c r="C2866">
        <v>245</v>
      </c>
      <c r="D2866">
        <v>61</v>
      </c>
      <c r="E2866">
        <v>9</v>
      </c>
      <c r="F2866">
        <v>0</v>
      </c>
      <c r="G2866" t="s">
        <v>2023</v>
      </c>
      <c r="H2866" t="s">
        <v>52</v>
      </c>
      <c r="I2866" t="s">
        <v>2048</v>
      </c>
      <c r="J2866" t="s">
        <v>55</v>
      </c>
      <c r="K2866" t="s">
        <v>2025</v>
      </c>
      <c r="M2866" t="s">
        <v>6</v>
      </c>
    </row>
    <row r="2867" spans="2:13" hidden="1">
      <c r="B2867">
        <v>2865</v>
      </c>
      <c r="C2867">
        <v>245</v>
      </c>
      <c r="D2867">
        <v>61</v>
      </c>
      <c r="E2867">
        <v>10</v>
      </c>
      <c r="F2867">
        <v>0</v>
      </c>
      <c r="G2867" t="s">
        <v>2023</v>
      </c>
      <c r="H2867" t="s">
        <v>52</v>
      </c>
      <c r="I2867" t="s">
        <v>2048</v>
      </c>
      <c r="J2867" t="s">
        <v>55</v>
      </c>
      <c r="K2867" t="s">
        <v>2053</v>
      </c>
      <c r="M2867" t="s">
        <v>6</v>
      </c>
    </row>
    <row r="2868" spans="2:13" hidden="1">
      <c r="B2868">
        <v>2866</v>
      </c>
      <c r="C2868">
        <v>245</v>
      </c>
      <c r="D2868">
        <v>61</v>
      </c>
      <c r="E2868">
        <v>11</v>
      </c>
      <c r="F2868">
        <v>0</v>
      </c>
      <c r="G2868" t="s">
        <v>2023</v>
      </c>
      <c r="H2868" t="s">
        <v>52</v>
      </c>
      <c r="I2868" t="s">
        <v>2048</v>
      </c>
      <c r="J2868" t="s">
        <v>55</v>
      </c>
      <c r="K2868" t="s">
        <v>2054</v>
      </c>
      <c r="M2868" t="s">
        <v>6</v>
      </c>
    </row>
    <row r="2869" spans="2:13" hidden="1">
      <c r="B2869">
        <v>2867</v>
      </c>
      <c r="C2869">
        <v>245</v>
      </c>
      <c r="D2869">
        <v>61</v>
      </c>
      <c r="E2869">
        <v>12</v>
      </c>
      <c r="F2869">
        <v>0</v>
      </c>
      <c r="G2869" t="s">
        <v>2023</v>
      </c>
      <c r="H2869" t="s">
        <v>52</v>
      </c>
      <c r="I2869" t="s">
        <v>2048</v>
      </c>
      <c r="J2869" t="s">
        <v>55</v>
      </c>
      <c r="K2869" t="s">
        <v>2055</v>
      </c>
      <c r="M2869" t="s">
        <v>6</v>
      </c>
    </row>
    <row r="2870" spans="2:13" hidden="1">
      <c r="B2870">
        <v>2868</v>
      </c>
      <c r="C2870">
        <v>245</v>
      </c>
      <c r="D2870">
        <v>61</v>
      </c>
      <c r="E2870">
        <v>13</v>
      </c>
      <c r="F2870">
        <v>0</v>
      </c>
      <c r="G2870" t="s">
        <v>2023</v>
      </c>
      <c r="H2870" t="s">
        <v>52</v>
      </c>
      <c r="I2870" t="s">
        <v>2048</v>
      </c>
      <c r="J2870" t="s">
        <v>55</v>
      </c>
      <c r="K2870" t="s">
        <v>2056</v>
      </c>
      <c r="M2870" t="s">
        <v>6</v>
      </c>
    </row>
    <row r="2871" spans="2:13" hidden="1">
      <c r="B2871">
        <v>2869</v>
      </c>
      <c r="C2871">
        <v>245</v>
      </c>
      <c r="D2871">
        <v>61</v>
      </c>
      <c r="E2871">
        <v>14</v>
      </c>
      <c r="F2871">
        <v>0</v>
      </c>
      <c r="G2871" t="s">
        <v>2023</v>
      </c>
      <c r="H2871" t="s">
        <v>52</v>
      </c>
      <c r="I2871" t="s">
        <v>2048</v>
      </c>
      <c r="J2871" t="s">
        <v>437</v>
      </c>
      <c r="K2871" t="s">
        <v>438</v>
      </c>
      <c r="L2871" t="s">
        <v>439</v>
      </c>
      <c r="M2871" t="s">
        <v>6</v>
      </c>
    </row>
    <row r="2872" spans="2:13" hidden="1">
      <c r="B2872">
        <v>2870</v>
      </c>
      <c r="C2872">
        <v>245</v>
      </c>
      <c r="D2872">
        <v>61</v>
      </c>
      <c r="E2872">
        <v>15</v>
      </c>
      <c r="F2872">
        <v>0</v>
      </c>
      <c r="G2872" t="s">
        <v>2023</v>
      </c>
      <c r="H2872" t="s">
        <v>52</v>
      </c>
      <c r="I2872" t="s">
        <v>2048</v>
      </c>
      <c r="J2872" t="s">
        <v>214</v>
      </c>
      <c r="K2872" t="s">
        <v>443</v>
      </c>
      <c r="M2872" t="s">
        <v>6</v>
      </c>
    </row>
    <row r="2873" spans="2:13" hidden="1">
      <c r="B2873">
        <v>2871</v>
      </c>
      <c r="C2873">
        <v>245</v>
      </c>
      <c r="D2873">
        <v>61</v>
      </c>
      <c r="E2873">
        <v>16</v>
      </c>
      <c r="F2873">
        <v>0</v>
      </c>
      <c r="G2873" t="s">
        <v>2023</v>
      </c>
      <c r="H2873" t="s">
        <v>52</v>
      </c>
      <c r="I2873" t="s">
        <v>2048</v>
      </c>
      <c r="J2873" t="s">
        <v>55</v>
      </c>
      <c r="K2873" t="s">
        <v>442</v>
      </c>
      <c r="M2873" t="s">
        <v>6</v>
      </c>
    </row>
    <row r="2874" spans="2:13" hidden="1">
      <c r="B2874">
        <v>2872</v>
      </c>
      <c r="C2874">
        <v>245</v>
      </c>
      <c r="D2874">
        <v>61</v>
      </c>
      <c r="E2874">
        <v>17</v>
      </c>
      <c r="F2874">
        <v>0</v>
      </c>
      <c r="G2874" t="s">
        <v>2023</v>
      </c>
      <c r="H2874" t="s">
        <v>52</v>
      </c>
      <c r="I2874" t="s">
        <v>2048</v>
      </c>
      <c r="J2874" t="s">
        <v>479</v>
      </c>
      <c r="K2874" t="s">
        <v>22</v>
      </c>
      <c r="M2874" t="s">
        <v>6</v>
      </c>
    </row>
    <row r="2875" spans="2:13" hidden="1">
      <c r="B2875">
        <v>2873</v>
      </c>
      <c r="C2875">
        <v>245</v>
      </c>
      <c r="D2875">
        <v>61</v>
      </c>
      <c r="E2875">
        <v>18</v>
      </c>
      <c r="F2875">
        <v>0</v>
      </c>
      <c r="G2875" t="s">
        <v>2023</v>
      </c>
      <c r="H2875" t="s">
        <v>52</v>
      </c>
      <c r="I2875" t="s">
        <v>2048</v>
      </c>
      <c r="J2875" t="s">
        <v>55</v>
      </c>
      <c r="K2875" t="s">
        <v>2025</v>
      </c>
      <c r="M2875" t="s">
        <v>6</v>
      </c>
    </row>
    <row r="2876" spans="2:13" hidden="1">
      <c r="B2876">
        <v>2874</v>
      </c>
      <c r="C2876">
        <v>245</v>
      </c>
      <c r="D2876">
        <v>61</v>
      </c>
      <c r="E2876">
        <v>19</v>
      </c>
      <c r="F2876">
        <v>0</v>
      </c>
      <c r="G2876" t="s">
        <v>2023</v>
      </c>
      <c r="H2876" t="s">
        <v>52</v>
      </c>
      <c r="I2876" t="s">
        <v>2048</v>
      </c>
      <c r="J2876" t="s">
        <v>55</v>
      </c>
      <c r="K2876" t="s">
        <v>2057</v>
      </c>
      <c r="M2876" t="s">
        <v>6</v>
      </c>
    </row>
    <row r="2877" spans="2:13" hidden="1">
      <c r="B2877">
        <v>2875</v>
      </c>
      <c r="C2877">
        <v>245</v>
      </c>
      <c r="D2877">
        <v>61</v>
      </c>
      <c r="E2877">
        <v>20</v>
      </c>
      <c r="F2877">
        <v>0</v>
      </c>
      <c r="G2877" t="s">
        <v>2023</v>
      </c>
      <c r="H2877" t="s">
        <v>52</v>
      </c>
      <c r="I2877" t="s">
        <v>2048</v>
      </c>
      <c r="J2877" t="s">
        <v>437</v>
      </c>
      <c r="K2877" t="s">
        <v>2058</v>
      </c>
      <c r="L2877" t="s">
        <v>2040</v>
      </c>
      <c r="M2877" t="s">
        <v>6</v>
      </c>
    </row>
    <row r="2878" spans="2:13" hidden="1">
      <c r="B2878">
        <v>2876</v>
      </c>
      <c r="C2878">
        <v>245</v>
      </c>
      <c r="D2878">
        <v>61</v>
      </c>
      <c r="E2878">
        <v>21</v>
      </c>
      <c r="F2878">
        <v>0</v>
      </c>
      <c r="G2878" t="s">
        <v>2023</v>
      </c>
      <c r="H2878" t="s">
        <v>52</v>
      </c>
      <c r="I2878" t="s">
        <v>2048</v>
      </c>
      <c r="J2878" t="s">
        <v>437</v>
      </c>
      <c r="K2878" t="s">
        <v>2059</v>
      </c>
      <c r="L2878" t="s">
        <v>2040</v>
      </c>
      <c r="M2878" t="s">
        <v>6</v>
      </c>
    </row>
    <row r="2879" spans="2:13" hidden="1">
      <c r="B2879">
        <v>2877</v>
      </c>
      <c r="C2879">
        <v>245</v>
      </c>
      <c r="D2879">
        <v>61</v>
      </c>
      <c r="E2879">
        <v>22</v>
      </c>
      <c r="F2879">
        <v>0</v>
      </c>
      <c r="G2879" t="s">
        <v>2023</v>
      </c>
      <c r="H2879" t="s">
        <v>52</v>
      </c>
      <c r="I2879" t="s">
        <v>2048</v>
      </c>
      <c r="J2879" t="s">
        <v>437</v>
      </c>
      <c r="K2879" t="s">
        <v>2060</v>
      </c>
      <c r="L2879" t="s">
        <v>2040</v>
      </c>
      <c r="M2879" t="s">
        <v>6</v>
      </c>
    </row>
    <row r="2880" spans="2:13" hidden="1">
      <c r="B2880">
        <v>2878</v>
      </c>
      <c r="C2880">
        <v>245</v>
      </c>
      <c r="D2880">
        <v>61</v>
      </c>
      <c r="E2880">
        <v>23</v>
      </c>
      <c r="F2880">
        <v>0</v>
      </c>
      <c r="G2880" t="s">
        <v>2023</v>
      </c>
      <c r="H2880" t="s">
        <v>52</v>
      </c>
      <c r="I2880" t="s">
        <v>2048</v>
      </c>
      <c r="J2880" t="s">
        <v>437</v>
      </c>
      <c r="K2880" t="s">
        <v>2061</v>
      </c>
      <c r="L2880" t="s">
        <v>2040</v>
      </c>
      <c r="M2880" t="s">
        <v>6</v>
      </c>
    </row>
    <row r="2881" spans="2:13" hidden="1">
      <c r="B2881">
        <v>2879</v>
      </c>
      <c r="C2881">
        <v>245</v>
      </c>
      <c r="D2881">
        <v>61</v>
      </c>
      <c r="E2881">
        <v>24</v>
      </c>
      <c r="F2881">
        <v>0</v>
      </c>
      <c r="G2881" t="s">
        <v>2023</v>
      </c>
      <c r="H2881" t="s">
        <v>52</v>
      </c>
      <c r="I2881" t="s">
        <v>2048</v>
      </c>
      <c r="J2881" t="s">
        <v>437</v>
      </c>
      <c r="K2881" t="s">
        <v>2062</v>
      </c>
      <c r="L2881" t="s">
        <v>2040</v>
      </c>
      <c r="M2881" t="s">
        <v>6</v>
      </c>
    </row>
    <row r="2882" spans="2:13" hidden="1">
      <c r="B2882">
        <v>2880</v>
      </c>
      <c r="C2882">
        <v>245</v>
      </c>
      <c r="D2882">
        <v>61</v>
      </c>
      <c r="E2882">
        <v>25</v>
      </c>
      <c r="F2882">
        <v>0</v>
      </c>
      <c r="G2882" t="s">
        <v>2023</v>
      </c>
      <c r="H2882" t="s">
        <v>52</v>
      </c>
      <c r="I2882" t="s">
        <v>2048</v>
      </c>
      <c r="J2882" t="s">
        <v>437</v>
      </c>
      <c r="K2882" t="s">
        <v>2063</v>
      </c>
      <c r="L2882" t="s">
        <v>2040</v>
      </c>
      <c r="M2882" t="s">
        <v>6</v>
      </c>
    </row>
    <row r="2883" spans="2:13" hidden="1">
      <c r="B2883">
        <v>2881</v>
      </c>
      <c r="C2883">
        <v>245</v>
      </c>
      <c r="D2883">
        <v>61</v>
      </c>
      <c r="E2883">
        <v>26</v>
      </c>
      <c r="F2883">
        <v>0</v>
      </c>
      <c r="G2883" t="s">
        <v>2023</v>
      </c>
      <c r="H2883" t="s">
        <v>52</v>
      </c>
      <c r="I2883" t="s">
        <v>2048</v>
      </c>
      <c r="J2883" t="s">
        <v>55</v>
      </c>
      <c r="K2883" t="s">
        <v>2064</v>
      </c>
      <c r="M2883" t="s">
        <v>6</v>
      </c>
    </row>
    <row r="2884" spans="2:13" hidden="1">
      <c r="B2884">
        <v>2882</v>
      </c>
      <c r="C2884">
        <v>245</v>
      </c>
      <c r="D2884">
        <v>61</v>
      </c>
      <c r="E2884">
        <v>27</v>
      </c>
      <c r="F2884">
        <v>0</v>
      </c>
      <c r="G2884" t="s">
        <v>2023</v>
      </c>
      <c r="H2884" t="s">
        <v>52</v>
      </c>
      <c r="I2884" t="s">
        <v>2048</v>
      </c>
      <c r="J2884" t="s">
        <v>437</v>
      </c>
      <c r="K2884" t="s">
        <v>438</v>
      </c>
      <c r="L2884" t="s">
        <v>439</v>
      </c>
      <c r="M2884" t="s">
        <v>6</v>
      </c>
    </row>
    <row r="2885" spans="2:13" hidden="1">
      <c r="B2885">
        <v>2883</v>
      </c>
      <c r="C2885">
        <v>245</v>
      </c>
      <c r="D2885">
        <v>61</v>
      </c>
      <c r="E2885">
        <v>28</v>
      </c>
      <c r="F2885">
        <v>0</v>
      </c>
      <c r="G2885" t="s">
        <v>2023</v>
      </c>
      <c r="H2885" t="s">
        <v>52</v>
      </c>
      <c r="I2885" t="s">
        <v>2048</v>
      </c>
      <c r="J2885" t="s">
        <v>55</v>
      </c>
      <c r="K2885" t="s">
        <v>2065</v>
      </c>
      <c r="M2885" t="s">
        <v>6</v>
      </c>
    </row>
    <row r="2886" spans="2:13" hidden="1">
      <c r="B2886">
        <v>2884</v>
      </c>
      <c r="C2886">
        <v>245</v>
      </c>
      <c r="D2886">
        <v>61</v>
      </c>
      <c r="E2886">
        <v>29</v>
      </c>
      <c r="F2886">
        <v>0</v>
      </c>
      <c r="G2886" t="s">
        <v>2023</v>
      </c>
      <c r="H2886" t="s">
        <v>52</v>
      </c>
      <c r="I2886" t="s">
        <v>2048</v>
      </c>
      <c r="J2886" t="s">
        <v>437</v>
      </c>
      <c r="K2886" t="s">
        <v>438</v>
      </c>
      <c r="L2886" t="s">
        <v>439</v>
      </c>
      <c r="M2886" t="s">
        <v>6</v>
      </c>
    </row>
    <row r="2887" spans="2:13" hidden="1">
      <c r="B2887">
        <v>2885</v>
      </c>
      <c r="C2887">
        <v>245</v>
      </c>
      <c r="D2887">
        <v>61</v>
      </c>
      <c r="E2887">
        <v>30</v>
      </c>
      <c r="F2887">
        <v>0</v>
      </c>
      <c r="G2887" t="s">
        <v>2023</v>
      </c>
      <c r="H2887" t="s">
        <v>52</v>
      </c>
      <c r="I2887" t="s">
        <v>2048</v>
      </c>
      <c r="J2887" t="s">
        <v>214</v>
      </c>
      <c r="K2887" t="s">
        <v>2066</v>
      </c>
      <c r="M2887" t="s">
        <v>6</v>
      </c>
    </row>
    <row r="2888" spans="2:13" hidden="1">
      <c r="B2888">
        <v>2886</v>
      </c>
      <c r="C2888">
        <v>245</v>
      </c>
      <c r="D2888">
        <v>61</v>
      </c>
      <c r="E2888">
        <v>31</v>
      </c>
      <c r="F2888">
        <v>0</v>
      </c>
      <c r="G2888" t="s">
        <v>2023</v>
      </c>
      <c r="H2888" t="s">
        <v>52</v>
      </c>
      <c r="I2888" t="s">
        <v>2048</v>
      </c>
      <c r="J2888" t="s">
        <v>437</v>
      </c>
      <c r="K2888" t="s">
        <v>2067</v>
      </c>
      <c r="L2888" t="s">
        <v>2040</v>
      </c>
      <c r="M2888" t="s">
        <v>6</v>
      </c>
    </row>
    <row r="2889" spans="2:13" hidden="1">
      <c r="B2889">
        <v>2887</v>
      </c>
      <c r="C2889">
        <v>245</v>
      </c>
      <c r="D2889">
        <v>61</v>
      </c>
      <c r="E2889">
        <v>32</v>
      </c>
      <c r="F2889">
        <v>0</v>
      </c>
      <c r="G2889" t="s">
        <v>2023</v>
      </c>
      <c r="H2889" t="s">
        <v>52</v>
      </c>
      <c r="I2889" t="s">
        <v>2048</v>
      </c>
      <c r="J2889" t="s">
        <v>437</v>
      </c>
      <c r="K2889" t="s">
        <v>2068</v>
      </c>
      <c r="L2889" t="s">
        <v>2040</v>
      </c>
      <c r="M2889" t="s">
        <v>6</v>
      </c>
    </row>
    <row r="2890" spans="2:13" hidden="1">
      <c r="B2890">
        <v>2888</v>
      </c>
      <c r="C2890">
        <v>245</v>
      </c>
      <c r="D2890">
        <v>61</v>
      </c>
      <c r="E2890">
        <v>33</v>
      </c>
      <c r="F2890">
        <v>0</v>
      </c>
      <c r="G2890" t="s">
        <v>2023</v>
      </c>
      <c r="H2890" t="s">
        <v>52</v>
      </c>
      <c r="I2890" t="s">
        <v>2048</v>
      </c>
      <c r="J2890" t="s">
        <v>214</v>
      </c>
      <c r="K2890" t="s">
        <v>443</v>
      </c>
      <c r="M2890" t="s">
        <v>6</v>
      </c>
    </row>
    <row r="2891" spans="2:13" hidden="1">
      <c r="B2891">
        <v>2889</v>
      </c>
      <c r="C2891">
        <v>245</v>
      </c>
      <c r="D2891">
        <v>61</v>
      </c>
      <c r="E2891">
        <v>34</v>
      </c>
      <c r="F2891">
        <v>0</v>
      </c>
      <c r="G2891" t="s">
        <v>2023</v>
      </c>
      <c r="H2891" t="s">
        <v>52</v>
      </c>
      <c r="I2891" t="s">
        <v>2048</v>
      </c>
      <c r="J2891" t="s">
        <v>55</v>
      </c>
      <c r="K2891" t="s">
        <v>442</v>
      </c>
      <c r="M2891" t="s">
        <v>6</v>
      </c>
    </row>
    <row r="2892" spans="2:13" hidden="1">
      <c r="B2892">
        <v>2890</v>
      </c>
      <c r="C2892">
        <v>245</v>
      </c>
      <c r="D2892">
        <v>61</v>
      </c>
      <c r="E2892">
        <v>35</v>
      </c>
      <c r="F2892">
        <v>0</v>
      </c>
      <c r="G2892" t="s">
        <v>2023</v>
      </c>
      <c r="H2892" t="s">
        <v>52</v>
      </c>
      <c r="I2892" t="s">
        <v>2048</v>
      </c>
      <c r="J2892" t="s">
        <v>479</v>
      </c>
      <c r="K2892" t="s">
        <v>1242</v>
      </c>
      <c r="M2892" t="s">
        <v>6</v>
      </c>
    </row>
    <row r="2893" spans="2:13" hidden="1">
      <c r="B2893">
        <v>2891</v>
      </c>
      <c r="C2893">
        <v>245</v>
      </c>
      <c r="D2893">
        <v>61</v>
      </c>
      <c r="E2893">
        <v>36</v>
      </c>
      <c r="F2893">
        <v>0</v>
      </c>
      <c r="G2893" t="s">
        <v>2023</v>
      </c>
      <c r="H2893" t="s">
        <v>52</v>
      </c>
      <c r="I2893" t="s">
        <v>2048</v>
      </c>
      <c r="J2893" t="s">
        <v>55</v>
      </c>
      <c r="K2893" t="s">
        <v>2025</v>
      </c>
      <c r="M2893" t="s">
        <v>6</v>
      </c>
    </row>
    <row r="2894" spans="2:13" hidden="1">
      <c r="B2894">
        <v>2892</v>
      </c>
      <c r="C2894">
        <v>245</v>
      </c>
      <c r="D2894">
        <v>61</v>
      </c>
      <c r="E2894">
        <v>37</v>
      </c>
      <c r="F2894">
        <v>0</v>
      </c>
      <c r="G2894" t="s">
        <v>2023</v>
      </c>
      <c r="H2894" t="s">
        <v>52</v>
      </c>
      <c r="I2894" t="s">
        <v>2048</v>
      </c>
      <c r="J2894" t="s">
        <v>55</v>
      </c>
      <c r="K2894" t="s">
        <v>2069</v>
      </c>
      <c r="M2894" t="s">
        <v>6</v>
      </c>
    </row>
    <row r="2895" spans="2:13" hidden="1">
      <c r="B2895">
        <v>2893</v>
      </c>
      <c r="C2895">
        <v>245</v>
      </c>
      <c r="D2895">
        <v>61</v>
      </c>
      <c r="E2895">
        <v>38</v>
      </c>
      <c r="F2895">
        <v>0</v>
      </c>
      <c r="G2895" t="s">
        <v>2023</v>
      </c>
      <c r="H2895" t="s">
        <v>52</v>
      </c>
      <c r="I2895" t="s">
        <v>2048</v>
      </c>
      <c r="J2895" t="s">
        <v>437</v>
      </c>
      <c r="K2895" t="s">
        <v>1246</v>
      </c>
      <c r="L2895" t="s">
        <v>2040</v>
      </c>
      <c r="M2895" t="s">
        <v>6</v>
      </c>
    </row>
    <row r="2896" spans="2:13" hidden="1">
      <c r="B2896">
        <v>2894</v>
      </c>
      <c r="C2896">
        <v>245</v>
      </c>
      <c r="D2896">
        <v>61</v>
      </c>
      <c r="E2896">
        <v>39</v>
      </c>
      <c r="F2896">
        <v>0</v>
      </c>
      <c r="G2896" t="s">
        <v>2023</v>
      </c>
      <c r="H2896" t="s">
        <v>52</v>
      </c>
      <c r="I2896" t="s">
        <v>2048</v>
      </c>
      <c r="J2896" t="s">
        <v>55</v>
      </c>
      <c r="K2896" t="s">
        <v>2070</v>
      </c>
      <c r="M2896" t="s">
        <v>6</v>
      </c>
    </row>
    <row r="2897" spans="2:13" hidden="1">
      <c r="B2897">
        <v>2895</v>
      </c>
      <c r="C2897">
        <v>245</v>
      </c>
      <c r="D2897">
        <v>61</v>
      </c>
      <c r="E2897">
        <v>40</v>
      </c>
      <c r="F2897">
        <v>0</v>
      </c>
      <c r="G2897" t="s">
        <v>2023</v>
      </c>
      <c r="H2897" t="s">
        <v>52</v>
      </c>
      <c r="I2897" t="s">
        <v>2048</v>
      </c>
      <c r="J2897" t="s">
        <v>437</v>
      </c>
      <c r="K2897" t="s">
        <v>1247</v>
      </c>
      <c r="L2897" t="s">
        <v>2040</v>
      </c>
      <c r="M2897" t="s">
        <v>6</v>
      </c>
    </row>
    <row r="2898" spans="2:13" hidden="1">
      <c r="B2898">
        <v>2896</v>
      </c>
      <c r="C2898">
        <v>245</v>
      </c>
      <c r="D2898">
        <v>61</v>
      </c>
      <c r="E2898">
        <v>41</v>
      </c>
      <c r="F2898">
        <v>0</v>
      </c>
      <c r="G2898" t="s">
        <v>2023</v>
      </c>
      <c r="H2898" t="s">
        <v>52</v>
      </c>
      <c r="I2898" t="s">
        <v>2048</v>
      </c>
      <c r="J2898" t="s">
        <v>437</v>
      </c>
      <c r="K2898" t="s">
        <v>1248</v>
      </c>
      <c r="L2898" t="s">
        <v>2040</v>
      </c>
      <c r="M2898" t="s">
        <v>6</v>
      </c>
    </row>
    <row r="2899" spans="2:13" hidden="1">
      <c r="B2899">
        <v>2897</v>
      </c>
      <c r="C2899">
        <v>245</v>
      </c>
      <c r="D2899">
        <v>61</v>
      </c>
      <c r="E2899">
        <v>42</v>
      </c>
      <c r="F2899">
        <v>0</v>
      </c>
      <c r="G2899" t="s">
        <v>2023</v>
      </c>
      <c r="H2899" t="s">
        <v>52</v>
      </c>
      <c r="I2899" t="s">
        <v>2048</v>
      </c>
      <c r="J2899" t="s">
        <v>437</v>
      </c>
      <c r="K2899" t="s">
        <v>1249</v>
      </c>
      <c r="L2899" t="s">
        <v>2040</v>
      </c>
      <c r="M2899" t="s">
        <v>6</v>
      </c>
    </row>
    <row r="2900" spans="2:13" hidden="1">
      <c r="B2900">
        <v>2898</v>
      </c>
      <c r="C2900">
        <v>245</v>
      </c>
      <c r="D2900">
        <v>61</v>
      </c>
      <c r="E2900">
        <v>43</v>
      </c>
      <c r="F2900">
        <v>0</v>
      </c>
      <c r="G2900" t="s">
        <v>2023</v>
      </c>
      <c r="H2900" t="s">
        <v>52</v>
      </c>
      <c r="I2900" t="s">
        <v>2048</v>
      </c>
      <c r="J2900" t="s">
        <v>55</v>
      </c>
      <c r="K2900" t="s">
        <v>1255</v>
      </c>
      <c r="M2900" t="s">
        <v>6</v>
      </c>
    </row>
    <row r="2901" spans="2:13" hidden="1">
      <c r="B2901">
        <v>2899</v>
      </c>
      <c r="C2901">
        <v>245</v>
      </c>
      <c r="D2901">
        <v>61</v>
      </c>
      <c r="E2901">
        <v>44</v>
      </c>
      <c r="F2901">
        <v>0</v>
      </c>
      <c r="G2901" t="s">
        <v>2023</v>
      </c>
      <c r="H2901" t="s">
        <v>52</v>
      </c>
      <c r="I2901" t="s">
        <v>2048</v>
      </c>
      <c r="J2901" t="s">
        <v>55</v>
      </c>
      <c r="K2901" t="s">
        <v>1250</v>
      </c>
      <c r="M2901" t="s">
        <v>6</v>
      </c>
    </row>
    <row r="2902" spans="2:13" hidden="1">
      <c r="B2902">
        <v>2900</v>
      </c>
      <c r="C2902">
        <v>245</v>
      </c>
      <c r="D2902">
        <v>61</v>
      </c>
      <c r="E2902">
        <v>45</v>
      </c>
      <c r="F2902">
        <v>0</v>
      </c>
      <c r="G2902" t="s">
        <v>2023</v>
      </c>
      <c r="H2902" t="s">
        <v>52</v>
      </c>
      <c r="I2902" t="s">
        <v>2048</v>
      </c>
      <c r="J2902" t="s">
        <v>437</v>
      </c>
      <c r="K2902" t="s">
        <v>1251</v>
      </c>
      <c r="L2902" t="s">
        <v>2040</v>
      </c>
      <c r="M2902" t="s">
        <v>6</v>
      </c>
    </row>
    <row r="2903" spans="2:13" hidden="1">
      <c r="B2903">
        <v>2901</v>
      </c>
      <c r="C2903">
        <v>245</v>
      </c>
      <c r="D2903">
        <v>61</v>
      </c>
      <c r="E2903">
        <v>46</v>
      </c>
      <c r="F2903">
        <v>0</v>
      </c>
      <c r="G2903" t="s">
        <v>2023</v>
      </c>
      <c r="H2903" t="s">
        <v>52</v>
      </c>
      <c r="I2903" t="s">
        <v>2048</v>
      </c>
      <c r="J2903" t="s">
        <v>437</v>
      </c>
      <c r="K2903" t="s">
        <v>1252</v>
      </c>
      <c r="L2903" t="s">
        <v>2040</v>
      </c>
      <c r="M2903" t="s">
        <v>6</v>
      </c>
    </row>
    <row r="2904" spans="2:13" hidden="1">
      <c r="B2904">
        <v>2902</v>
      </c>
      <c r="C2904">
        <v>245</v>
      </c>
      <c r="D2904">
        <v>61</v>
      </c>
      <c r="E2904">
        <v>47</v>
      </c>
      <c r="F2904">
        <v>0</v>
      </c>
      <c r="G2904" t="s">
        <v>2023</v>
      </c>
      <c r="H2904" t="s">
        <v>52</v>
      </c>
      <c r="I2904" t="s">
        <v>2048</v>
      </c>
      <c r="J2904" t="s">
        <v>437</v>
      </c>
      <c r="K2904" t="s">
        <v>1253</v>
      </c>
      <c r="L2904" t="s">
        <v>2040</v>
      </c>
      <c r="M2904" t="s">
        <v>6</v>
      </c>
    </row>
    <row r="2905" spans="2:13" hidden="1">
      <c r="B2905">
        <v>2903</v>
      </c>
      <c r="C2905">
        <v>245</v>
      </c>
      <c r="D2905">
        <v>61</v>
      </c>
      <c r="E2905">
        <v>48</v>
      </c>
      <c r="F2905">
        <v>0</v>
      </c>
      <c r="G2905" t="s">
        <v>2023</v>
      </c>
      <c r="H2905" t="s">
        <v>52</v>
      </c>
      <c r="I2905" t="s">
        <v>2048</v>
      </c>
      <c r="J2905" t="s">
        <v>437</v>
      </c>
      <c r="K2905" t="s">
        <v>1254</v>
      </c>
      <c r="L2905" t="s">
        <v>2040</v>
      </c>
      <c r="M2905" t="s">
        <v>6</v>
      </c>
    </row>
    <row r="2906" spans="2:13" hidden="1">
      <c r="B2906">
        <v>2904</v>
      </c>
      <c r="C2906">
        <v>245</v>
      </c>
      <c r="D2906">
        <v>61</v>
      </c>
      <c r="E2906">
        <v>49</v>
      </c>
      <c r="F2906">
        <v>0</v>
      </c>
      <c r="G2906" t="s">
        <v>2023</v>
      </c>
      <c r="H2906" t="s">
        <v>52</v>
      </c>
      <c r="I2906" t="s">
        <v>2048</v>
      </c>
      <c r="J2906" t="s">
        <v>437</v>
      </c>
      <c r="K2906" t="s">
        <v>1256</v>
      </c>
      <c r="L2906" t="s">
        <v>2040</v>
      </c>
      <c r="M2906" t="s">
        <v>6</v>
      </c>
    </row>
    <row r="2907" spans="2:13" hidden="1">
      <c r="B2907">
        <v>2905</v>
      </c>
      <c r="C2907">
        <v>245</v>
      </c>
      <c r="D2907">
        <v>61</v>
      </c>
      <c r="E2907">
        <v>50</v>
      </c>
      <c r="F2907">
        <v>0</v>
      </c>
      <c r="G2907" t="s">
        <v>2023</v>
      </c>
      <c r="H2907" t="s">
        <v>52</v>
      </c>
      <c r="I2907" t="s">
        <v>2048</v>
      </c>
      <c r="J2907" t="s">
        <v>437</v>
      </c>
      <c r="K2907" t="s">
        <v>1257</v>
      </c>
      <c r="L2907" t="s">
        <v>2040</v>
      </c>
      <c r="M2907" t="s">
        <v>6</v>
      </c>
    </row>
    <row r="2908" spans="2:13" hidden="1">
      <c r="B2908">
        <v>2906</v>
      </c>
      <c r="C2908">
        <v>245</v>
      </c>
      <c r="D2908">
        <v>61</v>
      </c>
      <c r="E2908">
        <v>51</v>
      </c>
      <c r="F2908">
        <v>0</v>
      </c>
      <c r="G2908" t="s">
        <v>2023</v>
      </c>
      <c r="H2908" t="s">
        <v>52</v>
      </c>
      <c r="I2908" t="s">
        <v>2048</v>
      </c>
      <c r="J2908" t="s">
        <v>55</v>
      </c>
      <c r="K2908" t="s">
        <v>2071</v>
      </c>
      <c r="M2908" t="s">
        <v>6</v>
      </c>
    </row>
    <row r="2909" spans="2:13" hidden="1">
      <c r="B2909">
        <v>2907</v>
      </c>
      <c r="C2909">
        <v>245</v>
      </c>
      <c r="D2909">
        <v>61</v>
      </c>
      <c r="E2909">
        <v>52</v>
      </c>
      <c r="F2909">
        <v>0</v>
      </c>
      <c r="G2909" t="s">
        <v>2023</v>
      </c>
      <c r="H2909" t="s">
        <v>52</v>
      </c>
      <c r="I2909" t="s">
        <v>2048</v>
      </c>
      <c r="J2909" t="s">
        <v>437</v>
      </c>
      <c r="K2909" t="s">
        <v>438</v>
      </c>
      <c r="L2909" t="s">
        <v>439</v>
      </c>
      <c r="M2909" t="s">
        <v>6</v>
      </c>
    </row>
    <row r="2910" spans="2:13" hidden="1">
      <c r="B2910">
        <v>2908</v>
      </c>
      <c r="C2910">
        <v>245</v>
      </c>
      <c r="D2910">
        <v>61</v>
      </c>
      <c r="E2910">
        <v>53</v>
      </c>
      <c r="F2910">
        <v>0</v>
      </c>
      <c r="G2910" t="s">
        <v>2023</v>
      </c>
      <c r="H2910" t="s">
        <v>52</v>
      </c>
      <c r="I2910" t="s">
        <v>2048</v>
      </c>
      <c r="J2910" t="s">
        <v>55</v>
      </c>
      <c r="K2910" t="s">
        <v>2072</v>
      </c>
      <c r="M2910" t="s">
        <v>6</v>
      </c>
    </row>
    <row r="2911" spans="2:13" hidden="1">
      <c r="B2911">
        <v>2909</v>
      </c>
      <c r="C2911">
        <v>245</v>
      </c>
      <c r="D2911">
        <v>61</v>
      </c>
      <c r="E2911">
        <v>54</v>
      </c>
      <c r="F2911">
        <v>0</v>
      </c>
      <c r="G2911" t="s">
        <v>2023</v>
      </c>
      <c r="H2911" t="s">
        <v>52</v>
      </c>
      <c r="I2911" t="s">
        <v>2048</v>
      </c>
      <c r="J2911" t="s">
        <v>437</v>
      </c>
      <c r="K2911" t="s">
        <v>438</v>
      </c>
      <c r="L2911" t="s">
        <v>439</v>
      </c>
      <c r="M2911" t="s">
        <v>6</v>
      </c>
    </row>
    <row r="2912" spans="2:13" hidden="1">
      <c r="B2912">
        <v>2910</v>
      </c>
      <c r="C2912">
        <v>245</v>
      </c>
      <c r="D2912">
        <v>61</v>
      </c>
      <c r="E2912">
        <v>55</v>
      </c>
      <c r="F2912">
        <v>0</v>
      </c>
      <c r="G2912" t="s">
        <v>2023</v>
      </c>
      <c r="H2912" t="s">
        <v>52</v>
      </c>
      <c r="I2912" t="s">
        <v>2048</v>
      </c>
      <c r="J2912" t="s">
        <v>214</v>
      </c>
      <c r="K2912" t="s">
        <v>443</v>
      </c>
      <c r="M2912" t="s">
        <v>6</v>
      </c>
    </row>
    <row r="2913" spans="2:13" hidden="1">
      <c r="B2913">
        <v>2911</v>
      </c>
      <c r="C2913">
        <v>245</v>
      </c>
      <c r="D2913">
        <v>61</v>
      </c>
      <c r="E2913">
        <v>56</v>
      </c>
      <c r="F2913">
        <v>0</v>
      </c>
      <c r="G2913" t="s">
        <v>2023</v>
      </c>
      <c r="H2913" t="s">
        <v>52</v>
      </c>
      <c r="I2913" t="s">
        <v>2048</v>
      </c>
      <c r="J2913" t="s">
        <v>55</v>
      </c>
      <c r="K2913" t="s">
        <v>442</v>
      </c>
      <c r="M2913" t="s">
        <v>6</v>
      </c>
    </row>
    <row r="2914" spans="2:13" hidden="1">
      <c r="B2914">
        <v>2912</v>
      </c>
      <c r="C2914">
        <v>245</v>
      </c>
      <c r="D2914">
        <v>61</v>
      </c>
      <c r="E2914">
        <v>57</v>
      </c>
      <c r="F2914">
        <v>0</v>
      </c>
      <c r="G2914" t="s">
        <v>2023</v>
      </c>
      <c r="H2914" t="s">
        <v>52</v>
      </c>
      <c r="I2914" t="s">
        <v>2048</v>
      </c>
      <c r="J2914" t="s">
        <v>479</v>
      </c>
      <c r="K2914" t="s">
        <v>2073</v>
      </c>
      <c r="M2914" t="s">
        <v>6</v>
      </c>
    </row>
    <row r="2915" spans="2:13" hidden="1">
      <c r="B2915">
        <v>2913</v>
      </c>
      <c r="C2915">
        <v>245</v>
      </c>
      <c r="D2915">
        <v>61</v>
      </c>
      <c r="E2915">
        <v>58</v>
      </c>
      <c r="F2915">
        <v>0</v>
      </c>
      <c r="G2915" t="s">
        <v>2023</v>
      </c>
      <c r="H2915" t="s">
        <v>52</v>
      </c>
      <c r="I2915" t="s">
        <v>2048</v>
      </c>
      <c r="J2915" t="s">
        <v>55</v>
      </c>
      <c r="K2915" t="s">
        <v>2074</v>
      </c>
      <c r="M2915" t="s">
        <v>6</v>
      </c>
    </row>
    <row r="2916" spans="2:13" hidden="1">
      <c r="B2916">
        <v>2914</v>
      </c>
      <c r="C2916">
        <v>245</v>
      </c>
      <c r="D2916">
        <v>61</v>
      </c>
      <c r="E2916">
        <v>59</v>
      </c>
      <c r="F2916">
        <v>0</v>
      </c>
      <c r="G2916" t="s">
        <v>2023</v>
      </c>
      <c r="H2916" t="s">
        <v>52</v>
      </c>
      <c r="I2916" t="s">
        <v>2048</v>
      </c>
      <c r="J2916" t="s">
        <v>55</v>
      </c>
      <c r="K2916" t="s">
        <v>2075</v>
      </c>
      <c r="M2916" t="s">
        <v>6</v>
      </c>
    </row>
    <row r="2917" spans="2:13" hidden="1">
      <c r="B2917">
        <v>2915</v>
      </c>
      <c r="C2917">
        <v>245</v>
      </c>
      <c r="D2917">
        <v>61</v>
      </c>
      <c r="E2917">
        <v>60</v>
      </c>
      <c r="F2917">
        <v>0</v>
      </c>
      <c r="G2917" t="s">
        <v>2023</v>
      </c>
      <c r="H2917" t="s">
        <v>52</v>
      </c>
      <c r="I2917" t="s">
        <v>2048</v>
      </c>
      <c r="J2917" t="s">
        <v>55</v>
      </c>
      <c r="K2917" t="s">
        <v>2076</v>
      </c>
      <c r="M2917" t="s">
        <v>6</v>
      </c>
    </row>
    <row r="2918" spans="2:13" hidden="1">
      <c r="B2918">
        <v>2916</v>
      </c>
      <c r="C2918">
        <v>245</v>
      </c>
      <c r="D2918">
        <v>61</v>
      </c>
      <c r="E2918">
        <v>61</v>
      </c>
      <c r="F2918">
        <v>0</v>
      </c>
      <c r="G2918" t="s">
        <v>2023</v>
      </c>
      <c r="H2918" t="s">
        <v>52</v>
      </c>
      <c r="I2918" t="s">
        <v>2048</v>
      </c>
      <c r="J2918" t="s">
        <v>437</v>
      </c>
      <c r="K2918" t="s">
        <v>438</v>
      </c>
      <c r="L2918" t="s">
        <v>439</v>
      </c>
      <c r="M2918" t="s">
        <v>6</v>
      </c>
    </row>
    <row r="2919" spans="2:13" hidden="1">
      <c r="B2919">
        <v>2917</v>
      </c>
      <c r="C2919">
        <v>246</v>
      </c>
      <c r="D2919">
        <v>16</v>
      </c>
      <c r="E2919">
        <v>0</v>
      </c>
      <c r="F2919">
        <v>0</v>
      </c>
      <c r="G2919" t="s">
        <v>2023</v>
      </c>
      <c r="H2919" t="s">
        <v>52</v>
      </c>
      <c r="I2919" t="s">
        <v>2077</v>
      </c>
      <c r="J2919" t="s">
        <v>478</v>
      </c>
      <c r="K2919" t="s">
        <v>2077</v>
      </c>
      <c r="M2919" t="s">
        <v>6</v>
      </c>
    </row>
    <row r="2920" spans="2:13" hidden="1">
      <c r="B2920">
        <v>2918</v>
      </c>
      <c r="C2920">
        <v>246</v>
      </c>
      <c r="D2920">
        <v>16</v>
      </c>
      <c r="E2920">
        <v>1</v>
      </c>
      <c r="F2920">
        <v>0</v>
      </c>
      <c r="G2920" t="s">
        <v>2023</v>
      </c>
      <c r="H2920" t="s">
        <v>52</v>
      </c>
      <c r="I2920" t="s">
        <v>2077</v>
      </c>
      <c r="J2920" t="s">
        <v>55</v>
      </c>
      <c r="K2920" t="s">
        <v>429</v>
      </c>
      <c r="M2920" t="s">
        <v>6</v>
      </c>
    </row>
    <row r="2921" spans="2:13" hidden="1">
      <c r="B2921">
        <v>2919</v>
      </c>
      <c r="C2921">
        <v>246</v>
      </c>
      <c r="D2921">
        <v>16</v>
      </c>
      <c r="E2921">
        <v>2</v>
      </c>
      <c r="F2921">
        <v>0</v>
      </c>
      <c r="G2921" t="s">
        <v>2023</v>
      </c>
      <c r="H2921" t="s">
        <v>52</v>
      </c>
      <c r="I2921" t="s">
        <v>2077</v>
      </c>
      <c r="J2921" t="s">
        <v>55</v>
      </c>
      <c r="K2921" t="s">
        <v>902</v>
      </c>
      <c r="M2921" t="s">
        <v>6</v>
      </c>
    </row>
    <row r="2922" spans="2:13" hidden="1">
      <c r="B2922">
        <v>2920</v>
      </c>
      <c r="C2922">
        <v>246</v>
      </c>
      <c r="D2922">
        <v>16</v>
      </c>
      <c r="E2922">
        <v>3</v>
      </c>
      <c r="F2922">
        <v>0</v>
      </c>
      <c r="G2922" t="s">
        <v>2023</v>
      </c>
      <c r="H2922" t="s">
        <v>52</v>
      </c>
      <c r="I2922" t="s">
        <v>2077</v>
      </c>
      <c r="J2922" t="s">
        <v>55</v>
      </c>
      <c r="K2922" t="s">
        <v>903</v>
      </c>
      <c r="L2922" t="s">
        <v>2040</v>
      </c>
      <c r="M2922" t="s">
        <v>6</v>
      </c>
    </row>
    <row r="2923" spans="2:13" hidden="1">
      <c r="B2923">
        <v>2921</v>
      </c>
      <c r="C2923">
        <v>246</v>
      </c>
      <c r="D2923">
        <v>16</v>
      </c>
      <c r="E2923">
        <v>4</v>
      </c>
      <c r="F2923">
        <v>0</v>
      </c>
      <c r="G2923" t="s">
        <v>2023</v>
      </c>
      <c r="H2923" t="s">
        <v>52</v>
      </c>
      <c r="I2923" t="s">
        <v>2077</v>
      </c>
      <c r="J2923" t="s">
        <v>55</v>
      </c>
      <c r="K2923" t="s">
        <v>904</v>
      </c>
      <c r="L2923" t="s">
        <v>2040</v>
      </c>
      <c r="M2923" t="s">
        <v>6</v>
      </c>
    </row>
    <row r="2924" spans="2:13" hidden="1">
      <c r="B2924">
        <v>2922</v>
      </c>
      <c r="C2924">
        <v>246</v>
      </c>
      <c r="D2924">
        <v>16</v>
      </c>
      <c r="E2924">
        <v>5</v>
      </c>
      <c r="F2924">
        <v>0</v>
      </c>
      <c r="G2924" t="s">
        <v>2023</v>
      </c>
      <c r="H2924" t="s">
        <v>52</v>
      </c>
      <c r="I2924" t="s">
        <v>2077</v>
      </c>
      <c r="J2924" t="s">
        <v>55</v>
      </c>
      <c r="K2924" t="s">
        <v>905</v>
      </c>
      <c r="L2924" t="s">
        <v>2040</v>
      </c>
      <c r="M2924" t="s">
        <v>6</v>
      </c>
    </row>
    <row r="2925" spans="2:13" hidden="1">
      <c r="B2925">
        <v>2923</v>
      </c>
      <c r="C2925">
        <v>246</v>
      </c>
      <c r="D2925">
        <v>16</v>
      </c>
      <c r="E2925">
        <v>6</v>
      </c>
      <c r="F2925">
        <v>0</v>
      </c>
      <c r="G2925" t="s">
        <v>2023</v>
      </c>
      <c r="H2925" t="s">
        <v>52</v>
      </c>
      <c r="I2925" t="s">
        <v>2077</v>
      </c>
      <c r="J2925" t="s">
        <v>55</v>
      </c>
      <c r="K2925" t="s">
        <v>906</v>
      </c>
      <c r="L2925" t="s">
        <v>2040</v>
      </c>
      <c r="M2925" t="s">
        <v>6</v>
      </c>
    </row>
    <row r="2926" spans="2:13" hidden="1">
      <c r="B2926">
        <v>2924</v>
      </c>
      <c r="C2926">
        <v>246</v>
      </c>
      <c r="D2926">
        <v>16</v>
      </c>
      <c r="E2926">
        <v>7</v>
      </c>
      <c r="F2926">
        <v>0</v>
      </c>
      <c r="G2926" t="s">
        <v>2023</v>
      </c>
      <c r="H2926" t="s">
        <v>52</v>
      </c>
      <c r="I2926" t="s">
        <v>2077</v>
      </c>
      <c r="J2926" t="s">
        <v>55</v>
      </c>
      <c r="K2926" t="s">
        <v>907</v>
      </c>
      <c r="L2926" t="s">
        <v>2040</v>
      </c>
      <c r="M2926" t="s">
        <v>6</v>
      </c>
    </row>
    <row r="2927" spans="2:13" hidden="1">
      <c r="B2927">
        <v>2925</v>
      </c>
      <c r="C2927">
        <v>246</v>
      </c>
      <c r="D2927">
        <v>16</v>
      </c>
      <c r="E2927">
        <v>8</v>
      </c>
      <c r="F2927">
        <v>0</v>
      </c>
      <c r="G2927" t="s">
        <v>2023</v>
      </c>
      <c r="H2927" t="s">
        <v>52</v>
      </c>
      <c r="I2927" t="s">
        <v>2077</v>
      </c>
      <c r="J2927" t="s">
        <v>55</v>
      </c>
      <c r="K2927" t="s">
        <v>908</v>
      </c>
      <c r="L2927" t="s">
        <v>2040</v>
      </c>
      <c r="M2927" t="s">
        <v>6</v>
      </c>
    </row>
    <row r="2928" spans="2:13" hidden="1">
      <c r="B2928">
        <v>2926</v>
      </c>
      <c r="C2928">
        <v>246</v>
      </c>
      <c r="D2928">
        <v>16</v>
      </c>
      <c r="E2928">
        <v>9</v>
      </c>
      <c r="F2928">
        <v>0</v>
      </c>
      <c r="G2928" t="s">
        <v>2023</v>
      </c>
      <c r="H2928" t="s">
        <v>52</v>
      </c>
      <c r="I2928" t="s">
        <v>2077</v>
      </c>
      <c r="J2928" t="s">
        <v>55</v>
      </c>
      <c r="K2928" t="s">
        <v>909</v>
      </c>
      <c r="L2928" t="s">
        <v>2040</v>
      </c>
      <c r="M2928" t="s">
        <v>6</v>
      </c>
    </row>
    <row r="2929" spans="2:13" hidden="1">
      <c r="B2929">
        <v>2927</v>
      </c>
      <c r="C2929">
        <v>246</v>
      </c>
      <c r="D2929">
        <v>16</v>
      </c>
      <c r="E2929">
        <v>10</v>
      </c>
      <c r="F2929">
        <v>0</v>
      </c>
      <c r="G2929" t="s">
        <v>2023</v>
      </c>
      <c r="H2929" t="s">
        <v>52</v>
      </c>
      <c r="I2929" t="s">
        <v>2077</v>
      </c>
      <c r="J2929" t="s">
        <v>55</v>
      </c>
      <c r="K2929" t="s">
        <v>910</v>
      </c>
      <c r="M2929" t="s">
        <v>6</v>
      </c>
    </row>
    <row r="2930" spans="2:13" hidden="1">
      <c r="B2930">
        <v>2928</v>
      </c>
      <c r="C2930">
        <v>246</v>
      </c>
      <c r="D2930">
        <v>16</v>
      </c>
      <c r="E2930">
        <v>11</v>
      </c>
      <c r="F2930">
        <v>0</v>
      </c>
      <c r="G2930" t="s">
        <v>2023</v>
      </c>
      <c r="H2930" t="s">
        <v>52</v>
      </c>
      <c r="I2930" t="s">
        <v>2077</v>
      </c>
      <c r="J2930" t="s">
        <v>55</v>
      </c>
      <c r="K2930" t="s">
        <v>911</v>
      </c>
      <c r="M2930" t="s">
        <v>6</v>
      </c>
    </row>
    <row r="2931" spans="2:13" hidden="1">
      <c r="B2931">
        <v>2929</v>
      </c>
      <c r="C2931">
        <v>246</v>
      </c>
      <c r="D2931">
        <v>16</v>
      </c>
      <c r="E2931">
        <v>12</v>
      </c>
      <c r="F2931">
        <v>0</v>
      </c>
      <c r="G2931" t="s">
        <v>2023</v>
      </c>
      <c r="H2931" t="s">
        <v>52</v>
      </c>
      <c r="I2931" t="s">
        <v>2077</v>
      </c>
      <c r="J2931" t="s">
        <v>55</v>
      </c>
      <c r="K2931" t="s">
        <v>912</v>
      </c>
      <c r="M2931" t="s">
        <v>6</v>
      </c>
    </row>
    <row r="2932" spans="2:13" hidden="1">
      <c r="B2932">
        <v>2930</v>
      </c>
      <c r="C2932">
        <v>246</v>
      </c>
      <c r="D2932">
        <v>16</v>
      </c>
      <c r="E2932">
        <v>13</v>
      </c>
      <c r="F2932">
        <v>0</v>
      </c>
      <c r="G2932" t="s">
        <v>2023</v>
      </c>
      <c r="H2932" t="s">
        <v>52</v>
      </c>
      <c r="I2932" t="s">
        <v>2077</v>
      </c>
      <c r="J2932" t="s">
        <v>55</v>
      </c>
      <c r="K2932" t="s">
        <v>913</v>
      </c>
      <c r="M2932" t="s">
        <v>6</v>
      </c>
    </row>
    <row r="2933" spans="2:13" hidden="1">
      <c r="B2933">
        <v>2931</v>
      </c>
      <c r="C2933">
        <v>246</v>
      </c>
      <c r="D2933">
        <v>16</v>
      </c>
      <c r="E2933">
        <v>14</v>
      </c>
      <c r="F2933">
        <v>0</v>
      </c>
      <c r="G2933" t="s">
        <v>2023</v>
      </c>
      <c r="H2933" t="s">
        <v>52</v>
      </c>
      <c r="I2933" t="s">
        <v>2077</v>
      </c>
      <c r="J2933" t="s">
        <v>55</v>
      </c>
      <c r="K2933" t="s">
        <v>914</v>
      </c>
      <c r="M2933" t="s">
        <v>6</v>
      </c>
    </row>
    <row r="2934" spans="2:13" hidden="1">
      <c r="B2934">
        <v>2932</v>
      </c>
      <c r="C2934">
        <v>246</v>
      </c>
      <c r="D2934">
        <v>16</v>
      </c>
      <c r="E2934">
        <v>15</v>
      </c>
      <c r="F2934">
        <v>0</v>
      </c>
      <c r="G2934" t="s">
        <v>2023</v>
      </c>
      <c r="H2934" t="s">
        <v>52</v>
      </c>
      <c r="I2934" t="s">
        <v>2077</v>
      </c>
      <c r="J2934" t="s">
        <v>55</v>
      </c>
      <c r="K2934" t="s">
        <v>915</v>
      </c>
      <c r="M2934" t="s">
        <v>6</v>
      </c>
    </row>
    <row r="2935" spans="2:13" hidden="1">
      <c r="B2935">
        <v>2933</v>
      </c>
      <c r="C2935">
        <v>246</v>
      </c>
      <c r="D2935">
        <v>16</v>
      </c>
      <c r="E2935">
        <v>16</v>
      </c>
      <c r="F2935">
        <v>0</v>
      </c>
      <c r="G2935" t="s">
        <v>2023</v>
      </c>
      <c r="H2935" t="s">
        <v>52</v>
      </c>
      <c r="I2935" t="s">
        <v>2077</v>
      </c>
      <c r="J2935" t="s">
        <v>55</v>
      </c>
      <c r="K2935" t="s">
        <v>916</v>
      </c>
      <c r="M2935" t="s">
        <v>6</v>
      </c>
    </row>
    <row r="2936" spans="2:13" hidden="1">
      <c r="B2936">
        <v>2934</v>
      </c>
      <c r="C2936">
        <v>250</v>
      </c>
      <c r="D2936">
        <v>16</v>
      </c>
      <c r="E2936">
        <v>0</v>
      </c>
      <c r="F2936">
        <v>0</v>
      </c>
      <c r="G2936" t="s">
        <v>22</v>
      </c>
      <c r="H2936" t="s">
        <v>52</v>
      </c>
      <c r="I2936" t="s">
        <v>2078</v>
      </c>
      <c r="J2936" t="s">
        <v>478</v>
      </c>
      <c r="K2936" t="s">
        <v>2078</v>
      </c>
      <c r="M2936" t="s">
        <v>6</v>
      </c>
    </row>
    <row r="2937" spans="2:13" hidden="1">
      <c r="B2937">
        <v>2935</v>
      </c>
      <c r="C2937">
        <v>250</v>
      </c>
      <c r="D2937">
        <v>16</v>
      </c>
      <c r="E2937">
        <v>1</v>
      </c>
      <c r="F2937">
        <v>0</v>
      </c>
      <c r="G2937" t="s">
        <v>22</v>
      </c>
      <c r="H2937" t="s">
        <v>52</v>
      </c>
      <c r="I2937" t="s">
        <v>2078</v>
      </c>
      <c r="J2937" t="s">
        <v>2079</v>
      </c>
      <c r="K2937" t="s">
        <v>2080</v>
      </c>
      <c r="M2937" t="s">
        <v>6</v>
      </c>
    </row>
    <row r="2938" spans="2:13" hidden="1">
      <c r="B2938">
        <v>2936</v>
      </c>
      <c r="C2938">
        <v>250</v>
      </c>
      <c r="D2938">
        <v>16</v>
      </c>
      <c r="E2938">
        <v>2</v>
      </c>
      <c r="F2938">
        <v>0</v>
      </c>
      <c r="G2938" t="s">
        <v>22</v>
      </c>
      <c r="H2938" t="s">
        <v>52</v>
      </c>
      <c r="I2938" t="s">
        <v>2078</v>
      </c>
      <c r="J2938" t="s">
        <v>420</v>
      </c>
      <c r="K2938" t="s">
        <v>2081</v>
      </c>
      <c r="M2938" t="s">
        <v>6</v>
      </c>
    </row>
    <row r="2939" spans="2:13" hidden="1">
      <c r="B2939">
        <v>2937</v>
      </c>
      <c r="C2939">
        <v>250</v>
      </c>
      <c r="D2939">
        <v>16</v>
      </c>
      <c r="E2939">
        <v>3</v>
      </c>
      <c r="F2939">
        <v>0</v>
      </c>
      <c r="G2939" t="s">
        <v>22</v>
      </c>
      <c r="H2939" t="s">
        <v>52</v>
      </c>
      <c r="I2939" t="s">
        <v>2078</v>
      </c>
      <c r="J2939" t="s">
        <v>55</v>
      </c>
      <c r="K2939" t="s">
        <v>2082</v>
      </c>
      <c r="M2939" t="s">
        <v>6</v>
      </c>
    </row>
    <row r="2940" spans="2:13" hidden="1">
      <c r="B2940">
        <v>2938</v>
      </c>
      <c r="C2940">
        <v>250</v>
      </c>
      <c r="D2940">
        <v>16</v>
      </c>
      <c r="E2940">
        <v>4</v>
      </c>
      <c r="F2940">
        <v>0</v>
      </c>
      <c r="G2940" t="s">
        <v>22</v>
      </c>
      <c r="H2940" t="s">
        <v>52</v>
      </c>
      <c r="I2940" t="s">
        <v>2078</v>
      </c>
      <c r="J2940" t="s">
        <v>55</v>
      </c>
      <c r="K2940" t="s">
        <v>2083</v>
      </c>
      <c r="M2940" t="s">
        <v>6</v>
      </c>
    </row>
    <row r="2941" spans="2:13" hidden="1">
      <c r="B2941">
        <v>2939</v>
      </c>
      <c r="C2941">
        <v>250</v>
      </c>
      <c r="D2941">
        <v>16</v>
      </c>
      <c r="E2941">
        <v>5</v>
      </c>
      <c r="F2941">
        <v>0</v>
      </c>
      <c r="G2941" t="s">
        <v>22</v>
      </c>
      <c r="H2941" t="s">
        <v>52</v>
      </c>
      <c r="I2941" t="s">
        <v>2078</v>
      </c>
      <c r="J2941" t="s">
        <v>55</v>
      </c>
      <c r="K2941" t="s">
        <v>2084</v>
      </c>
      <c r="M2941" t="s">
        <v>6</v>
      </c>
    </row>
    <row r="2942" spans="2:13" hidden="1">
      <c r="B2942">
        <v>2940</v>
      </c>
      <c r="C2942">
        <v>250</v>
      </c>
      <c r="D2942">
        <v>16</v>
      </c>
      <c r="E2942">
        <v>6</v>
      </c>
      <c r="F2942">
        <v>0</v>
      </c>
      <c r="G2942" t="s">
        <v>22</v>
      </c>
      <c r="H2942" t="s">
        <v>52</v>
      </c>
      <c r="I2942" t="s">
        <v>2078</v>
      </c>
      <c r="J2942" t="s">
        <v>55</v>
      </c>
      <c r="K2942" t="s">
        <v>2085</v>
      </c>
      <c r="M2942" t="s">
        <v>6</v>
      </c>
    </row>
    <row r="2943" spans="2:13" hidden="1">
      <c r="B2943">
        <v>2941</v>
      </c>
      <c r="C2943">
        <v>250</v>
      </c>
      <c r="D2943">
        <v>16</v>
      </c>
      <c r="E2943">
        <v>7</v>
      </c>
      <c r="F2943">
        <v>0</v>
      </c>
      <c r="G2943" t="s">
        <v>22</v>
      </c>
      <c r="H2943" t="s">
        <v>52</v>
      </c>
      <c r="I2943" t="s">
        <v>2078</v>
      </c>
      <c r="J2943" t="s">
        <v>55</v>
      </c>
      <c r="K2943" t="s">
        <v>2086</v>
      </c>
      <c r="M2943" t="s">
        <v>6</v>
      </c>
    </row>
    <row r="2944" spans="2:13" hidden="1">
      <c r="B2944">
        <v>2942</v>
      </c>
      <c r="C2944">
        <v>250</v>
      </c>
      <c r="D2944">
        <v>16</v>
      </c>
      <c r="E2944">
        <v>8</v>
      </c>
      <c r="F2944">
        <v>0</v>
      </c>
      <c r="G2944" t="s">
        <v>22</v>
      </c>
      <c r="H2944" t="s">
        <v>52</v>
      </c>
      <c r="I2944" t="s">
        <v>2078</v>
      </c>
      <c r="J2944" t="s">
        <v>55</v>
      </c>
      <c r="K2944" t="s">
        <v>2087</v>
      </c>
      <c r="M2944" t="s">
        <v>6</v>
      </c>
    </row>
    <row r="2945" spans="2:13" hidden="1">
      <c r="B2945">
        <v>2943</v>
      </c>
      <c r="C2945">
        <v>250</v>
      </c>
      <c r="D2945">
        <v>16</v>
      </c>
      <c r="E2945">
        <v>9</v>
      </c>
      <c r="F2945">
        <v>0</v>
      </c>
      <c r="G2945" t="s">
        <v>22</v>
      </c>
      <c r="H2945" t="s">
        <v>52</v>
      </c>
      <c r="I2945" t="s">
        <v>2078</v>
      </c>
      <c r="J2945" t="s">
        <v>55</v>
      </c>
      <c r="K2945" t="s">
        <v>2088</v>
      </c>
      <c r="M2945" t="s">
        <v>6</v>
      </c>
    </row>
    <row r="2946" spans="2:13" hidden="1">
      <c r="B2946">
        <v>2944</v>
      </c>
      <c r="C2946">
        <v>250</v>
      </c>
      <c r="D2946">
        <v>16</v>
      </c>
      <c r="E2946">
        <v>10</v>
      </c>
      <c r="F2946">
        <v>0</v>
      </c>
      <c r="G2946" t="s">
        <v>22</v>
      </c>
      <c r="H2946" t="s">
        <v>52</v>
      </c>
      <c r="I2946" t="s">
        <v>2078</v>
      </c>
      <c r="J2946" t="s">
        <v>55</v>
      </c>
      <c r="K2946" t="s">
        <v>2089</v>
      </c>
      <c r="M2946" t="s">
        <v>6</v>
      </c>
    </row>
    <row r="2947" spans="2:13" hidden="1">
      <c r="B2947">
        <v>2945</v>
      </c>
      <c r="C2947">
        <v>250</v>
      </c>
      <c r="D2947">
        <v>16</v>
      </c>
      <c r="E2947">
        <v>11</v>
      </c>
      <c r="F2947">
        <v>0</v>
      </c>
      <c r="G2947" t="s">
        <v>22</v>
      </c>
      <c r="H2947" t="s">
        <v>52</v>
      </c>
      <c r="I2947" t="s">
        <v>2078</v>
      </c>
      <c r="J2947" t="s">
        <v>55</v>
      </c>
      <c r="K2947" t="s">
        <v>2090</v>
      </c>
      <c r="M2947" t="s">
        <v>6</v>
      </c>
    </row>
    <row r="2948" spans="2:13" hidden="1">
      <c r="B2948">
        <v>2946</v>
      </c>
      <c r="C2948">
        <v>250</v>
      </c>
      <c r="D2948">
        <v>16</v>
      </c>
      <c r="E2948">
        <v>12</v>
      </c>
      <c r="F2948">
        <v>0</v>
      </c>
      <c r="G2948" t="s">
        <v>22</v>
      </c>
      <c r="H2948" t="s">
        <v>52</v>
      </c>
      <c r="I2948" t="s">
        <v>2078</v>
      </c>
      <c r="J2948" t="s">
        <v>55</v>
      </c>
      <c r="K2948" t="s">
        <v>2091</v>
      </c>
      <c r="M2948" t="s">
        <v>6</v>
      </c>
    </row>
    <row r="2949" spans="2:13" hidden="1">
      <c r="B2949">
        <v>2947</v>
      </c>
      <c r="C2949">
        <v>250</v>
      </c>
      <c r="D2949">
        <v>16</v>
      </c>
      <c r="E2949">
        <v>13</v>
      </c>
      <c r="F2949">
        <v>0</v>
      </c>
      <c r="G2949" t="s">
        <v>22</v>
      </c>
      <c r="H2949" t="s">
        <v>52</v>
      </c>
      <c r="I2949" t="s">
        <v>2078</v>
      </c>
      <c r="J2949" t="s">
        <v>55</v>
      </c>
      <c r="K2949" t="s">
        <v>2092</v>
      </c>
      <c r="M2949" t="s">
        <v>6</v>
      </c>
    </row>
    <row r="2950" spans="2:13" hidden="1">
      <c r="B2950">
        <v>2948</v>
      </c>
      <c r="C2950">
        <v>250</v>
      </c>
      <c r="D2950">
        <v>16</v>
      </c>
      <c r="E2950">
        <v>14</v>
      </c>
      <c r="F2950">
        <v>0</v>
      </c>
      <c r="G2950" t="s">
        <v>22</v>
      </c>
      <c r="H2950" t="s">
        <v>52</v>
      </c>
      <c r="I2950" t="s">
        <v>2078</v>
      </c>
      <c r="J2950" t="s">
        <v>55</v>
      </c>
      <c r="K2950" t="s">
        <v>2093</v>
      </c>
      <c r="M2950" t="s">
        <v>6</v>
      </c>
    </row>
    <row r="2951" spans="2:13" hidden="1">
      <c r="B2951">
        <v>2949</v>
      </c>
      <c r="C2951">
        <v>250</v>
      </c>
      <c r="D2951">
        <v>16</v>
      </c>
      <c r="E2951">
        <v>15</v>
      </c>
      <c r="F2951">
        <v>0</v>
      </c>
      <c r="G2951" t="s">
        <v>22</v>
      </c>
      <c r="H2951" t="s">
        <v>52</v>
      </c>
      <c r="I2951" t="s">
        <v>2078</v>
      </c>
      <c r="J2951" t="s">
        <v>55</v>
      </c>
      <c r="K2951" t="s">
        <v>2094</v>
      </c>
      <c r="M2951" t="s">
        <v>6</v>
      </c>
    </row>
    <row r="2952" spans="2:13" hidden="1">
      <c r="B2952">
        <v>2950</v>
      </c>
      <c r="C2952">
        <v>250</v>
      </c>
      <c r="D2952">
        <v>16</v>
      </c>
      <c r="E2952">
        <v>16</v>
      </c>
      <c r="F2952">
        <v>0</v>
      </c>
      <c r="G2952" t="s">
        <v>22</v>
      </c>
      <c r="H2952" t="s">
        <v>52</v>
      </c>
      <c r="I2952" t="s">
        <v>2078</v>
      </c>
      <c r="J2952" t="s">
        <v>2095</v>
      </c>
      <c r="K2952" t="s">
        <v>2096</v>
      </c>
      <c r="M2952" t="s">
        <v>6</v>
      </c>
    </row>
    <row r="2953" spans="2:13" hidden="1">
      <c r="B2953">
        <v>2951</v>
      </c>
      <c r="C2953">
        <v>251</v>
      </c>
      <c r="D2953">
        <v>25</v>
      </c>
      <c r="E2953">
        <v>0</v>
      </c>
      <c r="F2953">
        <v>0</v>
      </c>
      <c r="G2953" t="s">
        <v>18</v>
      </c>
      <c r="H2953" t="s">
        <v>9</v>
      </c>
      <c r="I2953" t="s">
        <v>2097</v>
      </c>
      <c r="J2953" t="s">
        <v>478</v>
      </c>
      <c r="K2953" t="s">
        <v>2097</v>
      </c>
      <c r="M2953" t="s">
        <v>6</v>
      </c>
    </row>
    <row r="2954" spans="2:13" hidden="1">
      <c r="B2954">
        <v>2952</v>
      </c>
      <c r="C2954">
        <v>251</v>
      </c>
      <c r="D2954">
        <v>25</v>
      </c>
      <c r="E2954">
        <v>1</v>
      </c>
      <c r="F2954">
        <v>0</v>
      </c>
      <c r="G2954" t="s">
        <v>18</v>
      </c>
      <c r="H2954" t="s">
        <v>9</v>
      </c>
      <c r="I2954" t="s">
        <v>2097</v>
      </c>
      <c r="J2954" t="s">
        <v>1184</v>
      </c>
      <c r="K2954" t="s">
        <v>2098</v>
      </c>
      <c r="M2954" t="s">
        <v>6</v>
      </c>
    </row>
    <row r="2955" spans="2:13" hidden="1">
      <c r="B2955">
        <v>2953</v>
      </c>
      <c r="C2955">
        <v>251</v>
      </c>
      <c r="D2955">
        <v>25</v>
      </c>
      <c r="E2955">
        <v>2</v>
      </c>
      <c r="F2955">
        <v>0</v>
      </c>
      <c r="G2955" t="s">
        <v>18</v>
      </c>
      <c r="H2955" t="s">
        <v>9</v>
      </c>
      <c r="I2955" t="s">
        <v>2097</v>
      </c>
      <c r="J2955" t="s">
        <v>55</v>
      </c>
      <c r="K2955" t="s">
        <v>2099</v>
      </c>
      <c r="M2955" t="s">
        <v>6</v>
      </c>
    </row>
    <row r="2956" spans="2:13" hidden="1">
      <c r="B2956">
        <v>2954</v>
      </c>
      <c r="C2956">
        <v>251</v>
      </c>
      <c r="D2956">
        <v>25</v>
      </c>
      <c r="E2956">
        <v>3</v>
      </c>
      <c r="F2956">
        <v>0</v>
      </c>
      <c r="G2956" t="s">
        <v>18</v>
      </c>
      <c r="H2956" t="s">
        <v>9</v>
      </c>
      <c r="I2956" t="s">
        <v>2097</v>
      </c>
      <c r="J2956" t="s">
        <v>214</v>
      </c>
      <c r="K2956" t="s">
        <v>853</v>
      </c>
      <c r="M2956" t="s">
        <v>6</v>
      </c>
    </row>
    <row r="2957" spans="2:13" hidden="1">
      <c r="B2957">
        <v>2955</v>
      </c>
      <c r="C2957">
        <v>251</v>
      </c>
      <c r="D2957">
        <v>25</v>
      </c>
      <c r="E2957">
        <v>4</v>
      </c>
      <c r="F2957">
        <v>0</v>
      </c>
      <c r="G2957" t="s">
        <v>18</v>
      </c>
      <c r="H2957" t="s">
        <v>9</v>
      </c>
      <c r="I2957" t="s">
        <v>2097</v>
      </c>
      <c r="J2957" t="s">
        <v>55</v>
      </c>
      <c r="K2957" t="s">
        <v>854</v>
      </c>
      <c r="M2957" t="s">
        <v>6</v>
      </c>
    </row>
    <row r="2958" spans="2:13" hidden="1">
      <c r="B2958">
        <v>2956</v>
      </c>
      <c r="C2958">
        <v>251</v>
      </c>
      <c r="D2958">
        <v>25</v>
      </c>
      <c r="E2958">
        <v>5</v>
      </c>
      <c r="F2958">
        <v>0</v>
      </c>
      <c r="G2958" t="s">
        <v>18</v>
      </c>
      <c r="H2958" t="s">
        <v>9</v>
      </c>
      <c r="I2958" t="s">
        <v>2097</v>
      </c>
      <c r="J2958" t="s">
        <v>99</v>
      </c>
      <c r="K2958" t="s">
        <v>2100</v>
      </c>
      <c r="M2958" t="s">
        <v>6</v>
      </c>
    </row>
    <row r="2959" spans="2:13" hidden="1">
      <c r="B2959">
        <v>2957</v>
      </c>
      <c r="C2959">
        <v>251</v>
      </c>
      <c r="D2959">
        <v>25</v>
      </c>
      <c r="E2959">
        <v>6</v>
      </c>
      <c r="F2959">
        <v>0</v>
      </c>
      <c r="G2959" t="s">
        <v>18</v>
      </c>
      <c r="H2959" t="s">
        <v>9</v>
      </c>
      <c r="I2959" t="s">
        <v>2097</v>
      </c>
      <c r="J2959" t="s">
        <v>55</v>
      </c>
      <c r="K2959" t="s">
        <v>2101</v>
      </c>
      <c r="M2959" t="s">
        <v>6</v>
      </c>
    </row>
    <row r="2960" spans="2:13" hidden="1">
      <c r="B2960">
        <v>2958</v>
      </c>
      <c r="C2960">
        <v>251</v>
      </c>
      <c r="D2960">
        <v>25</v>
      </c>
      <c r="E2960">
        <v>7</v>
      </c>
      <c r="F2960">
        <v>0</v>
      </c>
      <c r="G2960" t="s">
        <v>18</v>
      </c>
      <c r="H2960" t="s">
        <v>9</v>
      </c>
      <c r="I2960" t="s">
        <v>2097</v>
      </c>
      <c r="J2960" t="s">
        <v>55</v>
      </c>
      <c r="K2960" t="s">
        <v>2102</v>
      </c>
      <c r="M2960" t="s">
        <v>6</v>
      </c>
    </row>
    <row r="2961" spans="2:13" hidden="1">
      <c r="B2961">
        <v>2959</v>
      </c>
      <c r="C2961">
        <v>251</v>
      </c>
      <c r="D2961">
        <v>25</v>
      </c>
      <c r="E2961">
        <v>8</v>
      </c>
      <c r="F2961">
        <v>0</v>
      </c>
      <c r="G2961" t="s">
        <v>18</v>
      </c>
      <c r="H2961" t="s">
        <v>9</v>
      </c>
      <c r="I2961" t="s">
        <v>2097</v>
      </c>
      <c r="J2961" t="s">
        <v>55</v>
      </c>
      <c r="K2961" t="s">
        <v>2103</v>
      </c>
      <c r="M2961" t="s">
        <v>6</v>
      </c>
    </row>
    <row r="2962" spans="2:13" hidden="1">
      <c r="B2962">
        <v>2960</v>
      </c>
      <c r="C2962">
        <v>251</v>
      </c>
      <c r="D2962">
        <v>25</v>
      </c>
      <c r="E2962">
        <v>9</v>
      </c>
      <c r="F2962">
        <v>0</v>
      </c>
      <c r="G2962" t="s">
        <v>18</v>
      </c>
      <c r="H2962" t="s">
        <v>9</v>
      </c>
      <c r="I2962" t="s">
        <v>2097</v>
      </c>
      <c r="J2962" t="s">
        <v>55</v>
      </c>
      <c r="K2962" t="s">
        <v>2104</v>
      </c>
      <c r="M2962" t="s">
        <v>6</v>
      </c>
    </row>
    <row r="2963" spans="2:13" hidden="1">
      <c r="B2963">
        <v>2961</v>
      </c>
      <c r="C2963">
        <v>251</v>
      </c>
      <c r="D2963">
        <v>25</v>
      </c>
      <c r="E2963">
        <v>10</v>
      </c>
      <c r="F2963">
        <v>0</v>
      </c>
      <c r="G2963" t="s">
        <v>18</v>
      </c>
      <c r="H2963" t="s">
        <v>9</v>
      </c>
      <c r="I2963" t="s">
        <v>2097</v>
      </c>
      <c r="J2963" t="s">
        <v>55</v>
      </c>
      <c r="K2963" t="s">
        <v>2105</v>
      </c>
      <c r="M2963" t="s">
        <v>6</v>
      </c>
    </row>
    <row r="2964" spans="2:13" hidden="1">
      <c r="B2964">
        <v>2962</v>
      </c>
      <c r="C2964">
        <v>251</v>
      </c>
      <c r="D2964">
        <v>25</v>
      </c>
      <c r="E2964">
        <v>11</v>
      </c>
      <c r="F2964">
        <v>0</v>
      </c>
      <c r="G2964" t="s">
        <v>18</v>
      </c>
      <c r="H2964" t="s">
        <v>9</v>
      </c>
      <c r="I2964" t="s">
        <v>2097</v>
      </c>
      <c r="J2964" t="s">
        <v>64</v>
      </c>
      <c r="K2964" t="s">
        <v>94</v>
      </c>
      <c r="M2964" t="s">
        <v>6</v>
      </c>
    </row>
    <row r="2965" spans="2:13" hidden="1">
      <c r="B2965">
        <v>2963</v>
      </c>
      <c r="C2965">
        <v>251</v>
      </c>
      <c r="D2965">
        <v>25</v>
      </c>
      <c r="E2965">
        <v>12</v>
      </c>
      <c r="F2965">
        <v>0</v>
      </c>
      <c r="G2965" t="s">
        <v>18</v>
      </c>
      <c r="H2965" t="s">
        <v>9</v>
      </c>
      <c r="I2965" t="s">
        <v>2097</v>
      </c>
      <c r="J2965" t="s">
        <v>1184</v>
      </c>
      <c r="K2965" t="s">
        <v>2106</v>
      </c>
      <c r="M2965" t="s">
        <v>6</v>
      </c>
    </row>
    <row r="2966" spans="2:13" hidden="1">
      <c r="B2966">
        <v>2964</v>
      </c>
      <c r="C2966">
        <v>251</v>
      </c>
      <c r="D2966">
        <v>25</v>
      </c>
      <c r="E2966">
        <v>13</v>
      </c>
      <c r="F2966">
        <v>0</v>
      </c>
      <c r="G2966" t="s">
        <v>18</v>
      </c>
      <c r="H2966" t="s">
        <v>9</v>
      </c>
      <c r="I2966" t="s">
        <v>2097</v>
      </c>
      <c r="J2966" t="s">
        <v>55</v>
      </c>
      <c r="K2966" t="s">
        <v>2099</v>
      </c>
      <c r="M2966" t="s">
        <v>6</v>
      </c>
    </row>
    <row r="2967" spans="2:13" hidden="1">
      <c r="B2967">
        <v>2965</v>
      </c>
      <c r="C2967">
        <v>251</v>
      </c>
      <c r="D2967">
        <v>25</v>
      </c>
      <c r="E2967">
        <v>14</v>
      </c>
      <c r="F2967">
        <v>0</v>
      </c>
      <c r="G2967" t="s">
        <v>18</v>
      </c>
      <c r="H2967" t="s">
        <v>9</v>
      </c>
      <c r="I2967" t="s">
        <v>2097</v>
      </c>
      <c r="J2967" t="s">
        <v>214</v>
      </c>
      <c r="K2967" t="s">
        <v>853</v>
      </c>
      <c r="M2967" t="s">
        <v>6</v>
      </c>
    </row>
    <row r="2968" spans="2:13" hidden="1">
      <c r="B2968">
        <v>2966</v>
      </c>
      <c r="C2968">
        <v>251</v>
      </c>
      <c r="D2968">
        <v>25</v>
      </c>
      <c r="E2968">
        <v>15</v>
      </c>
      <c r="F2968">
        <v>0</v>
      </c>
      <c r="G2968" t="s">
        <v>18</v>
      </c>
      <c r="H2968" t="s">
        <v>9</v>
      </c>
      <c r="I2968" t="s">
        <v>2097</v>
      </c>
      <c r="J2968" t="s">
        <v>55</v>
      </c>
      <c r="K2968" t="s">
        <v>854</v>
      </c>
      <c r="M2968" t="s">
        <v>6</v>
      </c>
    </row>
    <row r="2969" spans="2:13" hidden="1">
      <c r="B2969">
        <v>2967</v>
      </c>
      <c r="C2969">
        <v>251</v>
      </c>
      <c r="D2969">
        <v>25</v>
      </c>
      <c r="E2969">
        <v>16</v>
      </c>
      <c r="F2969">
        <v>0</v>
      </c>
      <c r="G2969" t="s">
        <v>18</v>
      </c>
      <c r="H2969" t="s">
        <v>9</v>
      </c>
      <c r="I2969" t="s">
        <v>2097</v>
      </c>
      <c r="J2969" t="s">
        <v>55</v>
      </c>
      <c r="K2969" t="s">
        <v>2107</v>
      </c>
      <c r="M2969" t="s">
        <v>6</v>
      </c>
    </row>
    <row r="2970" spans="2:13" hidden="1">
      <c r="B2970">
        <v>2968</v>
      </c>
      <c r="C2970">
        <v>251</v>
      </c>
      <c r="D2970">
        <v>25</v>
      </c>
      <c r="E2970">
        <v>17</v>
      </c>
      <c r="F2970">
        <v>0</v>
      </c>
      <c r="G2970" t="s">
        <v>18</v>
      </c>
      <c r="H2970" t="s">
        <v>9</v>
      </c>
      <c r="I2970" t="s">
        <v>2097</v>
      </c>
      <c r="J2970" t="s">
        <v>55</v>
      </c>
      <c r="K2970" t="s">
        <v>2108</v>
      </c>
      <c r="M2970" t="s">
        <v>6</v>
      </c>
    </row>
    <row r="2971" spans="2:13" hidden="1">
      <c r="B2971">
        <v>2969</v>
      </c>
      <c r="C2971">
        <v>251</v>
      </c>
      <c r="D2971">
        <v>25</v>
      </c>
      <c r="E2971">
        <v>18</v>
      </c>
      <c r="F2971">
        <v>0</v>
      </c>
      <c r="G2971" t="s">
        <v>18</v>
      </c>
      <c r="H2971" t="s">
        <v>9</v>
      </c>
      <c r="I2971" t="s">
        <v>2097</v>
      </c>
      <c r="J2971" t="s">
        <v>55</v>
      </c>
      <c r="K2971" t="s">
        <v>2109</v>
      </c>
      <c r="M2971" t="s">
        <v>6</v>
      </c>
    </row>
    <row r="2972" spans="2:13" hidden="1">
      <c r="B2972">
        <v>2970</v>
      </c>
      <c r="C2972">
        <v>251</v>
      </c>
      <c r="D2972">
        <v>25</v>
      </c>
      <c r="E2972">
        <v>19</v>
      </c>
      <c r="F2972">
        <v>0</v>
      </c>
      <c r="G2972" t="s">
        <v>18</v>
      </c>
      <c r="H2972" t="s">
        <v>9</v>
      </c>
      <c r="I2972" t="s">
        <v>2097</v>
      </c>
      <c r="J2972" t="s">
        <v>55</v>
      </c>
      <c r="K2972" t="s">
        <v>2110</v>
      </c>
      <c r="M2972" t="s">
        <v>6</v>
      </c>
    </row>
    <row r="2973" spans="2:13" hidden="1">
      <c r="B2973">
        <v>2971</v>
      </c>
      <c r="C2973">
        <v>251</v>
      </c>
      <c r="D2973">
        <v>25</v>
      </c>
      <c r="E2973">
        <v>20</v>
      </c>
      <c r="F2973">
        <v>0</v>
      </c>
      <c r="G2973" t="s">
        <v>18</v>
      </c>
      <c r="H2973" t="s">
        <v>9</v>
      </c>
      <c r="I2973" t="s">
        <v>2097</v>
      </c>
      <c r="J2973" t="s">
        <v>55</v>
      </c>
      <c r="K2973" t="s">
        <v>2111</v>
      </c>
      <c r="M2973" t="s">
        <v>6</v>
      </c>
    </row>
    <row r="2974" spans="2:13" hidden="1">
      <c r="B2974">
        <v>2972</v>
      </c>
      <c r="C2974">
        <v>251</v>
      </c>
      <c r="D2974">
        <v>25</v>
      </c>
      <c r="E2974">
        <v>21</v>
      </c>
      <c r="F2974">
        <v>0</v>
      </c>
      <c r="G2974" t="s">
        <v>18</v>
      </c>
      <c r="H2974" t="s">
        <v>9</v>
      </c>
      <c r="I2974" t="s">
        <v>2097</v>
      </c>
      <c r="J2974" t="s">
        <v>55</v>
      </c>
      <c r="K2974" t="s">
        <v>2112</v>
      </c>
      <c r="M2974" t="s">
        <v>6</v>
      </c>
    </row>
    <row r="2975" spans="2:13" hidden="1">
      <c r="B2975">
        <v>2973</v>
      </c>
      <c r="C2975">
        <v>251</v>
      </c>
      <c r="D2975">
        <v>25</v>
      </c>
      <c r="E2975">
        <v>22</v>
      </c>
      <c r="F2975">
        <v>0</v>
      </c>
      <c r="G2975" t="s">
        <v>18</v>
      </c>
      <c r="H2975" t="s">
        <v>9</v>
      </c>
      <c r="I2975" t="s">
        <v>2097</v>
      </c>
      <c r="J2975" t="s">
        <v>55</v>
      </c>
      <c r="K2975" t="s">
        <v>2113</v>
      </c>
      <c r="M2975" t="s">
        <v>6</v>
      </c>
    </row>
    <row r="2976" spans="2:13" hidden="1">
      <c r="B2976">
        <v>2974</v>
      </c>
      <c r="C2976">
        <v>251</v>
      </c>
      <c r="D2976">
        <v>25</v>
      </c>
      <c r="E2976">
        <v>23</v>
      </c>
      <c r="F2976">
        <v>0</v>
      </c>
      <c r="G2976" t="s">
        <v>18</v>
      </c>
      <c r="H2976" t="s">
        <v>9</v>
      </c>
      <c r="I2976" t="s">
        <v>2097</v>
      </c>
      <c r="J2976" t="s">
        <v>55</v>
      </c>
      <c r="K2976" t="s">
        <v>2103</v>
      </c>
      <c r="M2976" t="s">
        <v>6</v>
      </c>
    </row>
    <row r="2977" spans="2:13" hidden="1">
      <c r="B2977">
        <v>2975</v>
      </c>
      <c r="C2977">
        <v>251</v>
      </c>
      <c r="D2977">
        <v>25</v>
      </c>
      <c r="E2977">
        <v>24</v>
      </c>
      <c r="F2977">
        <v>0</v>
      </c>
      <c r="G2977" t="s">
        <v>18</v>
      </c>
      <c r="H2977" t="s">
        <v>9</v>
      </c>
      <c r="I2977" t="s">
        <v>2097</v>
      </c>
      <c r="J2977" t="s">
        <v>55</v>
      </c>
      <c r="K2977" t="s">
        <v>2105</v>
      </c>
      <c r="M2977" t="s">
        <v>6</v>
      </c>
    </row>
    <row r="2978" spans="2:13" hidden="1">
      <c r="B2978">
        <v>2976</v>
      </c>
      <c r="C2978">
        <v>251</v>
      </c>
      <c r="D2978">
        <v>25</v>
      </c>
      <c r="E2978">
        <v>25</v>
      </c>
      <c r="F2978">
        <v>0</v>
      </c>
      <c r="G2978" t="s">
        <v>18</v>
      </c>
      <c r="H2978" t="s">
        <v>9</v>
      </c>
      <c r="I2978" t="s">
        <v>2097</v>
      </c>
      <c r="J2978" t="s">
        <v>64</v>
      </c>
      <c r="K2978" t="s">
        <v>94</v>
      </c>
      <c r="M2978" t="s">
        <v>6</v>
      </c>
    </row>
    <row r="2979" spans="2:13" hidden="1">
      <c r="B2979">
        <v>2977</v>
      </c>
      <c r="C2979">
        <v>252</v>
      </c>
      <c r="D2979">
        <v>19</v>
      </c>
      <c r="E2979">
        <v>0</v>
      </c>
      <c r="F2979">
        <v>0</v>
      </c>
      <c r="G2979" t="s">
        <v>917</v>
      </c>
      <c r="H2979" t="s">
        <v>918</v>
      </c>
      <c r="I2979" t="s">
        <v>2114</v>
      </c>
      <c r="J2979" t="s">
        <v>478</v>
      </c>
      <c r="K2979" t="s">
        <v>2114</v>
      </c>
      <c r="M2979" t="s">
        <v>6</v>
      </c>
    </row>
    <row r="2980" spans="2:13" hidden="1">
      <c r="B2980">
        <v>2978</v>
      </c>
      <c r="C2980">
        <v>252</v>
      </c>
      <c r="D2980">
        <v>19</v>
      </c>
      <c r="E2980">
        <v>1</v>
      </c>
      <c r="F2980">
        <v>0</v>
      </c>
      <c r="G2980" t="s">
        <v>917</v>
      </c>
      <c r="H2980" t="s">
        <v>918</v>
      </c>
      <c r="I2980" t="s">
        <v>2114</v>
      </c>
      <c r="J2980" t="s">
        <v>479</v>
      </c>
      <c r="K2980" t="s">
        <v>920</v>
      </c>
      <c r="M2980" t="s">
        <v>6</v>
      </c>
    </row>
    <row r="2981" spans="2:13" hidden="1">
      <c r="B2981">
        <v>2979</v>
      </c>
      <c r="C2981">
        <v>252</v>
      </c>
      <c r="D2981">
        <v>19</v>
      </c>
      <c r="E2981">
        <v>2</v>
      </c>
      <c r="F2981">
        <v>0</v>
      </c>
      <c r="G2981" t="s">
        <v>917</v>
      </c>
      <c r="H2981" t="s">
        <v>918</v>
      </c>
      <c r="I2981" t="s">
        <v>2114</v>
      </c>
      <c r="J2981" t="s">
        <v>722</v>
      </c>
      <c r="K2981" t="s">
        <v>978</v>
      </c>
      <c r="M2981" t="s">
        <v>6</v>
      </c>
    </row>
    <row r="2982" spans="2:13" hidden="1">
      <c r="B2982">
        <v>2980</v>
      </c>
      <c r="C2982">
        <v>252</v>
      </c>
      <c r="D2982">
        <v>19</v>
      </c>
      <c r="E2982">
        <v>3</v>
      </c>
      <c r="F2982">
        <v>0</v>
      </c>
      <c r="G2982" t="s">
        <v>917</v>
      </c>
      <c r="H2982" t="s">
        <v>918</v>
      </c>
      <c r="I2982" t="s">
        <v>2114</v>
      </c>
      <c r="J2982" t="s">
        <v>214</v>
      </c>
      <c r="K2982" t="s">
        <v>979</v>
      </c>
      <c r="M2982" t="s">
        <v>6</v>
      </c>
    </row>
    <row r="2983" spans="2:13" hidden="1">
      <c r="B2983">
        <v>2981</v>
      </c>
      <c r="C2983">
        <v>252</v>
      </c>
      <c r="D2983">
        <v>19</v>
      </c>
      <c r="E2983">
        <v>4</v>
      </c>
      <c r="F2983">
        <v>0</v>
      </c>
      <c r="G2983" t="s">
        <v>917</v>
      </c>
      <c r="H2983" t="s">
        <v>918</v>
      </c>
      <c r="I2983" t="s">
        <v>2114</v>
      </c>
      <c r="J2983" t="s">
        <v>214</v>
      </c>
      <c r="K2983" t="s">
        <v>980</v>
      </c>
      <c r="M2983" t="s">
        <v>6</v>
      </c>
    </row>
    <row r="2984" spans="2:13" hidden="1">
      <c r="B2984">
        <v>2982</v>
      </c>
      <c r="C2984">
        <v>252</v>
      </c>
      <c r="D2984">
        <v>19</v>
      </c>
      <c r="E2984">
        <v>5</v>
      </c>
      <c r="F2984">
        <v>0</v>
      </c>
      <c r="G2984" t="s">
        <v>917</v>
      </c>
      <c r="H2984" t="s">
        <v>918</v>
      </c>
      <c r="I2984" t="s">
        <v>2114</v>
      </c>
      <c r="J2984" t="s">
        <v>214</v>
      </c>
      <c r="K2984" t="s">
        <v>981</v>
      </c>
      <c r="M2984" t="s">
        <v>6</v>
      </c>
    </row>
    <row r="2985" spans="2:13" hidden="1">
      <c r="B2985">
        <v>2983</v>
      </c>
      <c r="C2985">
        <v>252</v>
      </c>
      <c r="D2985">
        <v>19</v>
      </c>
      <c r="E2985">
        <v>6</v>
      </c>
      <c r="F2985">
        <v>0</v>
      </c>
      <c r="G2985" t="s">
        <v>917</v>
      </c>
      <c r="H2985" t="s">
        <v>918</v>
      </c>
      <c r="I2985" t="s">
        <v>2114</v>
      </c>
      <c r="J2985" t="s">
        <v>214</v>
      </c>
      <c r="K2985" t="s">
        <v>982</v>
      </c>
      <c r="M2985" t="s">
        <v>6</v>
      </c>
    </row>
    <row r="2986" spans="2:13" hidden="1">
      <c r="B2986">
        <v>2984</v>
      </c>
      <c r="C2986">
        <v>252</v>
      </c>
      <c r="D2986">
        <v>19</v>
      </c>
      <c r="E2986">
        <v>7</v>
      </c>
      <c r="F2986">
        <v>0</v>
      </c>
      <c r="G2986" t="s">
        <v>917</v>
      </c>
      <c r="H2986" t="s">
        <v>918</v>
      </c>
      <c r="I2986" t="s">
        <v>2114</v>
      </c>
      <c r="J2986" t="s">
        <v>214</v>
      </c>
      <c r="K2986" t="s">
        <v>983</v>
      </c>
      <c r="M2986" t="s">
        <v>6</v>
      </c>
    </row>
    <row r="2987" spans="2:13" hidden="1">
      <c r="B2987">
        <v>2985</v>
      </c>
      <c r="C2987">
        <v>252</v>
      </c>
      <c r="D2987">
        <v>19</v>
      </c>
      <c r="E2987">
        <v>8</v>
      </c>
      <c r="F2987">
        <v>0</v>
      </c>
      <c r="G2987" t="s">
        <v>917</v>
      </c>
      <c r="H2987" t="s">
        <v>918</v>
      </c>
      <c r="I2987" t="s">
        <v>2114</v>
      </c>
      <c r="J2987" t="s">
        <v>214</v>
      </c>
      <c r="K2987" t="s">
        <v>984</v>
      </c>
      <c r="M2987" t="s">
        <v>6</v>
      </c>
    </row>
    <row r="2988" spans="2:13" hidden="1">
      <c r="B2988">
        <v>2986</v>
      </c>
      <c r="C2988">
        <v>252</v>
      </c>
      <c r="D2988">
        <v>19</v>
      </c>
      <c r="E2988">
        <v>9</v>
      </c>
      <c r="F2988">
        <v>0</v>
      </c>
      <c r="G2988" t="s">
        <v>917</v>
      </c>
      <c r="H2988" t="s">
        <v>918</v>
      </c>
      <c r="I2988" t="s">
        <v>2114</v>
      </c>
      <c r="J2988" t="s">
        <v>214</v>
      </c>
      <c r="K2988" t="s">
        <v>985</v>
      </c>
      <c r="M2988" t="s">
        <v>6</v>
      </c>
    </row>
    <row r="2989" spans="2:13" hidden="1">
      <c r="B2989">
        <v>2987</v>
      </c>
      <c r="C2989">
        <v>252</v>
      </c>
      <c r="D2989">
        <v>19</v>
      </c>
      <c r="E2989">
        <v>10</v>
      </c>
      <c r="F2989">
        <v>0</v>
      </c>
      <c r="G2989" t="s">
        <v>917</v>
      </c>
      <c r="H2989" t="s">
        <v>918</v>
      </c>
      <c r="I2989" t="s">
        <v>2114</v>
      </c>
      <c r="J2989" t="s">
        <v>55</v>
      </c>
      <c r="K2989" t="s">
        <v>969</v>
      </c>
      <c r="M2989" t="s">
        <v>6</v>
      </c>
    </row>
    <row r="2990" spans="2:13" hidden="1">
      <c r="B2990">
        <v>2988</v>
      </c>
      <c r="C2990">
        <v>252</v>
      </c>
      <c r="D2990">
        <v>19</v>
      </c>
      <c r="E2990">
        <v>11</v>
      </c>
      <c r="F2990">
        <v>0</v>
      </c>
      <c r="G2990" t="s">
        <v>917</v>
      </c>
      <c r="H2990" t="s">
        <v>918</v>
      </c>
      <c r="I2990" t="s">
        <v>2114</v>
      </c>
      <c r="J2990" t="s">
        <v>214</v>
      </c>
      <c r="K2990" t="s">
        <v>986</v>
      </c>
      <c r="M2990" t="s">
        <v>6</v>
      </c>
    </row>
    <row r="2991" spans="2:13" hidden="1">
      <c r="B2991">
        <v>2989</v>
      </c>
      <c r="C2991">
        <v>252</v>
      </c>
      <c r="D2991">
        <v>19</v>
      </c>
      <c r="E2991">
        <v>12</v>
      </c>
      <c r="F2991">
        <v>0</v>
      </c>
      <c r="G2991" t="s">
        <v>917</v>
      </c>
      <c r="H2991" t="s">
        <v>918</v>
      </c>
      <c r="I2991" t="s">
        <v>2114</v>
      </c>
      <c r="J2991" t="s">
        <v>214</v>
      </c>
      <c r="K2991" t="s">
        <v>987</v>
      </c>
      <c r="M2991" t="s">
        <v>6</v>
      </c>
    </row>
    <row r="2992" spans="2:13" hidden="1">
      <c r="B2992">
        <v>2990</v>
      </c>
      <c r="C2992">
        <v>252</v>
      </c>
      <c r="D2992">
        <v>19</v>
      </c>
      <c r="E2992">
        <v>13</v>
      </c>
      <c r="F2992">
        <v>0</v>
      </c>
      <c r="G2992" t="s">
        <v>917</v>
      </c>
      <c r="H2992" t="s">
        <v>918</v>
      </c>
      <c r="I2992" t="s">
        <v>2114</v>
      </c>
      <c r="J2992" t="s">
        <v>55</v>
      </c>
      <c r="K2992" t="s">
        <v>988</v>
      </c>
      <c r="M2992" t="s">
        <v>6</v>
      </c>
    </row>
    <row r="2993" spans="2:13" hidden="1">
      <c r="B2993">
        <v>2991</v>
      </c>
      <c r="C2993">
        <v>252</v>
      </c>
      <c r="D2993">
        <v>19</v>
      </c>
      <c r="E2993">
        <v>14</v>
      </c>
      <c r="F2993">
        <v>0</v>
      </c>
      <c r="G2993" t="s">
        <v>917</v>
      </c>
      <c r="H2993" t="s">
        <v>918</v>
      </c>
      <c r="I2993" t="s">
        <v>2114</v>
      </c>
      <c r="J2993" t="s">
        <v>479</v>
      </c>
      <c r="K2993" t="s">
        <v>970</v>
      </c>
      <c r="M2993" t="s">
        <v>6</v>
      </c>
    </row>
    <row r="2994" spans="2:13" hidden="1">
      <c r="B2994">
        <v>2992</v>
      </c>
      <c r="C2994">
        <v>252</v>
      </c>
      <c r="D2994">
        <v>19</v>
      </c>
      <c r="E2994">
        <v>15</v>
      </c>
      <c r="F2994">
        <v>0</v>
      </c>
      <c r="G2994" t="s">
        <v>917</v>
      </c>
      <c r="H2994" t="s">
        <v>918</v>
      </c>
      <c r="I2994" t="s">
        <v>2114</v>
      </c>
      <c r="J2994" t="s">
        <v>55</v>
      </c>
      <c r="K2994" t="s">
        <v>989</v>
      </c>
      <c r="M2994" t="s">
        <v>6</v>
      </c>
    </row>
    <row r="2995" spans="2:13" hidden="1">
      <c r="B2995">
        <v>2993</v>
      </c>
      <c r="C2995">
        <v>252</v>
      </c>
      <c r="D2995">
        <v>19</v>
      </c>
      <c r="E2995">
        <v>16</v>
      </c>
      <c r="F2995">
        <v>0</v>
      </c>
      <c r="G2995" t="s">
        <v>917</v>
      </c>
      <c r="H2995" t="s">
        <v>918</v>
      </c>
      <c r="I2995" t="s">
        <v>2114</v>
      </c>
      <c r="J2995" t="s">
        <v>990</v>
      </c>
      <c r="K2995" t="s">
        <v>991</v>
      </c>
      <c r="M2995" t="s">
        <v>6</v>
      </c>
    </row>
    <row r="2996" spans="2:13" hidden="1">
      <c r="B2996">
        <v>2994</v>
      </c>
      <c r="C2996">
        <v>252</v>
      </c>
      <c r="D2996">
        <v>19</v>
      </c>
      <c r="E2996">
        <v>17</v>
      </c>
      <c r="F2996">
        <v>0</v>
      </c>
      <c r="G2996" t="s">
        <v>917</v>
      </c>
      <c r="H2996" t="s">
        <v>918</v>
      </c>
      <c r="I2996" t="s">
        <v>2114</v>
      </c>
      <c r="J2996" t="s">
        <v>951</v>
      </c>
      <c r="K2996" t="s">
        <v>992</v>
      </c>
      <c r="M2996" t="s">
        <v>6</v>
      </c>
    </row>
    <row r="2997" spans="2:13" hidden="1">
      <c r="B2997">
        <v>2995</v>
      </c>
      <c r="C2997">
        <v>252</v>
      </c>
      <c r="D2997">
        <v>19</v>
      </c>
      <c r="E2997">
        <v>18</v>
      </c>
      <c r="F2997">
        <v>0</v>
      </c>
      <c r="G2997" t="s">
        <v>917</v>
      </c>
      <c r="H2997" t="s">
        <v>918</v>
      </c>
      <c r="I2997" t="s">
        <v>2114</v>
      </c>
      <c r="J2997" t="s">
        <v>214</v>
      </c>
      <c r="K2997" t="s">
        <v>993</v>
      </c>
      <c r="M2997" t="s">
        <v>6</v>
      </c>
    </row>
    <row r="2998" spans="2:13" hidden="1">
      <c r="B2998">
        <v>2996</v>
      </c>
      <c r="C2998">
        <v>252</v>
      </c>
      <c r="D2998">
        <v>19</v>
      </c>
      <c r="E2998">
        <v>19</v>
      </c>
      <c r="F2998">
        <v>0</v>
      </c>
      <c r="G2998" t="s">
        <v>917</v>
      </c>
      <c r="H2998" t="s">
        <v>918</v>
      </c>
      <c r="I2998" t="s">
        <v>2114</v>
      </c>
      <c r="J2998" t="s">
        <v>994</v>
      </c>
      <c r="K2998" t="s">
        <v>422</v>
      </c>
      <c r="M2998" t="s">
        <v>6</v>
      </c>
    </row>
    <row r="2999" spans="2:13" hidden="1">
      <c r="B2999">
        <v>2997</v>
      </c>
      <c r="C2999">
        <v>253</v>
      </c>
      <c r="D2999">
        <v>6</v>
      </c>
      <c r="E2999">
        <v>0</v>
      </c>
      <c r="F2999">
        <v>0</v>
      </c>
      <c r="G2999" t="s">
        <v>917</v>
      </c>
      <c r="H2999" t="s">
        <v>918</v>
      </c>
      <c r="I2999" t="s">
        <v>2115</v>
      </c>
      <c r="J2999" t="s">
        <v>54</v>
      </c>
      <c r="K2999" t="s">
        <v>2115</v>
      </c>
      <c r="M2999" t="s">
        <v>6</v>
      </c>
    </row>
    <row r="3000" spans="2:13" hidden="1">
      <c r="B3000">
        <v>2998</v>
      </c>
      <c r="C3000">
        <v>253</v>
      </c>
      <c r="D3000">
        <v>6</v>
      </c>
      <c r="E3000">
        <v>1</v>
      </c>
      <c r="F3000">
        <v>0</v>
      </c>
      <c r="G3000" t="s">
        <v>917</v>
      </c>
      <c r="H3000" t="s">
        <v>918</v>
      </c>
      <c r="I3000" t="s">
        <v>2115</v>
      </c>
      <c r="J3000" t="s">
        <v>55</v>
      </c>
      <c r="K3000" t="s">
        <v>950</v>
      </c>
      <c r="M3000" t="s">
        <v>6</v>
      </c>
    </row>
    <row r="3001" spans="2:13" hidden="1">
      <c r="B3001">
        <v>2999</v>
      </c>
      <c r="C3001">
        <v>253</v>
      </c>
      <c r="D3001">
        <v>6</v>
      </c>
      <c r="E3001">
        <v>2</v>
      </c>
      <c r="F3001">
        <v>0</v>
      </c>
      <c r="G3001" t="s">
        <v>917</v>
      </c>
      <c r="H3001" t="s">
        <v>918</v>
      </c>
      <c r="I3001" t="s">
        <v>2115</v>
      </c>
      <c r="J3001" t="s">
        <v>951</v>
      </c>
      <c r="K3001" t="s">
        <v>952</v>
      </c>
      <c r="M3001" t="s">
        <v>6</v>
      </c>
    </row>
    <row r="3002" spans="2:13" hidden="1">
      <c r="B3002">
        <v>3000</v>
      </c>
      <c r="C3002">
        <v>253</v>
      </c>
      <c r="D3002">
        <v>6</v>
      </c>
      <c r="E3002">
        <v>3</v>
      </c>
      <c r="F3002">
        <v>0</v>
      </c>
      <c r="G3002" t="s">
        <v>917</v>
      </c>
      <c r="H3002" t="s">
        <v>918</v>
      </c>
      <c r="I3002" t="s">
        <v>2115</v>
      </c>
      <c r="J3002" t="s">
        <v>951</v>
      </c>
      <c r="K3002" t="s">
        <v>953</v>
      </c>
      <c r="M3002" t="s">
        <v>6</v>
      </c>
    </row>
    <row r="3003" spans="2:13" hidden="1">
      <c r="B3003">
        <v>3001</v>
      </c>
      <c r="C3003">
        <v>253</v>
      </c>
      <c r="D3003">
        <v>6</v>
      </c>
      <c r="E3003">
        <v>4</v>
      </c>
      <c r="F3003">
        <v>0</v>
      </c>
      <c r="G3003" t="s">
        <v>917</v>
      </c>
      <c r="H3003" t="s">
        <v>918</v>
      </c>
      <c r="I3003" t="s">
        <v>2115</v>
      </c>
      <c r="J3003" t="s">
        <v>951</v>
      </c>
      <c r="K3003" t="s">
        <v>954</v>
      </c>
      <c r="M3003" t="s">
        <v>6</v>
      </c>
    </row>
    <row r="3004" spans="2:13" hidden="1">
      <c r="B3004">
        <v>3002</v>
      </c>
      <c r="C3004">
        <v>253</v>
      </c>
      <c r="D3004">
        <v>6</v>
      </c>
      <c r="E3004">
        <v>5</v>
      </c>
      <c r="F3004">
        <v>0</v>
      </c>
      <c r="G3004" t="s">
        <v>917</v>
      </c>
      <c r="H3004" t="s">
        <v>918</v>
      </c>
      <c r="I3004" t="s">
        <v>2115</v>
      </c>
      <c r="J3004" t="s">
        <v>951</v>
      </c>
      <c r="K3004" t="s">
        <v>955</v>
      </c>
      <c r="M3004" t="s">
        <v>6</v>
      </c>
    </row>
    <row r="3005" spans="2:13" hidden="1">
      <c r="B3005">
        <v>3003</v>
      </c>
      <c r="C3005">
        <v>253</v>
      </c>
      <c r="D3005">
        <v>6</v>
      </c>
      <c r="E3005">
        <v>6</v>
      </c>
      <c r="F3005">
        <v>0</v>
      </c>
      <c r="G3005" t="s">
        <v>917</v>
      </c>
      <c r="H3005" t="s">
        <v>918</v>
      </c>
      <c r="I3005" t="s">
        <v>2115</v>
      </c>
      <c r="J3005" t="s">
        <v>55</v>
      </c>
      <c r="K3005" t="s">
        <v>956</v>
      </c>
      <c r="M3005" t="s">
        <v>6</v>
      </c>
    </row>
    <row r="3006" spans="2:13" hidden="1">
      <c r="B3006">
        <v>3004</v>
      </c>
      <c r="C3006">
        <v>254</v>
      </c>
      <c r="D3006">
        <v>5</v>
      </c>
      <c r="E3006">
        <v>0</v>
      </c>
      <c r="F3006">
        <v>0</v>
      </c>
      <c r="G3006" t="s">
        <v>917</v>
      </c>
      <c r="H3006" t="s">
        <v>918</v>
      </c>
      <c r="I3006" t="s">
        <v>2116</v>
      </c>
      <c r="J3006" t="s">
        <v>54</v>
      </c>
      <c r="K3006" t="s">
        <v>2116</v>
      </c>
      <c r="M3006" t="s">
        <v>6</v>
      </c>
    </row>
    <row r="3007" spans="2:13" hidden="1">
      <c r="B3007">
        <v>3005</v>
      </c>
      <c r="C3007">
        <v>254</v>
      </c>
      <c r="D3007">
        <v>5</v>
      </c>
      <c r="E3007">
        <v>1</v>
      </c>
      <c r="F3007">
        <v>0</v>
      </c>
      <c r="G3007" t="s">
        <v>917</v>
      </c>
      <c r="H3007" t="s">
        <v>918</v>
      </c>
      <c r="I3007" t="s">
        <v>2116</v>
      </c>
      <c r="J3007" t="s">
        <v>55</v>
      </c>
      <c r="K3007" t="s">
        <v>974</v>
      </c>
      <c r="M3007" t="s">
        <v>6</v>
      </c>
    </row>
    <row r="3008" spans="2:13" hidden="1">
      <c r="B3008">
        <v>3006</v>
      </c>
      <c r="C3008">
        <v>254</v>
      </c>
      <c r="D3008">
        <v>5</v>
      </c>
      <c r="E3008">
        <v>2</v>
      </c>
      <c r="F3008">
        <v>0</v>
      </c>
      <c r="G3008" t="s">
        <v>917</v>
      </c>
      <c r="H3008" t="s">
        <v>918</v>
      </c>
      <c r="I3008" t="s">
        <v>2116</v>
      </c>
      <c r="J3008" t="s">
        <v>214</v>
      </c>
      <c r="K3008" t="s">
        <v>936</v>
      </c>
      <c r="M3008" t="s">
        <v>6</v>
      </c>
    </row>
    <row r="3009" spans="2:13" hidden="1">
      <c r="B3009">
        <v>3007</v>
      </c>
      <c r="C3009">
        <v>254</v>
      </c>
      <c r="D3009">
        <v>5</v>
      </c>
      <c r="E3009">
        <v>3</v>
      </c>
      <c r="F3009">
        <v>0</v>
      </c>
      <c r="G3009" t="s">
        <v>917</v>
      </c>
      <c r="H3009" t="s">
        <v>918</v>
      </c>
      <c r="I3009" t="s">
        <v>2116</v>
      </c>
      <c r="J3009" t="s">
        <v>214</v>
      </c>
      <c r="K3009" t="s">
        <v>975</v>
      </c>
      <c r="M3009" t="s">
        <v>6</v>
      </c>
    </row>
    <row r="3010" spans="2:13" hidden="1">
      <c r="B3010">
        <v>3008</v>
      </c>
      <c r="C3010">
        <v>254</v>
      </c>
      <c r="D3010">
        <v>5</v>
      </c>
      <c r="E3010">
        <v>4</v>
      </c>
      <c r="F3010">
        <v>0</v>
      </c>
      <c r="G3010" t="s">
        <v>917</v>
      </c>
      <c r="H3010" t="s">
        <v>918</v>
      </c>
      <c r="I3010" t="s">
        <v>2116</v>
      </c>
      <c r="J3010" t="s">
        <v>214</v>
      </c>
      <c r="K3010" t="s">
        <v>938</v>
      </c>
      <c r="M3010" t="s">
        <v>6</v>
      </c>
    </row>
    <row r="3011" spans="2:13" hidden="1">
      <c r="B3011">
        <v>3009</v>
      </c>
      <c r="C3011">
        <v>254</v>
      </c>
      <c r="D3011">
        <v>5</v>
      </c>
      <c r="E3011">
        <v>5</v>
      </c>
      <c r="F3011">
        <v>0</v>
      </c>
      <c r="G3011" t="s">
        <v>917</v>
      </c>
      <c r="H3011" t="s">
        <v>918</v>
      </c>
      <c r="I3011" t="s">
        <v>2116</v>
      </c>
      <c r="J3011" t="s">
        <v>64</v>
      </c>
      <c r="K3011" t="s">
        <v>976</v>
      </c>
      <c r="M3011" t="s">
        <v>6</v>
      </c>
    </row>
    <row r="3012" spans="2:13" hidden="1">
      <c r="B3012">
        <v>3010</v>
      </c>
      <c r="C3012">
        <v>255</v>
      </c>
      <c r="D3012">
        <v>8</v>
      </c>
      <c r="E3012">
        <v>0</v>
      </c>
      <c r="F3012">
        <v>0</v>
      </c>
      <c r="G3012" t="s">
        <v>2023</v>
      </c>
      <c r="H3012" t="s">
        <v>52</v>
      </c>
      <c r="I3012" t="s">
        <v>2117</v>
      </c>
      <c r="J3012" t="s">
        <v>478</v>
      </c>
      <c r="K3012" t="s">
        <v>2117</v>
      </c>
      <c r="M3012" t="s">
        <v>6</v>
      </c>
    </row>
    <row r="3013" spans="2:13" hidden="1">
      <c r="B3013">
        <v>3011</v>
      </c>
      <c r="C3013">
        <v>255</v>
      </c>
      <c r="D3013">
        <v>8</v>
      </c>
      <c r="E3013">
        <v>1</v>
      </c>
      <c r="F3013">
        <v>0</v>
      </c>
      <c r="G3013" t="s">
        <v>2023</v>
      </c>
      <c r="H3013" t="s">
        <v>52</v>
      </c>
      <c r="I3013" t="s">
        <v>2117</v>
      </c>
      <c r="J3013" t="s">
        <v>55</v>
      </c>
      <c r="K3013" t="s">
        <v>2118</v>
      </c>
      <c r="M3013" t="s">
        <v>6</v>
      </c>
    </row>
    <row r="3014" spans="2:13" hidden="1">
      <c r="B3014">
        <v>3012</v>
      </c>
      <c r="C3014">
        <v>255</v>
      </c>
      <c r="D3014">
        <v>8</v>
      </c>
      <c r="E3014">
        <v>2</v>
      </c>
      <c r="F3014">
        <v>0</v>
      </c>
      <c r="G3014" t="s">
        <v>2023</v>
      </c>
      <c r="H3014" t="s">
        <v>52</v>
      </c>
      <c r="I3014" t="s">
        <v>2117</v>
      </c>
      <c r="J3014" t="s">
        <v>214</v>
      </c>
      <c r="K3014" t="s">
        <v>2119</v>
      </c>
      <c r="M3014" t="s">
        <v>6</v>
      </c>
    </row>
    <row r="3015" spans="2:13" hidden="1">
      <c r="B3015">
        <v>3013</v>
      </c>
      <c r="C3015">
        <v>255</v>
      </c>
      <c r="D3015">
        <v>8</v>
      </c>
      <c r="E3015">
        <v>3</v>
      </c>
      <c r="F3015">
        <v>0</v>
      </c>
      <c r="G3015" t="s">
        <v>2023</v>
      </c>
      <c r="H3015" t="s">
        <v>52</v>
      </c>
      <c r="I3015" t="s">
        <v>2117</v>
      </c>
      <c r="J3015" t="s">
        <v>214</v>
      </c>
      <c r="K3015" t="s">
        <v>2120</v>
      </c>
      <c r="M3015" t="s">
        <v>6</v>
      </c>
    </row>
    <row r="3016" spans="2:13" hidden="1">
      <c r="B3016">
        <v>3014</v>
      </c>
      <c r="C3016">
        <v>255</v>
      </c>
      <c r="D3016">
        <v>8</v>
      </c>
      <c r="E3016">
        <v>4</v>
      </c>
      <c r="F3016">
        <v>0</v>
      </c>
      <c r="G3016" t="s">
        <v>2023</v>
      </c>
      <c r="H3016" t="s">
        <v>52</v>
      </c>
      <c r="I3016" t="s">
        <v>2117</v>
      </c>
      <c r="J3016" t="s">
        <v>55</v>
      </c>
      <c r="K3016" t="s">
        <v>2121</v>
      </c>
      <c r="M3016" t="s">
        <v>6</v>
      </c>
    </row>
    <row r="3017" spans="2:13" hidden="1">
      <c r="B3017">
        <v>3015</v>
      </c>
      <c r="C3017">
        <v>255</v>
      </c>
      <c r="D3017">
        <v>8</v>
      </c>
      <c r="E3017">
        <v>5</v>
      </c>
      <c r="F3017">
        <v>0</v>
      </c>
      <c r="G3017" t="s">
        <v>2023</v>
      </c>
      <c r="H3017" t="s">
        <v>52</v>
      </c>
      <c r="I3017" t="s">
        <v>2117</v>
      </c>
      <c r="J3017" t="s">
        <v>55</v>
      </c>
      <c r="K3017" t="s">
        <v>2122</v>
      </c>
      <c r="M3017" t="s">
        <v>6</v>
      </c>
    </row>
    <row r="3018" spans="2:13" hidden="1">
      <c r="B3018">
        <v>3016</v>
      </c>
      <c r="C3018">
        <v>255</v>
      </c>
      <c r="D3018">
        <v>8</v>
      </c>
      <c r="E3018">
        <v>6</v>
      </c>
      <c r="F3018">
        <v>0</v>
      </c>
      <c r="G3018" t="s">
        <v>2023</v>
      </c>
      <c r="H3018" t="s">
        <v>52</v>
      </c>
      <c r="I3018" t="s">
        <v>2117</v>
      </c>
      <c r="J3018" t="s">
        <v>55</v>
      </c>
      <c r="K3018" t="s">
        <v>2123</v>
      </c>
      <c r="M3018" t="s">
        <v>6</v>
      </c>
    </row>
    <row r="3019" spans="2:13" hidden="1">
      <c r="B3019">
        <v>3017</v>
      </c>
      <c r="C3019">
        <v>255</v>
      </c>
      <c r="D3019">
        <v>8</v>
      </c>
      <c r="E3019">
        <v>7</v>
      </c>
      <c r="F3019">
        <v>0</v>
      </c>
      <c r="G3019" t="s">
        <v>2023</v>
      </c>
      <c r="H3019" t="s">
        <v>52</v>
      </c>
      <c r="I3019" t="s">
        <v>2117</v>
      </c>
      <c r="J3019" t="s">
        <v>55</v>
      </c>
      <c r="K3019" t="s">
        <v>2124</v>
      </c>
      <c r="M3019" t="s">
        <v>6</v>
      </c>
    </row>
    <row r="3020" spans="2:13" hidden="1">
      <c r="B3020">
        <v>3018</v>
      </c>
      <c r="C3020">
        <v>255</v>
      </c>
      <c r="D3020">
        <v>8</v>
      </c>
      <c r="E3020">
        <v>8</v>
      </c>
      <c r="F3020">
        <v>0</v>
      </c>
      <c r="G3020" t="s">
        <v>2023</v>
      </c>
      <c r="H3020" t="s">
        <v>52</v>
      </c>
      <c r="I3020" t="s">
        <v>2117</v>
      </c>
      <c r="J3020" t="s">
        <v>64</v>
      </c>
      <c r="K3020" t="s">
        <v>2125</v>
      </c>
      <c r="M3020" t="s">
        <v>6</v>
      </c>
    </row>
    <row r="3021" spans="2:13" hidden="1">
      <c r="B3021">
        <v>3019</v>
      </c>
      <c r="C3021">
        <v>256</v>
      </c>
      <c r="D3021">
        <v>11</v>
      </c>
      <c r="E3021">
        <v>0</v>
      </c>
      <c r="F3021">
        <v>0</v>
      </c>
      <c r="G3021" t="s">
        <v>8</v>
      </c>
      <c r="H3021" t="s">
        <v>9</v>
      </c>
      <c r="I3021" t="s">
        <v>2126</v>
      </c>
      <c r="J3021" t="s">
        <v>54</v>
      </c>
      <c r="K3021" t="s">
        <v>2126</v>
      </c>
      <c r="M3021" t="s">
        <v>6</v>
      </c>
    </row>
    <row r="3022" spans="2:13" hidden="1">
      <c r="B3022">
        <v>3020</v>
      </c>
      <c r="C3022">
        <v>256</v>
      </c>
      <c r="D3022">
        <v>11</v>
      </c>
      <c r="E3022">
        <v>1</v>
      </c>
      <c r="F3022">
        <v>0</v>
      </c>
      <c r="G3022" t="s">
        <v>8</v>
      </c>
      <c r="H3022" t="s">
        <v>9</v>
      </c>
      <c r="I3022" t="s">
        <v>2126</v>
      </c>
      <c r="J3022" t="s">
        <v>55</v>
      </c>
      <c r="K3022" t="s">
        <v>127</v>
      </c>
      <c r="M3022" t="s">
        <v>6</v>
      </c>
    </row>
    <row r="3023" spans="2:13" hidden="1">
      <c r="B3023">
        <v>3021</v>
      </c>
      <c r="C3023">
        <v>256</v>
      </c>
      <c r="D3023">
        <v>11</v>
      </c>
      <c r="E3023">
        <v>2</v>
      </c>
      <c r="F3023">
        <v>0</v>
      </c>
      <c r="G3023" t="s">
        <v>8</v>
      </c>
      <c r="H3023" t="s">
        <v>9</v>
      </c>
      <c r="I3023" t="s">
        <v>2126</v>
      </c>
      <c r="J3023" t="s">
        <v>55</v>
      </c>
      <c r="K3023" t="s">
        <v>128</v>
      </c>
      <c r="M3023" t="s">
        <v>6</v>
      </c>
    </row>
    <row r="3024" spans="2:13" hidden="1">
      <c r="B3024">
        <v>3022</v>
      </c>
      <c r="C3024">
        <v>256</v>
      </c>
      <c r="D3024">
        <v>11</v>
      </c>
      <c r="E3024">
        <v>3</v>
      </c>
      <c r="F3024">
        <v>0</v>
      </c>
      <c r="G3024" t="s">
        <v>8</v>
      </c>
      <c r="H3024" t="s">
        <v>9</v>
      </c>
      <c r="I3024" t="s">
        <v>2126</v>
      </c>
      <c r="J3024" t="s">
        <v>55</v>
      </c>
      <c r="K3024" t="s">
        <v>2127</v>
      </c>
      <c r="M3024" t="s">
        <v>6</v>
      </c>
    </row>
    <row r="3025" spans="2:13" hidden="1">
      <c r="B3025">
        <v>3023</v>
      </c>
      <c r="C3025">
        <v>256</v>
      </c>
      <c r="D3025">
        <v>11</v>
      </c>
      <c r="E3025">
        <v>4</v>
      </c>
      <c r="F3025">
        <v>0</v>
      </c>
      <c r="G3025" t="s">
        <v>8</v>
      </c>
      <c r="H3025" t="s">
        <v>9</v>
      </c>
      <c r="I3025" t="s">
        <v>2126</v>
      </c>
      <c r="J3025" t="s">
        <v>55</v>
      </c>
      <c r="K3025" t="s">
        <v>129</v>
      </c>
      <c r="M3025" t="s">
        <v>6</v>
      </c>
    </row>
    <row r="3026" spans="2:13" hidden="1">
      <c r="B3026">
        <v>3024</v>
      </c>
      <c r="C3026">
        <v>256</v>
      </c>
      <c r="D3026">
        <v>11</v>
      </c>
      <c r="E3026">
        <v>5</v>
      </c>
      <c r="F3026">
        <v>0</v>
      </c>
      <c r="G3026" t="s">
        <v>8</v>
      </c>
      <c r="H3026" t="s">
        <v>9</v>
      </c>
      <c r="I3026" t="s">
        <v>2126</v>
      </c>
      <c r="J3026" t="s">
        <v>55</v>
      </c>
      <c r="K3026" t="s">
        <v>166</v>
      </c>
      <c r="M3026" t="s">
        <v>6</v>
      </c>
    </row>
    <row r="3027" spans="2:13" hidden="1">
      <c r="B3027">
        <v>3025</v>
      </c>
      <c r="C3027">
        <v>256</v>
      </c>
      <c r="D3027">
        <v>11</v>
      </c>
      <c r="E3027">
        <v>6</v>
      </c>
      <c r="F3027">
        <v>0</v>
      </c>
      <c r="G3027" t="s">
        <v>8</v>
      </c>
      <c r="H3027" t="s">
        <v>9</v>
      </c>
      <c r="I3027" t="s">
        <v>2126</v>
      </c>
      <c r="J3027" t="s">
        <v>55</v>
      </c>
      <c r="K3027" t="s">
        <v>2128</v>
      </c>
      <c r="M3027" t="s">
        <v>6</v>
      </c>
    </row>
    <row r="3028" spans="2:13" hidden="1">
      <c r="B3028">
        <v>3026</v>
      </c>
      <c r="C3028">
        <v>256</v>
      </c>
      <c r="D3028">
        <v>11</v>
      </c>
      <c r="E3028">
        <v>7</v>
      </c>
      <c r="F3028">
        <v>0</v>
      </c>
      <c r="G3028" t="s">
        <v>8</v>
      </c>
      <c r="H3028" t="s">
        <v>9</v>
      </c>
      <c r="I3028" t="s">
        <v>2126</v>
      </c>
      <c r="J3028" t="s">
        <v>55</v>
      </c>
      <c r="K3028" t="s">
        <v>174</v>
      </c>
      <c r="M3028" t="s">
        <v>6</v>
      </c>
    </row>
    <row r="3029" spans="2:13" hidden="1">
      <c r="B3029">
        <v>3027</v>
      </c>
      <c r="C3029">
        <v>256</v>
      </c>
      <c r="D3029">
        <v>11</v>
      </c>
      <c r="E3029">
        <v>8</v>
      </c>
      <c r="F3029">
        <v>0</v>
      </c>
      <c r="G3029" t="s">
        <v>8</v>
      </c>
      <c r="H3029" t="s">
        <v>9</v>
      </c>
      <c r="I3029" t="s">
        <v>2126</v>
      </c>
      <c r="J3029" t="s">
        <v>55</v>
      </c>
      <c r="K3029" t="s">
        <v>176</v>
      </c>
      <c r="M3029" t="s">
        <v>6</v>
      </c>
    </row>
    <row r="3030" spans="2:13" hidden="1">
      <c r="B3030">
        <v>3028</v>
      </c>
      <c r="C3030">
        <v>256</v>
      </c>
      <c r="D3030">
        <v>11</v>
      </c>
      <c r="E3030">
        <v>9</v>
      </c>
      <c r="F3030">
        <v>0</v>
      </c>
      <c r="G3030" t="s">
        <v>8</v>
      </c>
      <c r="H3030" t="s">
        <v>9</v>
      </c>
      <c r="I3030" t="s">
        <v>2126</v>
      </c>
      <c r="J3030" t="s">
        <v>55</v>
      </c>
      <c r="K3030" t="s">
        <v>139</v>
      </c>
      <c r="M3030" t="s">
        <v>6</v>
      </c>
    </row>
    <row r="3031" spans="2:13" hidden="1">
      <c r="B3031">
        <v>3029</v>
      </c>
      <c r="C3031">
        <v>256</v>
      </c>
      <c r="D3031">
        <v>11</v>
      </c>
      <c r="E3031">
        <v>10</v>
      </c>
      <c r="F3031">
        <v>0</v>
      </c>
      <c r="G3031" t="s">
        <v>8</v>
      </c>
      <c r="H3031" t="s">
        <v>9</v>
      </c>
      <c r="I3031" t="s">
        <v>2126</v>
      </c>
      <c r="J3031" t="s">
        <v>55</v>
      </c>
      <c r="K3031" t="s">
        <v>93</v>
      </c>
      <c r="M3031" t="s">
        <v>6</v>
      </c>
    </row>
    <row r="3032" spans="2:13" hidden="1">
      <c r="B3032">
        <v>3030</v>
      </c>
      <c r="C3032">
        <v>256</v>
      </c>
      <c r="D3032">
        <v>11</v>
      </c>
      <c r="E3032">
        <v>11</v>
      </c>
      <c r="F3032">
        <v>0</v>
      </c>
      <c r="G3032" t="s">
        <v>8</v>
      </c>
      <c r="H3032" t="s">
        <v>9</v>
      </c>
      <c r="I3032" t="s">
        <v>2126</v>
      </c>
      <c r="J3032" t="s">
        <v>64</v>
      </c>
      <c r="K3032" t="s">
        <v>94</v>
      </c>
      <c r="M3032" t="s">
        <v>6</v>
      </c>
    </row>
    <row r="3033" spans="2:13" hidden="1">
      <c r="B3033">
        <v>3031</v>
      </c>
      <c r="C3033">
        <v>257</v>
      </c>
      <c r="D3033">
        <v>15</v>
      </c>
      <c r="E3033">
        <v>0</v>
      </c>
      <c r="F3033">
        <v>0</v>
      </c>
      <c r="G3033" t="s">
        <v>22</v>
      </c>
      <c r="H3033" t="s">
        <v>9</v>
      </c>
      <c r="I3033" t="s">
        <v>2129</v>
      </c>
      <c r="J3033" t="s">
        <v>54</v>
      </c>
      <c r="K3033" t="s">
        <v>2129</v>
      </c>
      <c r="M3033" t="s">
        <v>6</v>
      </c>
    </row>
    <row r="3034" spans="2:13" hidden="1">
      <c r="B3034">
        <v>3032</v>
      </c>
      <c r="C3034">
        <v>257</v>
      </c>
      <c r="D3034">
        <v>15</v>
      </c>
      <c r="E3034">
        <v>1</v>
      </c>
      <c r="F3034">
        <v>0</v>
      </c>
      <c r="G3034" t="s">
        <v>22</v>
      </c>
      <c r="H3034" t="s">
        <v>9</v>
      </c>
      <c r="I3034" t="s">
        <v>2129</v>
      </c>
      <c r="J3034" t="s">
        <v>420</v>
      </c>
      <c r="K3034" t="s">
        <v>2081</v>
      </c>
      <c r="M3034" t="s">
        <v>6</v>
      </c>
    </row>
    <row r="3035" spans="2:13" hidden="1">
      <c r="B3035">
        <v>3033</v>
      </c>
      <c r="C3035">
        <v>257</v>
      </c>
      <c r="D3035">
        <v>15</v>
      </c>
      <c r="E3035">
        <v>2</v>
      </c>
      <c r="F3035">
        <v>0</v>
      </c>
      <c r="G3035" t="s">
        <v>22</v>
      </c>
      <c r="H3035" t="s">
        <v>9</v>
      </c>
      <c r="I3035" t="s">
        <v>2129</v>
      </c>
      <c r="J3035" t="s">
        <v>55</v>
      </c>
      <c r="K3035" t="s">
        <v>2082</v>
      </c>
      <c r="M3035" t="s">
        <v>6</v>
      </c>
    </row>
    <row r="3036" spans="2:13" hidden="1">
      <c r="B3036">
        <v>3034</v>
      </c>
      <c r="C3036">
        <v>257</v>
      </c>
      <c r="D3036">
        <v>15</v>
      </c>
      <c r="E3036">
        <v>3</v>
      </c>
      <c r="F3036">
        <v>0</v>
      </c>
      <c r="G3036" t="s">
        <v>22</v>
      </c>
      <c r="H3036" t="s">
        <v>9</v>
      </c>
      <c r="I3036" t="s">
        <v>2129</v>
      </c>
      <c r="J3036" t="s">
        <v>55</v>
      </c>
      <c r="K3036" t="s">
        <v>2083</v>
      </c>
      <c r="M3036" t="s">
        <v>6</v>
      </c>
    </row>
    <row r="3037" spans="2:13" hidden="1">
      <c r="B3037">
        <v>3035</v>
      </c>
      <c r="C3037">
        <v>257</v>
      </c>
      <c r="D3037">
        <v>15</v>
      </c>
      <c r="E3037">
        <v>4</v>
      </c>
      <c r="F3037">
        <v>0</v>
      </c>
      <c r="G3037" t="s">
        <v>22</v>
      </c>
      <c r="H3037" t="s">
        <v>9</v>
      </c>
      <c r="I3037" t="s">
        <v>2129</v>
      </c>
      <c r="J3037" t="s">
        <v>55</v>
      </c>
      <c r="K3037" t="s">
        <v>2084</v>
      </c>
      <c r="M3037" t="s">
        <v>6</v>
      </c>
    </row>
    <row r="3038" spans="2:13" hidden="1">
      <c r="B3038">
        <v>3036</v>
      </c>
      <c r="C3038">
        <v>257</v>
      </c>
      <c r="D3038">
        <v>15</v>
      </c>
      <c r="E3038">
        <v>5</v>
      </c>
      <c r="F3038">
        <v>0</v>
      </c>
      <c r="G3038" t="s">
        <v>22</v>
      </c>
      <c r="H3038" t="s">
        <v>9</v>
      </c>
      <c r="I3038" t="s">
        <v>2129</v>
      </c>
      <c r="J3038" t="s">
        <v>55</v>
      </c>
      <c r="K3038" t="s">
        <v>2085</v>
      </c>
      <c r="M3038" t="s">
        <v>6</v>
      </c>
    </row>
    <row r="3039" spans="2:13" hidden="1">
      <c r="B3039">
        <v>3037</v>
      </c>
      <c r="C3039">
        <v>257</v>
      </c>
      <c r="D3039">
        <v>15</v>
      </c>
      <c r="E3039">
        <v>6</v>
      </c>
      <c r="F3039">
        <v>0</v>
      </c>
      <c r="G3039" t="s">
        <v>22</v>
      </c>
      <c r="H3039" t="s">
        <v>9</v>
      </c>
      <c r="I3039" t="s">
        <v>2129</v>
      </c>
      <c r="J3039" t="s">
        <v>55</v>
      </c>
      <c r="K3039" t="s">
        <v>2086</v>
      </c>
      <c r="M3039" t="s">
        <v>6</v>
      </c>
    </row>
    <row r="3040" spans="2:13" hidden="1">
      <c r="B3040">
        <v>3038</v>
      </c>
      <c r="C3040">
        <v>257</v>
      </c>
      <c r="D3040">
        <v>15</v>
      </c>
      <c r="E3040">
        <v>7</v>
      </c>
      <c r="F3040">
        <v>0</v>
      </c>
      <c r="G3040" t="s">
        <v>22</v>
      </c>
      <c r="H3040" t="s">
        <v>9</v>
      </c>
      <c r="I3040" t="s">
        <v>2129</v>
      </c>
      <c r="J3040" t="s">
        <v>55</v>
      </c>
      <c r="K3040" t="s">
        <v>2087</v>
      </c>
      <c r="M3040" t="s">
        <v>6</v>
      </c>
    </row>
    <row r="3041" spans="2:13" hidden="1">
      <c r="B3041">
        <v>3039</v>
      </c>
      <c r="C3041">
        <v>257</v>
      </c>
      <c r="D3041">
        <v>15</v>
      </c>
      <c r="E3041">
        <v>8</v>
      </c>
      <c r="F3041">
        <v>0</v>
      </c>
      <c r="G3041" t="s">
        <v>22</v>
      </c>
      <c r="H3041" t="s">
        <v>9</v>
      </c>
      <c r="I3041" t="s">
        <v>2129</v>
      </c>
      <c r="J3041" t="s">
        <v>55</v>
      </c>
      <c r="K3041" t="s">
        <v>2088</v>
      </c>
      <c r="M3041" t="s">
        <v>6</v>
      </c>
    </row>
    <row r="3042" spans="2:13" hidden="1">
      <c r="B3042">
        <v>3040</v>
      </c>
      <c r="C3042">
        <v>257</v>
      </c>
      <c r="D3042">
        <v>15</v>
      </c>
      <c r="E3042">
        <v>9</v>
      </c>
      <c r="F3042">
        <v>0</v>
      </c>
      <c r="G3042" t="s">
        <v>22</v>
      </c>
      <c r="H3042" t="s">
        <v>9</v>
      </c>
      <c r="I3042" t="s">
        <v>2129</v>
      </c>
      <c r="J3042" t="s">
        <v>55</v>
      </c>
      <c r="K3042" t="s">
        <v>2089</v>
      </c>
      <c r="M3042" t="s">
        <v>6</v>
      </c>
    </row>
    <row r="3043" spans="2:13" hidden="1">
      <c r="B3043">
        <v>3041</v>
      </c>
      <c r="C3043">
        <v>257</v>
      </c>
      <c r="D3043">
        <v>15</v>
      </c>
      <c r="E3043">
        <v>10</v>
      </c>
      <c r="F3043">
        <v>0</v>
      </c>
      <c r="G3043" t="s">
        <v>22</v>
      </c>
      <c r="H3043" t="s">
        <v>9</v>
      </c>
      <c r="I3043" t="s">
        <v>2129</v>
      </c>
      <c r="J3043" t="s">
        <v>55</v>
      </c>
      <c r="K3043" t="s">
        <v>2090</v>
      </c>
      <c r="M3043" t="s">
        <v>6</v>
      </c>
    </row>
    <row r="3044" spans="2:13" hidden="1">
      <c r="B3044">
        <v>3042</v>
      </c>
      <c r="C3044">
        <v>257</v>
      </c>
      <c r="D3044">
        <v>15</v>
      </c>
      <c r="E3044">
        <v>11</v>
      </c>
      <c r="F3044">
        <v>0</v>
      </c>
      <c r="G3044" t="s">
        <v>22</v>
      </c>
      <c r="H3044" t="s">
        <v>9</v>
      </c>
      <c r="I3044" t="s">
        <v>2129</v>
      </c>
      <c r="J3044" t="s">
        <v>55</v>
      </c>
      <c r="K3044" t="s">
        <v>2091</v>
      </c>
      <c r="M3044" t="s">
        <v>6</v>
      </c>
    </row>
    <row r="3045" spans="2:13" hidden="1">
      <c r="B3045">
        <v>3043</v>
      </c>
      <c r="C3045">
        <v>257</v>
      </c>
      <c r="D3045">
        <v>15</v>
      </c>
      <c r="E3045">
        <v>12</v>
      </c>
      <c r="F3045">
        <v>0</v>
      </c>
      <c r="G3045" t="s">
        <v>22</v>
      </c>
      <c r="H3045" t="s">
        <v>9</v>
      </c>
      <c r="I3045" t="s">
        <v>2129</v>
      </c>
      <c r="J3045" t="s">
        <v>55</v>
      </c>
      <c r="K3045" t="s">
        <v>2092</v>
      </c>
      <c r="M3045" t="s">
        <v>6</v>
      </c>
    </row>
    <row r="3046" spans="2:13" hidden="1">
      <c r="B3046">
        <v>3044</v>
      </c>
      <c r="C3046">
        <v>257</v>
      </c>
      <c r="D3046">
        <v>15</v>
      </c>
      <c r="E3046">
        <v>13</v>
      </c>
      <c r="F3046">
        <v>0</v>
      </c>
      <c r="G3046" t="s">
        <v>22</v>
      </c>
      <c r="H3046" t="s">
        <v>9</v>
      </c>
      <c r="I3046" t="s">
        <v>2129</v>
      </c>
      <c r="J3046" t="s">
        <v>55</v>
      </c>
      <c r="K3046" t="s">
        <v>2093</v>
      </c>
      <c r="M3046" t="s">
        <v>6</v>
      </c>
    </row>
    <row r="3047" spans="2:13" hidden="1">
      <c r="B3047">
        <v>3045</v>
      </c>
      <c r="C3047">
        <v>257</v>
      </c>
      <c r="D3047">
        <v>15</v>
      </c>
      <c r="E3047">
        <v>14</v>
      </c>
      <c r="F3047">
        <v>0</v>
      </c>
      <c r="G3047" t="s">
        <v>22</v>
      </c>
      <c r="H3047" t="s">
        <v>9</v>
      </c>
      <c r="I3047" t="s">
        <v>2129</v>
      </c>
      <c r="J3047" t="s">
        <v>55</v>
      </c>
      <c r="K3047" t="s">
        <v>2094</v>
      </c>
      <c r="M3047" t="s">
        <v>6</v>
      </c>
    </row>
    <row r="3048" spans="2:13" hidden="1">
      <c r="B3048">
        <v>3046</v>
      </c>
      <c r="C3048">
        <v>257</v>
      </c>
      <c r="D3048">
        <v>15</v>
      </c>
      <c r="E3048">
        <v>15</v>
      </c>
      <c r="F3048">
        <v>0</v>
      </c>
      <c r="G3048" t="s">
        <v>22</v>
      </c>
      <c r="H3048" t="s">
        <v>9</v>
      </c>
      <c r="I3048" t="s">
        <v>2129</v>
      </c>
      <c r="J3048" t="s">
        <v>2095</v>
      </c>
      <c r="K3048" t="s">
        <v>2096</v>
      </c>
      <c r="M3048" t="s">
        <v>6</v>
      </c>
    </row>
    <row r="3049" spans="2:13" hidden="1">
      <c r="B3049">
        <v>3047</v>
      </c>
      <c r="C3049">
        <v>258</v>
      </c>
      <c r="D3049">
        <v>58</v>
      </c>
      <c r="E3049">
        <v>0</v>
      </c>
      <c r="F3049">
        <v>0</v>
      </c>
      <c r="G3049" t="s">
        <v>18</v>
      </c>
      <c r="H3049" t="s">
        <v>52</v>
      </c>
      <c r="I3049" t="s">
        <v>2130</v>
      </c>
      <c r="J3049" t="s">
        <v>478</v>
      </c>
      <c r="K3049" t="s">
        <v>2130</v>
      </c>
      <c r="M3049" t="s">
        <v>7</v>
      </c>
    </row>
    <row r="3050" spans="2:13" hidden="1">
      <c r="B3050">
        <v>3048</v>
      </c>
      <c r="C3050">
        <v>258</v>
      </c>
      <c r="D3050">
        <v>58</v>
      </c>
      <c r="E3050">
        <v>1</v>
      </c>
      <c r="F3050">
        <v>0</v>
      </c>
      <c r="G3050" t="s">
        <v>18</v>
      </c>
      <c r="H3050" t="s">
        <v>52</v>
      </c>
      <c r="I3050" t="s">
        <v>2130</v>
      </c>
      <c r="J3050" t="s">
        <v>479</v>
      </c>
      <c r="K3050" t="s">
        <v>1716</v>
      </c>
      <c r="M3050" t="s">
        <v>7</v>
      </c>
    </row>
    <row r="3051" spans="2:13" hidden="1">
      <c r="B3051">
        <v>3049</v>
      </c>
      <c r="C3051">
        <v>258</v>
      </c>
      <c r="D3051">
        <v>58</v>
      </c>
      <c r="E3051">
        <v>2</v>
      </c>
      <c r="F3051">
        <v>0</v>
      </c>
      <c r="G3051" t="s">
        <v>18</v>
      </c>
      <c r="H3051" t="s">
        <v>52</v>
      </c>
      <c r="I3051" t="s">
        <v>2130</v>
      </c>
      <c r="J3051" t="s">
        <v>55</v>
      </c>
      <c r="K3051" t="s">
        <v>1717</v>
      </c>
      <c r="M3051" t="s">
        <v>7</v>
      </c>
    </row>
    <row r="3052" spans="2:13" hidden="1">
      <c r="B3052">
        <v>3050</v>
      </c>
      <c r="C3052">
        <v>258</v>
      </c>
      <c r="D3052">
        <v>58</v>
      </c>
      <c r="E3052">
        <v>3</v>
      </c>
      <c r="F3052">
        <v>0</v>
      </c>
      <c r="G3052" t="s">
        <v>18</v>
      </c>
      <c r="H3052" t="s">
        <v>52</v>
      </c>
      <c r="I3052" t="s">
        <v>2130</v>
      </c>
      <c r="J3052" t="s">
        <v>214</v>
      </c>
      <c r="K3052" t="s">
        <v>1613</v>
      </c>
      <c r="M3052" t="s">
        <v>7</v>
      </c>
    </row>
    <row r="3053" spans="2:13" hidden="1">
      <c r="B3053">
        <v>3051</v>
      </c>
      <c r="C3053">
        <v>258</v>
      </c>
      <c r="D3053">
        <v>58</v>
      </c>
      <c r="E3053">
        <v>4</v>
      </c>
      <c r="F3053">
        <v>0</v>
      </c>
      <c r="G3053" t="s">
        <v>18</v>
      </c>
      <c r="H3053" t="s">
        <v>52</v>
      </c>
      <c r="I3053" t="s">
        <v>2130</v>
      </c>
      <c r="J3053" t="s">
        <v>214</v>
      </c>
      <c r="K3053" t="s">
        <v>1614</v>
      </c>
      <c r="M3053" t="s">
        <v>7</v>
      </c>
    </row>
    <row r="3054" spans="2:13" hidden="1">
      <c r="B3054">
        <v>3052</v>
      </c>
      <c r="C3054">
        <v>258</v>
      </c>
      <c r="D3054">
        <v>58</v>
      </c>
      <c r="E3054">
        <v>5</v>
      </c>
      <c r="F3054">
        <v>0</v>
      </c>
      <c r="G3054" t="s">
        <v>18</v>
      </c>
      <c r="H3054" t="s">
        <v>52</v>
      </c>
      <c r="I3054" t="s">
        <v>2130</v>
      </c>
      <c r="J3054" t="s">
        <v>55</v>
      </c>
      <c r="K3054" t="s">
        <v>1718</v>
      </c>
      <c r="M3054" t="s">
        <v>7</v>
      </c>
    </row>
    <row r="3055" spans="2:13" hidden="1">
      <c r="B3055">
        <v>3053</v>
      </c>
      <c r="C3055">
        <v>258</v>
      </c>
      <c r="D3055">
        <v>58</v>
      </c>
      <c r="E3055">
        <v>6</v>
      </c>
      <c r="F3055">
        <v>0</v>
      </c>
      <c r="G3055" t="s">
        <v>18</v>
      </c>
      <c r="H3055" t="s">
        <v>52</v>
      </c>
      <c r="I3055" t="s">
        <v>2130</v>
      </c>
      <c r="J3055" t="s">
        <v>479</v>
      </c>
      <c r="K3055" t="s">
        <v>2131</v>
      </c>
      <c r="M3055" t="s">
        <v>7</v>
      </c>
    </row>
    <row r="3056" spans="2:13" hidden="1">
      <c r="B3056">
        <v>3054</v>
      </c>
      <c r="C3056">
        <v>258</v>
      </c>
      <c r="D3056">
        <v>58</v>
      </c>
      <c r="E3056">
        <v>7</v>
      </c>
      <c r="F3056">
        <v>0</v>
      </c>
      <c r="G3056" t="s">
        <v>18</v>
      </c>
      <c r="H3056" t="s">
        <v>52</v>
      </c>
      <c r="I3056" t="s">
        <v>2130</v>
      </c>
      <c r="J3056" t="s">
        <v>55</v>
      </c>
      <c r="K3056" t="s">
        <v>62</v>
      </c>
      <c r="M3056" t="s">
        <v>7</v>
      </c>
    </row>
    <row r="3057" spans="2:13" hidden="1">
      <c r="B3057">
        <v>3055</v>
      </c>
      <c r="C3057">
        <v>258</v>
      </c>
      <c r="D3057">
        <v>58</v>
      </c>
      <c r="E3057">
        <v>8</v>
      </c>
      <c r="F3057">
        <v>0</v>
      </c>
      <c r="G3057" t="s">
        <v>18</v>
      </c>
      <c r="H3057" t="s">
        <v>52</v>
      </c>
      <c r="I3057" t="s">
        <v>2130</v>
      </c>
      <c r="J3057" t="s">
        <v>55</v>
      </c>
      <c r="K3057" t="s">
        <v>1577</v>
      </c>
      <c r="M3057" t="s">
        <v>7</v>
      </c>
    </row>
    <row r="3058" spans="2:13" hidden="1">
      <c r="B3058">
        <v>3056</v>
      </c>
      <c r="C3058">
        <v>258</v>
      </c>
      <c r="D3058">
        <v>58</v>
      </c>
      <c r="E3058">
        <v>9</v>
      </c>
      <c r="F3058">
        <v>0</v>
      </c>
      <c r="G3058" t="s">
        <v>18</v>
      </c>
      <c r="H3058" t="s">
        <v>52</v>
      </c>
      <c r="I3058" t="s">
        <v>2130</v>
      </c>
      <c r="J3058" t="s">
        <v>55</v>
      </c>
      <c r="K3058" t="s">
        <v>1578</v>
      </c>
      <c r="M3058" t="s">
        <v>7</v>
      </c>
    </row>
    <row r="3059" spans="2:13" hidden="1">
      <c r="B3059">
        <v>3057</v>
      </c>
      <c r="C3059">
        <v>258</v>
      </c>
      <c r="D3059">
        <v>58</v>
      </c>
      <c r="E3059">
        <v>10</v>
      </c>
      <c r="F3059">
        <v>0</v>
      </c>
      <c r="G3059" t="s">
        <v>18</v>
      </c>
      <c r="H3059" t="s">
        <v>52</v>
      </c>
      <c r="I3059" t="s">
        <v>2130</v>
      </c>
      <c r="J3059" t="s">
        <v>55</v>
      </c>
      <c r="K3059" t="s">
        <v>1579</v>
      </c>
      <c r="M3059" t="s">
        <v>7</v>
      </c>
    </row>
    <row r="3060" spans="2:13" hidden="1">
      <c r="B3060">
        <v>3058</v>
      </c>
      <c r="C3060">
        <v>258</v>
      </c>
      <c r="D3060">
        <v>58</v>
      </c>
      <c r="E3060">
        <v>11</v>
      </c>
      <c r="F3060">
        <v>0</v>
      </c>
      <c r="G3060" t="s">
        <v>18</v>
      </c>
      <c r="H3060" t="s">
        <v>52</v>
      </c>
      <c r="I3060" t="s">
        <v>2130</v>
      </c>
      <c r="J3060" t="s">
        <v>55</v>
      </c>
      <c r="K3060" t="s">
        <v>1580</v>
      </c>
      <c r="M3060" t="s">
        <v>7</v>
      </c>
    </row>
    <row r="3061" spans="2:13" hidden="1">
      <c r="B3061">
        <v>3059</v>
      </c>
      <c r="C3061">
        <v>258</v>
      </c>
      <c r="D3061">
        <v>58</v>
      </c>
      <c r="E3061">
        <v>12</v>
      </c>
      <c r="F3061">
        <v>0</v>
      </c>
      <c r="G3061" t="s">
        <v>18</v>
      </c>
      <c r="H3061" t="s">
        <v>52</v>
      </c>
      <c r="I3061" t="s">
        <v>2130</v>
      </c>
      <c r="J3061" t="s">
        <v>55</v>
      </c>
      <c r="K3061" t="s">
        <v>2132</v>
      </c>
      <c r="M3061" t="s">
        <v>7</v>
      </c>
    </row>
    <row r="3062" spans="2:13" hidden="1">
      <c r="B3062">
        <v>3060</v>
      </c>
      <c r="C3062">
        <v>258</v>
      </c>
      <c r="D3062">
        <v>58</v>
      </c>
      <c r="E3062">
        <v>13</v>
      </c>
      <c r="F3062">
        <v>0</v>
      </c>
      <c r="G3062" t="s">
        <v>18</v>
      </c>
      <c r="H3062" t="s">
        <v>52</v>
      </c>
      <c r="I3062" t="s">
        <v>2130</v>
      </c>
      <c r="J3062" t="s">
        <v>479</v>
      </c>
      <c r="K3062" t="s">
        <v>1719</v>
      </c>
      <c r="M3062" t="s">
        <v>7</v>
      </c>
    </row>
    <row r="3063" spans="2:13" hidden="1">
      <c r="B3063">
        <v>3061</v>
      </c>
      <c r="C3063">
        <v>258</v>
      </c>
      <c r="D3063">
        <v>58</v>
      </c>
      <c r="E3063">
        <v>14</v>
      </c>
      <c r="F3063">
        <v>0</v>
      </c>
      <c r="G3063" t="s">
        <v>18</v>
      </c>
      <c r="H3063" t="s">
        <v>52</v>
      </c>
      <c r="I3063" t="s">
        <v>2130</v>
      </c>
      <c r="J3063" t="s">
        <v>55</v>
      </c>
      <c r="K3063" t="s">
        <v>1720</v>
      </c>
      <c r="M3063" t="s">
        <v>7</v>
      </c>
    </row>
    <row r="3064" spans="2:13" hidden="1">
      <c r="B3064">
        <v>3062</v>
      </c>
      <c r="C3064">
        <v>258</v>
      </c>
      <c r="D3064">
        <v>58</v>
      </c>
      <c r="E3064">
        <v>15</v>
      </c>
      <c r="F3064">
        <v>0</v>
      </c>
      <c r="G3064" t="s">
        <v>18</v>
      </c>
      <c r="H3064" t="s">
        <v>52</v>
      </c>
      <c r="I3064" t="s">
        <v>2130</v>
      </c>
      <c r="J3064" t="s">
        <v>55</v>
      </c>
      <c r="K3064" t="s">
        <v>474</v>
      </c>
      <c r="M3064" t="s">
        <v>7</v>
      </c>
    </row>
    <row r="3065" spans="2:13" hidden="1">
      <c r="B3065">
        <v>3063</v>
      </c>
      <c r="C3065">
        <v>258</v>
      </c>
      <c r="D3065">
        <v>58</v>
      </c>
      <c r="E3065">
        <v>16</v>
      </c>
      <c r="F3065">
        <v>0</v>
      </c>
      <c r="G3065" t="s">
        <v>18</v>
      </c>
      <c r="H3065" t="s">
        <v>52</v>
      </c>
      <c r="I3065" t="s">
        <v>2130</v>
      </c>
      <c r="J3065" t="s">
        <v>55</v>
      </c>
      <c r="K3065" t="s">
        <v>475</v>
      </c>
      <c r="M3065" t="s">
        <v>7</v>
      </c>
    </row>
    <row r="3066" spans="2:13" hidden="1">
      <c r="B3066">
        <v>3064</v>
      </c>
      <c r="C3066">
        <v>258</v>
      </c>
      <c r="D3066">
        <v>58</v>
      </c>
      <c r="E3066">
        <v>17</v>
      </c>
      <c r="F3066">
        <v>0</v>
      </c>
      <c r="G3066" t="s">
        <v>18</v>
      </c>
      <c r="H3066" t="s">
        <v>52</v>
      </c>
      <c r="I3066" t="s">
        <v>2130</v>
      </c>
      <c r="J3066" t="s">
        <v>55</v>
      </c>
      <c r="K3066" t="s">
        <v>476</v>
      </c>
      <c r="M3066" t="s">
        <v>7</v>
      </c>
    </row>
    <row r="3067" spans="2:13" hidden="1">
      <c r="B3067">
        <v>3065</v>
      </c>
      <c r="C3067">
        <v>258</v>
      </c>
      <c r="D3067">
        <v>58</v>
      </c>
      <c r="E3067">
        <v>18</v>
      </c>
      <c r="F3067">
        <v>0</v>
      </c>
      <c r="G3067" t="s">
        <v>18</v>
      </c>
      <c r="H3067" t="s">
        <v>52</v>
      </c>
      <c r="I3067" t="s">
        <v>2130</v>
      </c>
      <c r="J3067" t="s">
        <v>479</v>
      </c>
      <c r="K3067" t="s">
        <v>1721</v>
      </c>
      <c r="M3067" t="s">
        <v>7</v>
      </c>
    </row>
    <row r="3068" spans="2:13" hidden="1">
      <c r="B3068">
        <v>3066</v>
      </c>
      <c r="C3068">
        <v>258</v>
      </c>
      <c r="D3068">
        <v>58</v>
      </c>
      <c r="E3068">
        <v>19</v>
      </c>
      <c r="F3068">
        <v>0</v>
      </c>
      <c r="G3068" t="s">
        <v>18</v>
      </c>
      <c r="H3068" t="s">
        <v>52</v>
      </c>
      <c r="I3068" t="s">
        <v>2130</v>
      </c>
      <c r="J3068" t="s">
        <v>55</v>
      </c>
      <c r="K3068" t="s">
        <v>1722</v>
      </c>
      <c r="M3068" t="s">
        <v>7</v>
      </c>
    </row>
    <row r="3069" spans="2:13" hidden="1">
      <c r="B3069">
        <v>3067</v>
      </c>
      <c r="C3069">
        <v>258</v>
      </c>
      <c r="D3069">
        <v>58</v>
      </c>
      <c r="E3069">
        <v>20</v>
      </c>
      <c r="F3069">
        <v>0</v>
      </c>
      <c r="G3069" t="s">
        <v>18</v>
      </c>
      <c r="H3069" t="s">
        <v>52</v>
      </c>
      <c r="I3069" t="s">
        <v>2130</v>
      </c>
      <c r="J3069" t="s">
        <v>55</v>
      </c>
      <c r="K3069" t="s">
        <v>1723</v>
      </c>
      <c r="M3069" t="s">
        <v>7</v>
      </c>
    </row>
    <row r="3070" spans="2:13" hidden="1">
      <c r="B3070">
        <v>3068</v>
      </c>
      <c r="C3070">
        <v>258</v>
      </c>
      <c r="D3070">
        <v>58</v>
      </c>
      <c r="E3070">
        <v>21</v>
      </c>
      <c r="F3070">
        <v>0</v>
      </c>
      <c r="G3070" t="s">
        <v>18</v>
      </c>
      <c r="H3070" t="s">
        <v>52</v>
      </c>
      <c r="I3070" t="s">
        <v>2130</v>
      </c>
      <c r="J3070" t="s">
        <v>55</v>
      </c>
      <c r="K3070" t="s">
        <v>1724</v>
      </c>
      <c r="M3070" t="s">
        <v>7</v>
      </c>
    </row>
    <row r="3071" spans="2:13" hidden="1">
      <c r="B3071">
        <v>3069</v>
      </c>
      <c r="C3071">
        <v>258</v>
      </c>
      <c r="D3071">
        <v>58</v>
      </c>
      <c r="E3071">
        <v>22</v>
      </c>
      <c r="F3071">
        <v>0</v>
      </c>
      <c r="G3071" t="s">
        <v>18</v>
      </c>
      <c r="H3071" t="s">
        <v>52</v>
      </c>
      <c r="I3071" t="s">
        <v>2130</v>
      </c>
      <c r="J3071" t="s">
        <v>55</v>
      </c>
      <c r="K3071" t="s">
        <v>1725</v>
      </c>
      <c r="M3071" t="s">
        <v>7</v>
      </c>
    </row>
    <row r="3072" spans="2:13" hidden="1">
      <c r="B3072">
        <v>3070</v>
      </c>
      <c r="C3072">
        <v>258</v>
      </c>
      <c r="D3072">
        <v>58</v>
      </c>
      <c r="E3072">
        <v>23</v>
      </c>
      <c r="F3072">
        <v>0</v>
      </c>
      <c r="G3072" t="s">
        <v>18</v>
      </c>
      <c r="H3072" t="s">
        <v>52</v>
      </c>
      <c r="I3072" t="s">
        <v>2130</v>
      </c>
      <c r="J3072" t="s">
        <v>55</v>
      </c>
      <c r="K3072" t="s">
        <v>1726</v>
      </c>
      <c r="M3072" t="s">
        <v>7</v>
      </c>
    </row>
    <row r="3073" spans="2:13" hidden="1">
      <c r="B3073">
        <v>3071</v>
      </c>
      <c r="C3073">
        <v>258</v>
      </c>
      <c r="D3073">
        <v>58</v>
      </c>
      <c r="E3073">
        <v>24</v>
      </c>
      <c r="F3073">
        <v>0</v>
      </c>
      <c r="G3073" t="s">
        <v>18</v>
      </c>
      <c r="H3073" t="s">
        <v>52</v>
      </c>
      <c r="I3073" t="s">
        <v>2130</v>
      </c>
      <c r="J3073" t="s">
        <v>99</v>
      </c>
      <c r="K3073" t="s">
        <v>1727</v>
      </c>
      <c r="M3073" t="s">
        <v>7</v>
      </c>
    </row>
    <row r="3074" spans="2:13" hidden="1">
      <c r="B3074">
        <v>3072</v>
      </c>
      <c r="C3074">
        <v>258</v>
      </c>
      <c r="D3074">
        <v>58</v>
      </c>
      <c r="E3074">
        <v>25</v>
      </c>
      <c r="F3074">
        <v>0</v>
      </c>
      <c r="G3074" t="s">
        <v>18</v>
      </c>
      <c r="H3074" t="s">
        <v>52</v>
      </c>
      <c r="I3074" t="s">
        <v>2130</v>
      </c>
      <c r="J3074" t="s">
        <v>99</v>
      </c>
      <c r="K3074" t="s">
        <v>1728</v>
      </c>
      <c r="M3074" t="s">
        <v>7</v>
      </c>
    </row>
    <row r="3075" spans="2:13" hidden="1">
      <c r="B3075">
        <v>3073</v>
      </c>
      <c r="C3075">
        <v>258</v>
      </c>
      <c r="D3075">
        <v>58</v>
      </c>
      <c r="E3075">
        <v>26</v>
      </c>
      <c r="F3075">
        <v>0</v>
      </c>
      <c r="G3075" t="s">
        <v>18</v>
      </c>
      <c r="H3075" t="s">
        <v>52</v>
      </c>
      <c r="I3075" t="s">
        <v>2130</v>
      </c>
      <c r="J3075" t="s">
        <v>55</v>
      </c>
      <c r="K3075" t="s">
        <v>1729</v>
      </c>
      <c r="M3075" t="s">
        <v>7</v>
      </c>
    </row>
    <row r="3076" spans="2:13" hidden="1">
      <c r="B3076">
        <v>3074</v>
      </c>
      <c r="C3076">
        <v>258</v>
      </c>
      <c r="D3076">
        <v>58</v>
      </c>
      <c r="E3076">
        <v>27</v>
      </c>
      <c r="F3076">
        <v>0</v>
      </c>
      <c r="G3076" t="s">
        <v>18</v>
      </c>
      <c r="H3076" t="s">
        <v>52</v>
      </c>
      <c r="I3076" t="s">
        <v>2130</v>
      </c>
      <c r="J3076" t="s">
        <v>55</v>
      </c>
      <c r="K3076" t="s">
        <v>1730</v>
      </c>
      <c r="M3076" t="s">
        <v>7</v>
      </c>
    </row>
    <row r="3077" spans="2:13" hidden="1">
      <c r="B3077">
        <v>3075</v>
      </c>
      <c r="C3077">
        <v>258</v>
      </c>
      <c r="D3077">
        <v>58</v>
      </c>
      <c r="E3077">
        <v>28</v>
      </c>
      <c r="F3077">
        <v>0</v>
      </c>
      <c r="G3077" t="s">
        <v>18</v>
      </c>
      <c r="H3077" t="s">
        <v>52</v>
      </c>
      <c r="I3077" t="s">
        <v>2130</v>
      </c>
      <c r="J3077" t="s">
        <v>55</v>
      </c>
      <c r="K3077" t="s">
        <v>1731</v>
      </c>
      <c r="M3077" t="s">
        <v>7</v>
      </c>
    </row>
    <row r="3078" spans="2:13" hidden="1">
      <c r="B3078">
        <v>3076</v>
      </c>
      <c r="C3078">
        <v>258</v>
      </c>
      <c r="D3078">
        <v>58</v>
      </c>
      <c r="E3078">
        <v>29</v>
      </c>
      <c r="F3078">
        <v>0</v>
      </c>
      <c r="G3078" t="s">
        <v>18</v>
      </c>
      <c r="H3078" t="s">
        <v>52</v>
      </c>
      <c r="I3078" t="s">
        <v>2130</v>
      </c>
      <c r="J3078" t="s">
        <v>55</v>
      </c>
      <c r="K3078" t="s">
        <v>1732</v>
      </c>
      <c r="M3078" t="s">
        <v>7</v>
      </c>
    </row>
    <row r="3079" spans="2:13" hidden="1">
      <c r="B3079">
        <v>3077</v>
      </c>
      <c r="C3079">
        <v>258</v>
      </c>
      <c r="D3079">
        <v>58</v>
      </c>
      <c r="E3079">
        <v>30</v>
      </c>
      <c r="F3079">
        <v>0</v>
      </c>
      <c r="G3079" t="s">
        <v>18</v>
      </c>
      <c r="H3079" t="s">
        <v>52</v>
      </c>
      <c r="I3079" t="s">
        <v>2130</v>
      </c>
      <c r="J3079" t="s">
        <v>55</v>
      </c>
      <c r="K3079" t="s">
        <v>1583</v>
      </c>
      <c r="M3079" t="s">
        <v>7</v>
      </c>
    </row>
    <row r="3080" spans="2:13" hidden="1">
      <c r="B3080">
        <v>3078</v>
      </c>
      <c r="C3080">
        <v>258</v>
      </c>
      <c r="D3080">
        <v>58</v>
      </c>
      <c r="E3080">
        <v>31</v>
      </c>
      <c r="F3080">
        <v>0</v>
      </c>
      <c r="G3080" t="s">
        <v>18</v>
      </c>
      <c r="H3080" t="s">
        <v>52</v>
      </c>
      <c r="I3080" t="s">
        <v>2130</v>
      </c>
      <c r="J3080" t="s">
        <v>55</v>
      </c>
      <c r="K3080" t="s">
        <v>1733</v>
      </c>
      <c r="M3080" t="s">
        <v>7</v>
      </c>
    </row>
    <row r="3081" spans="2:13" hidden="1">
      <c r="B3081">
        <v>3079</v>
      </c>
      <c r="C3081">
        <v>258</v>
      </c>
      <c r="D3081">
        <v>58</v>
      </c>
      <c r="E3081">
        <v>32</v>
      </c>
      <c r="F3081">
        <v>0</v>
      </c>
      <c r="G3081" t="s">
        <v>18</v>
      </c>
      <c r="H3081" t="s">
        <v>52</v>
      </c>
      <c r="I3081" t="s">
        <v>2130</v>
      </c>
      <c r="J3081" t="s">
        <v>479</v>
      </c>
      <c r="K3081" t="s">
        <v>1734</v>
      </c>
      <c r="M3081" t="s">
        <v>7</v>
      </c>
    </row>
    <row r="3082" spans="2:13" hidden="1">
      <c r="B3082">
        <v>3080</v>
      </c>
      <c r="C3082">
        <v>258</v>
      </c>
      <c r="D3082">
        <v>58</v>
      </c>
      <c r="E3082">
        <v>33</v>
      </c>
      <c r="F3082">
        <v>0</v>
      </c>
      <c r="G3082" t="s">
        <v>18</v>
      </c>
      <c r="H3082" t="s">
        <v>52</v>
      </c>
      <c r="I3082" t="s">
        <v>2130</v>
      </c>
      <c r="J3082" t="s">
        <v>55</v>
      </c>
      <c r="K3082" t="s">
        <v>1735</v>
      </c>
      <c r="M3082" t="s">
        <v>7</v>
      </c>
    </row>
    <row r="3083" spans="2:13" hidden="1">
      <c r="B3083">
        <v>3081</v>
      </c>
      <c r="C3083">
        <v>258</v>
      </c>
      <c r="D3083">
        <v>58</v>
      </c>
      <c r="E3083">
        <v>34</v>
      </c>
      <c r="F3083">
        <v>0</v>
      </c>
      <c r="G3083" t="s">
        <v>18</v>
      </c>
      <c r="H3083" t="s">
        <v>52</v>
      </c>
      <c r="I3083" t="s">
        <v>2130</v>
      </c>
      <c r="J3083" t="s">
        <v>55</v>
      </c>
      <c r="K3083" t="s">
        <v>1736</v>
      </c>
      <c r="M3083" t="s">
        <v>7</v>
      </c>
    </row>
    <row r="3084" spans="2:13" hidden="1">
      <c r="B3084">
        <v>3082</v>
      </c>
      <c r="C3084">
        <v>258</v>
      </c>
      <c r="D3084">
        <v>58</v>
      </c>
      <c r="E3084">
        <v>35</v>
      </c>
      <c r="F3084">
        <v>0</v>
      </c>
      <c r="G3084" t="s">
        <v>18</v>
      </c>
      <c r="H3084" t="s">
        <v>52</v>
      </c>
      <c r="I3084" t="s">
        <v>2130</v>
      </c>
      <c r="J3084" t="s">
        <v>55</v>
      </c>
      <c r="K3084" t="s">
        <v>1737</v>
      </c>
      <c r="M3084" t="s">
        <v>7</v>
      </c>
    </row>
    <row r="3085" spans="2:13" hidden="1">
      <c r="B3085">
        <v>3083</v>
      </c>
      <c r="C3085">
        <v>258</v>
      </c>
      <c r="D3085">
        <v>58</v>
      </c>
      <c r="E3085">
        <v>36</v>
      </c>
      <c r="F3085">
        <v>0</v>
      </c>
      <c r="G3085" t="s">
        <v>18</v>
      </c>
      <c r="H3085" t="s">
        <v>52</v>
      </c>
      <c r="I3085" t="s">
        <v>2130</v>
      </c>
      <c r="J3085" t="s">
        <v>55</v>
      </c>
      <c r="K3085" t="s">
        <v>1738</v>
      </c>
      <c r="M3085" t="s">
        <v>7</v>
      </c>
    </row>
    <row r="3086" spans="2:13" hidden="1">
      <c r="B3086">
        <v>3084</v>
      </c>
      <c r="C3086">
        <v>258</v>
      </c>
      <c r="D3086">
        <v>58</v>
      </c>
      <c r="E3086">
        <v>37</v>
      </c>
      <c r="F3086">
        <v>0</v>
      </c>
      <c r="G3086" t="s">
        <v>18</v>
      </c>
      <c r="H3086" t="s">
        <v>52</v>
      </c>
      <c r="I3086" t="s">
        <v>2130</v>
      </c>
      <c r="J3086" t="s">
        <v>479</v>
      </c>
      <c r="K3086" t="s">
        <v>1739</v>
      </c>
      <c r="M3086" t="s">
        <v>7</v>
      </c>
    </row>
    <row r="3087" spans="2:13" hidden="1">
      <c r="B3087">
        <v>3085</v>
      </c>
      <c r="C3087">
        <v>258</v>
      </c>
      <c r="D3087">
        <v>58</v>
      </c>
      <c r="E3087">
        <v>38</v>
      </c>
      <c r="F3087">
        <v>0</v>
      </c>
      <c r="G3087" t="s">
        <v>18</v>
      </c>
      <c r="H3087" t="s">
        <v>52</v>
      </c>
      <c r="I3087" t="s">
        <v>2130</v>
      </c>
      <c r="J3087" t="s">
        <v>55</v>
      </c>
      <c r="K3087" t="s">
        <v>1740</v>
      </c>
      <c r="M3087" t="s">
        <v>7</v>
      </c>
    </row>
    <row r="3088" spans="2:13" hidden="1">
      <c r="B3088">
        <v>3086</v>
      </c>
      <c r="C3088">
        <v>258</v>
      </c>
      <c r="D3088">
        <v>58</v>
      </c>
      <c r="E3088">
        <v>39</v>
      </c>
      <c r="F3088">
        <v>0</v>
      </c>
      <c r="G3088" t="s">
        <v>18</v>
      </c>
      <c r="H3088" t="s">
        <v>52</v>
      </c>
      <c r="I3088" t="s">
        <v>2130</v>
      </c>
      <c r="J3088" t="s">
        <v>214</v>
      </c>
      <c r="K3088" t="s">
        <v>1741</v>
      </c>
      <c r="M3088" t="s">
        <v>7</v>
      </c>
    </row>
    <row r="3089" spans="2:13" hidden="1">
      <c r="B3089">
        <v>3087</v>
      </c>
      <c r="C3089">
        <v>258</v>
      </c>
      <c r="D3089">
        <v>58</v>
      </c>
      <c r="E3089">
        <v>40</v>
      </c>
      <c r="F3089">
        <v>0</v>
      </c>
      <c r="G3089" t="s">
        <v>18</v>
      </c>
      <c r="H3089" t="s">
        <v>52</v>
      </c>
      <c r="I3089" t="s">
        <v>2130</v>
      </c>
      <c r="J3089" t="s">
        <v>214</v>
      </c>
      <c r="K3089" t="s">
        <v>1618</v>
      </c>
      <c r="M3089" t="s">
        <v>7</v>
      </c>
    </row>
    <row r="3090" spans="2:13" hidden="1">
      <c r="B3090">
        <v>3088</v>
      </c>
      <c r="C3090">
        <v>258</v>
      </c>
      <c r="D3090">
        <v>58</v>
      </c>
      <c r="E3090">
        <v>41</v>
      </c>
      <c r="F3090">
        <v>0</v>
      </c>
      <c r="G3090" t="s">
        <v>18</v>
      </c>
      <c r="H3090" t="s">
        <v>52</v>
      </c>
      <c r="I3090" t="s">
        <v>2130</v>
      </c>
      <c r="J3090" t="s">
        <v>214</v>
      </c>
      <c r="K3090" t="s">
        <v>1619</v>
      </c>
      <c r="M3090" t="s">
        <v>7</v>
      </c>
    </row>
    <row r="3091" spans="2:13" hidden="1">
      <c r="B3091">
        <v>3089</v>
      </c>
      <c r="C3091">
        <v>258</v>
      </c>
      <c r="D3091">
        <v>58</v>
      </c>
      <c r="E3091">
        <v>42</v>
      </c>
      <c r="F3091">
        <v>0</v>
      </c>
      <c r="G3091" t="s">
        <v>18</v>
      </c>
      <c r="H3091" t="s">
        <v>52</v>
      </c>
      <c r="I3091" t="s">
        <v>2130</v>
      </c>
      <c r="J3091" t="s">
        <v>214</v>
      </c>
      <c r="K3091" t="s">
        <v>1620</v>
      </c>
      <c r="M3091" t="s">
        <v>7</v>
      </c>
    </row>
    <row r="3092" spans="2:13" hidden="1">
      <c r="B3092">
        <v>3090</v>
      </c>
      <c r="C3092">
        <v>258</v>
      </c>
      <c r="D3092">
        <v>58</v>
      </c>
      <c r="E3092">
        <v>43</v>
      </c>
      <c r="F3092">
        <v>0</v>
      </c>
      <c r="G3092" t="s">
        <v>18</v>
      </c>
      <c r="H3092" t="s">
        <v>52</v>
      </c>
      <c r="I3092" t="s">
        <v>2130</v>
      </c>
      <c r="J3092" t="s">
        <v>437</v>
      </c>
      <c r="K3092" t="s">
        <v>1621</v>
      </c>
      <c r="M3092" t="s">
        <v>7</v>
      </c>
    </row>
    <row r="3093" spans="2:13" hidden="1">
      <c r="B3093">
        <v>3091</v>
      </c>
      <c r="C3093">
        <v>258</v>
      </c>
      <c r="D3093">
        <v>58</v>
      </c>
      <c r="E3093">
        <v>44</v>
      </c>
      <c r="F3093">
        <v>0</v>
      </c>
      <c r="G3093" t="s">
        <v>18</v>
      </c>
      <c r="H3093" t="s">
        <v>52</v>
      </c>
      <c r="I3093" t="s">
        <v>2130</v>
      </c>
      <c r="J3093" t="s">
        <v>55</v>
      </c>
      <c r="K3093" t="s">
        <v>1581</v>
      </c>
      <c r="M3093" t="s">
        <v>7</v>
      </c>
    </row>
    <row r="3094" spans="2:13" hidden="1">
      <c r="B3094">
        <v>3092</v>
      </c>
      <c r="C3094">
        <v>258</v>
      </c>
      <c r="D3094">
        <v>58</v>
      </c>
      <c r="E3094">
        <v>45</v>
      </c>
      <c r="F3094">
        <v>0</v>
      </c>
      <c r="G3094" t="s">
        <v>18</v>
      </c>
      <c r="H3094" t="s">
        <v>52</v>
      </c>
      <c r="I3094" t="s">
        <v>2130</v>
      </c>
      <c r="J3094" t="s">
        <v>55</v>
      </c>
      <c r="K3094" t="s">
        <v>1582</v>
      </c>
      <c r="M3094" t="s">
        <v>7</v>
      </c>
    </row>
    <row r="3095" spans="2:13" hidden="1">
      <c r="B3095">
        <v>3093</v>
      </c>
      <c r="C3095">
        <v>258</v>
      </c>
      <c r="D3095">
        <v>58</v>
      </c>
      <c r="E3095">
        <v>46</v>
      </c>
      <c r="F3095">
        <v>0</v>
      </c>
      <c r="G3095" t="s">
        <v>18</v>
      </c>
      <c r="H3095" t="s">
        <v>52</v>
      </c>
      <c r="I3095" t="s">
        <v>2130</v>
      </c>
      <c r="J3095" t="s">
        <v>479</v>
      </c>
      <c r="K3095" t="s">
        <v>1744</v>
      </c>
      <c r="M3095" t="s">
        <v>7</v>
      </c>
    </row>
    <row r="3096" spans="2:13" hidden="1">
      <c r="B3096">
        <v>3094</v>
      </c>
      <c r="C3096">
        <v>258</v>
      </c>
      <c r="D3096">
        <v>58</v>
      </c>
      <c r="E3096">
        <v>47</v>
      </c>
      <c r="F3096">
        <v>0</v>
      </c>
      <c r="G3096" t="s">
        <v>18</v>
      </c>
      <c r="H3096" t="s">
        <v>52</v>
      </c>
      <c r="I3096" t="s">
        <v>2130</v>
      </c>
      <c r="J3096" t="s">
        <v>55</v>
      </c>
      <c r="K3096" t="s">
        <v>1745</v>
      </c>
      <c r="M3096" t="s">
        <v>7</v>
      </c>
    </row>
    <row r="3097" spans="2:13" hidden="1">
      <c r="B3097">
        <v>3095</v>
      </c>
      <c r="C3097">
        <v>258</v>
      </c>
      <c r="D3097">
        <v>58</v>
      </c>
      <c r="E3097">
        <v>48</v>
      </c>
      <c r="F3097">
        <v>0</v>
      </c>
      <c r="G3097" t="s">
        <v>18</v>
      </c>
      <c r="H3097" t="s">
        <v>52</v>
      </c>
      <c r="I3097" t="s">
        <v>2130</v>
      </c>
      <c r="J3097" t="s">
        <v>55</v>
      </c>
      <c r="K3097" t="s">
        <v>1746</v>
      </c>
      <c r="M3097" t="s">
        <v>7</v>
      </c>
    </row>
    <row r="3098" spans="2:13" hidden="1">
      <c r="B3098">
        <v>3096</v>
      </c>
      <c r="C3098">
        <v>258</v>
      </c>
      <c r="D3098">
        <v>58</v>
      </c>
      <c r="E3098">
        <v>49</v>
      </c>
      <c r="F3098">
        <v>0</v>
      </c>
      <c r="G3098" t="s">
        <v>18</v>
      </c>
      <c r="H3098" t="s">
        <v>52</v>
      </c>
      <c r="I3098" t="s">
        <v>2130</v>
      </c>
      <c r="J3098" t="s">
        <v>437</v>
      </c>
      <c r="K3098" t="s">
        <v>1747</v>
      </c>
      <c r="M3098" t="s">
        <v>7</v>
      </c>
    </row>
    <row r="3099" spans="2:13" hidden="1">
      <c r="B3099">
        <v>3097</v>
      </c>
      <c r="C3099">
        <v>258</v>
      </c>
      <c r="D3099">
        <v>58</v>
      </c>
      <c r="E3099">
        <v>50</v>
      </c>
      <c r="F3099">
        <v>0</v>
      </c>
      <c r="G3099" t="s">
        <v>18</v>
      </c>
      <c r="H3099" t="s">
        <v>52</v>
      </c>
      <c r="I3099" t="s">
        <v>2130</v>
      </c>
      <c r="J3099" t="s">
        <v>55</v>
      </c>
      <c r="K3099" t="s">
        <v>1748</v>
      </c>
      <c r="M3099" t="s">
        <v>7</v>
      </c>
    </row>
    <row r="3100" spans="2:13" hidden="1">
      <c r="B3100">
        <v>3098</v>
      </c>
      <c r="C3100">
        <v>258</v>
      </c>
      <c r="D3100">
        <v>58</v>
      </c>
      <c r="E3100">
        <v>51</v>
      </c>
      <c r="F3100">
        <v>0</v>
      </c>
      <c r="G3100" t="s">
        <v>18</v>
      </c>
      <c r="H3100" t="s">
        <v>52</v>
      </c>
      <c r="I3100" t="s">
        <v>2130</v>
      </c>
      <c r="J3100" t="s">
        <v>55</v>
      </c>
      <c r="K3100" t="s">
        <v>1749</v>
      </c>
      <c r="M3100" t="s">
        <v>7</v>
      </c>
    </row>
    <row r="3101" spans="2:13" hidden="1">
      <c r="B3101">
        <v>3099</v>
      </c>
      <c r="C3101">
        <v>258</v>
      </c>
      <c r="D3101">
        <v>58</v>
      </c>
      <c r="E3101">
        <v>52</v>
      </c>
      <c r="F3101">
        <v>0</v>
      </c>
      <c r="G3101" t="s">
        <v>18</v>
      </c>
      <c r="H3101" t="s">
        <v>52</v>
      </c>
      <c r="I3101" t="s">
        <v>2130</v>
      </c>
      <c r="J3101" t="s">
        <v>55</v>
      </c>
      <c r="K3101" t="s">
        <v>1750</v>
      </c>
      <c r="M3101" t="s">
        <v>7</v>
      </c>
    </row>
    <row r="3102" spans="2:13" hidden="1">
      <c r="B3102">
        <v>3100</v>
      </c>
      <c r="C3102">
        <v>258</v>
      </c>
      <c r="D3102">
        <v>58</v>
      </c>
      <c r="E3102">
        <v>53</v>
      </c>
      <c r="F3102">
        <v>0</v>
      </c>
      <c r="G3102" t="s">
        <v>18</v>
      </c>
      <c r="H3102" t="s">
        <v>52</v>
      </c>
      <c r="I3102" t="s">
        <v>2130</v>
      </c>
      <c r="J3102" t="s">
        <v>479</v>
      </c>
      <c r="K3102" t="s">
        <v>1751</v>
      </c>
      <c r="M3102" t="s">
        <v>7</v>
      </c>
    </row>
    <row r="3103" spans="2:13" hidden="1">
      <c r="B3103">
        <v>3101</v>
      </c>
      <c r="C3103">
        <v>258</v>
      </c>
      <c r="D3103">
        <v>58</v>
      </c>
      <c r="E3103">
        <v>54</v>
      </c>
      <c r="F3103">
        <v>0</v>
      </c>
      <c r="G3103" t="s">
        <v>18</v>
      </c>
      <c r="H3103" t="s">
        <v>52</v>
      </c>
      <c r="I3103" t="s">
        <v>2130</v>
      </c>
      <c r="J3103" t="s">
        <v>55</v>
      </c>
      <c r="K3103" t="s">
        <v>1752</v>
      </c>
      <c r="M3103" t="s">
        <v>7</v>
      </c>
    </row>
    <row r="3104" spans="2:13" hidden="1">
      <c r="B3104">
        <v>3102</v>
      </c>
      <c r="C3104">
        <v>258</v>
      </c>
      <c r="D3104">
        <v>58</v>
      </c>
      <c r="E3104">
        <v>55</v>
      </c>
      <c r="F3104">
        <v>0</v>
      </c>
      <c r="G3104" t="s">
        <v>18</v>
      </c>
      <c r="H3104" t="s">
        <v>52</v>
      </c>
      <c r="I3104" t="s">
        <v>2130</v>
      </c>
      <c r="J3104" t="s">
        <v>64</v>
      </c>
      <c r="K3104" t="s">
        <v>1753</v>
      </c>
      <c r="M3104" t="s">
        <v>7</v>
      </c>
    </row>
    <row r="3105" spans="2:13" hidden="1">
      <c r="B3105">
        <v>3103</v>
      </c>
      <c r="C3105">
        <v>258</v>
      </c>
      <c r="D3105">
        <v>58</v>
      </c>
      <c r="E3105">
        <v>56</v>
      </c>
      <c r="F3105">
        <v>0</v>
      </c>
      <c r="G3105" t="s">
        <v>18</v>
      </c>
      <c r="H3105" t="s">
        <v>52</v>
      </c>
      <c r="I3105" t="s">
        <v>2130</v>
      </c>
      <c r="J3105" t="s">
        <v>55</v>
      </c>
      <c r="K3105" t="s">
        <v>1754</v>
      </c>
      <c r="M3105" t="s">
        <v>7</v>
      </c>
    </row>
    <row r="3106" spans="2:13" hidden="1">
      <c r="B3106">
        <v>3104</v>
      </c>
      <c r="C3106">
        <v>258</v>
      </c>
      <c r="D3106">
        <v>58</v>
      </c>
      <c r="E3106">
        <v>57</v>
      </c>
      <c r="F3106">
        <v>0</v>
      </c>
      <c r="G3106" t="s">
        <v>18</v>
      </c>
      <c r="H3106" t="s">
        <v>52</v>
      </c>
      <c r="I3106" t="s">
        <v>2130</v>
      </c>
      <c r="J3106" t="s">
        <v>55</v>
      </c>
      <c r="K3106" t="s">
        <v>93</v>
      </c>
      <c r="M3106" t="s">
        <v>7</v>
      </c>
    </row>
    <row r="3107" spans="2:13" hidden="1">
      <c r="B3107">
        <v>3105</v>
      </c>
      <c r="C3107">
        <v>258</v>
      </c>
      <c r="D3107">
        <v>58</v>
      </c>
      <c r="E3107">
        <v>58</v>
      </c>
      <c r="F3107">
        <v>0</v>
      </c>
      <c r="G3107" t="s">
        <v>18</v>
      </c>
      <c r="H3107" t="s">
        <v>52</v>
      </c>
      <c r="I3107" t="s">
        <v>2130</v>
      </c>
      <c r="J3107" t="s">
        <v>64</v>
      </c>
      <c r="K3107" t="s">
        <v>94</v>
      </c>
      <c r="M3107" t="s">
        <v>7</v>
      </c>
    </row>
    <row r="3108" spans="2:13" hidden="1">
      <c r="B3108">
        <v>3106</v>
      </c>
      <c r="C3108">
        <v>259</v>
      </c>
      <c r="D3108">
        <v>12</v>
      </c>
      <c r="E3108">
        <v>0</v>
      </c>
      <c r="F3108">
        <v>0</v>
      </c>
      <c r="G3108" t="s">
        <v>18</v>
      </c>
      <c r="H3108" t="s">
        <v>52</v>
      </c>
      <c r="I3108" t="s">
        <v>2133</v>
      </c>
      <c r="J3108" t="s">
        <v>478</v>
      </c>
      <c r="K3108" t="s">
        <v>2133</v>
      </c>
      <c r="M3108" t="s">
        <v>6</v>
      </c>
    </row>
    <row r="3109" spans="2:13" hidden="1">
      <c r="B3109">
        <v>3107</v>
      </c>
      <c r="C3109">
        <v>259</v>
      </c>
      <c r="D3109">
        <v>12</v>
      </c>
      <c r="E3109">
        <v>1</v>
      </c>
      <c r="F3109">
        <v>0</v>
      </c>
      <c r="G3109" t="s">
        <v>18</v>
      </c>
      <c r="H3109" t="s">
        <v>52</v>
      </c>
      <c r="I3109" t="s">
        <v>2133</v>
      </c>
      <c r="J3109" t="s">
        <v>55</v>
      </c>
      <c r="K3109" t="s">
        <v>2134</v>
      </c>
      <c r="M3109" t="s">
        <v>6</v>
      </c>
    </row>
    <row r="3110" spans="2:13" hidden="1">
      <c r="B3110">
        <v>3108</v>
      </c>
      <c r="C3110">
        <v>259</v>
      </c>
      <c r="D3110">
        <v>12</v>
      </c>
      <c r="E3110">
        <v>2</v>
      </c>
      <c r="F3110">
        <v>0</v>
      </c>
      <c r="G3110" t="s">
        <v>18</v>
      </c>
      <c r="H3110" t="s">
        <v>52</v>
      </c>
      <c r="I3110" t="s">
        <v>2133</v>
      </c>
      <c r="J3110" t="s">
        <v>55</v>
      </c>
      <c r="K3110" t="s">
        <v>2135</v>
      </c>
      <c r="M3110" t="s">
        <v>6</v>
      </c>
    </row>
    <row r="3111" spans="2:13" hidden="1">
      <c r="B3111">
        <v>3109</v>
      </c>
      <c r="C3111">
        <v>259</v>
      </c>
      <c r="D3111">
        <v>12</v>
      </c>
      <c r="E3111">
        <v>3</v>
      </c>
      <c r="F3111">
        <v>0</v>
      </c>
      <c r="G3111" t="s">
        <v>18</v>
      </c>
      <c r="H3111" t="s">
        <v>52</v>
      </c>
      <c r="I3111" t="s">
        <v>2133</v>
      </c>
      <c r="J3111" t="s">
        <v>55</v>
      </c>
      <c r="K3111" t="s">
        <v>2136</v>
      </c>
      <c r="M3111" t="s">
        <v>6</v>
      </c>
    </row>
    <row r="3112" spans="2:13" hidden="1">
      <c r="B3112">
        <v>3110</v>
      </c>
      <c r="C3112">
        <v>259</v>
      </c>
      <c r="D3112">
        <v>12</v>
      </c>
      <c r="E3112">
        <v>4</v>
      </c>
      <c r="F3112">
        <v>0</v>
      </c>
      <c r="G3112" t="s">
        <v>18</v>
      </c>
      <c r="H3112" t="s">
        <v>52</v>
      </c>
      <c r="I3112" t="s">
        <v>2133</v>
      </c>
      <c r="J3112" t="s">
        <v>55</v>
      </c>
      <c r="K3112" t="s">
        <v>2137</v>
      </c>
      <c r="M3112" t="s">
        <v>6</v>
      </c>
    </row>
    <row r="3113" spans="2:13" hidden="1">
      <c r="B3113">
        <v>3111</v>
      </c>
      <c r="C3113">
        <v>259</v>
      </c>
      <c r="D3113">
        <v>12</v>
      </c>
      <c r="E3113">
        <v>5</v>
      </c>
      <c r="F3113">
        <v>0</v>
      </c>
      <c r="G3113" t="s">
        <v>18</v>
      </c>
      <c r="H3113" t="s">
        <v>52</v>
      </c>
      <c r="I3113" t="s">
        <v>2133</v>
      </c>
      <c r="J3113" t="s">
        <v>55</v>
      </c>
      <c r="K3113" t="s">
        <v>2138</v>
      </c>
      <c r="M3113" t="s">
        <v>6</v>
      </c>
    </row>
    <row r="3114" spans="2:13" hidden="1">
      <c r="B3114">
        <v>3112</v>
      </c>
      <c r="C3114">
        <v>259</v>
      </c>
      <c r="D3114">
        <v>12</v>
      </c>
      <c r="E3114">
        <v>6</v>
      </c>
      <c r="F3114">
        <v>0</v>
      </c>
      <c r="G3114" t="s">
        <v>18</v>
      </c>
      <c r="H3114" t="s">
        <v>52</v>
      </c>
      <c r="I3114" t="s">
        <v>2133</v>
      </c>
      <c r="J3114" t="s">
        <v>55</v>
      </c>
      <c r="K3114" t="s">
        <v>2139</v>
      </c>
      <c r="M3114" t="s">
        <v>6</v>
      </c>
    </row>
    <row r="3115" spans="2:13" hidden="1">
      <c r="B3115">
        <v>3113</v>
      </c>
      <c r="C3115">
        <v>259</v>
      </c>
      <c r="D3115">
        <v>12</v>
      </c>
      <c r="E3115">
        <v>7</v>
      </c>
      <c r="F3115">
        <v>0</v>
      </c>
      <c r="G3115" t="s">
        <v>18</v>
      </c>
      <c r="H3115" t="s">
        <v>52</v>
      </c>
      <c r="I3115" t="s">
        <v>2133</v>
      </c>
      <c r="J3115" t="s">
        <v>55</v>
      </c>
      <c r="K3115" t="s">
        <v>2140</v>
      </c>
      <c r="M3115" t="s">
        <v>6</v>
      </c>
    </row>
    <row r="3116" spans="2:13" hidden="1">
      <c r="B3116">
        <v>3114</v>
      </c>
      <c r="C3116">
        <v>259</v>
      </c>
      <c r="D3116">
        <v>12</v>
      </c>
      <c r="E3116">
        <v>8</v>
      </c>
      <c r="F3116">
        <v>0</v>
      </c>
      <c r="G3116" t="s">
        <v>18</v>
      </c>
      <c r="H3116" t="s">
        <v>52</v>
      </c>
      <c r="I3116" t="s">
        <v>2133</v>
      </c>
      <c r="J3116" t="s">
        <v>55</v>
      </c>
      <c r="K3116" t="s">
        <v>2141</v>
      </c>
      <c r="M3116" t="s">
        <v>6</v>
      </c>
    </row>
    <row r="3117" spans="2:13" hidden="1">
      <c r="B3117">
        <v>3115</v>
      </c>
      <c r="C3117">
        <v>259</v>
      </c>
      <c r="D3117">
        <v>12</v>
      </c>
      <c r="E3117">
        <v>9</v>
      </c>
      <c r="F3117">
        <v>0</v>
      </c>
      <c r="G3117" t="s">
        <v>18</v>
      </c>
      <c r="H3117" t="s">
        <v>52</v>
      </c>
      <c r="I3117" t="s">
        <v>2133</v>
      </c>
      <c r="J3117" t="s">
        <v>55</v>
      </c>
      <c r="K3117" t="s">
        <v>2142</v>
      </c>
      <c r="M3117" t="s">
        <v>6</v>
      </c>
    </row>
    <row r="3118" spans="2:13" hidden="1">
      <c r="B3118">
        <v>3116</v>
      </c>
      <c r="C3118">
        <v>259</v>
      </c>
      <c r="D3118">
        <v>12</v>
      </c>
      <c r="E3118">
        <v>10</v>
      </c>
      <c r="F3118">
        <v>0</v>
      </c>
      <c r="G3118" t="s">
        <v>18</v>
      </c>
      <c r="H3118" t="s">
        <v>52</v>
      </c>
      <c r="I3118" t="s">
        <v>2133</v>
      </c>
      <c r="J3118" t="s">
        <v>55</v>
      </c>
      <c r="K3118" t="s">
        <v>2143</v>
      </c>
      <c r="M3118" t="s">
        <v>6</v>
      </c>
    </row>
    <row r="3119" spans="2:13" hidden="1">
      <c r="B3119">
        <v>3117</v>
      </c>
      <c r="C3119">
        <v>259</v>
      </c>
      <c r="D3119">
        <v>12</v>
      </c>
      <c r="E3119">
        <v>11</v>
      </c>
      <c r="F3119">
        <v>0</v>
      </c>
      <c r="G3119" t="s">
        <v>18</v>
      </c>
      <c r="H3119" t="s">
        <v>52</v>
      </c>
      <c r="I3119" t="s">
        <v>2133</v>
      </c>
      <c r="J3119" t="s">
        <v>55</v>
      </c>
      <c r="K3119" t="s">
        <v>2144</v>
      </c>
      <c r="M3119" t="s">
        <v>6</v>
      </c>
    </row>
    <row r="3120" spans="2:13" hidden="1">
      <c r="B3120">
        <v>3118</v>
      </c>
      <c r="C3120">
        <v>259</v>
      </c>
      <c r="D3120">
        <v>12</v>
      </c>
      <c r="E3120">
        <v>12</v>
      </c>
      <c r="F3120">
        <v>0</v>
      </c>
      <c r="G3120" t="s">
        <v>18</v>
      </c>
      <c r="H3120" t="s">
        <v>52</v>
      </c>
      <c r="I3120" t="s">
        <v>2133</v>
      </c>
      <c r="J3120" t="s">
        <v>64</v>
      </c>
      <c r="K3120" t="s">
        <v>2145</v>
      </c>
      <c r="M3120" t="s">
        <v>6</v>
      </c>
    </row>
    <row r="3121" spans="2:13" hidden="1">
      <c r="B3121">
        <v>3119</v>
      </c>
      <c r="C3121">
        <v>260</v>
      </c>
      <c r="D3121">
        <v>16</v>
      </c>
      <c r="E3121">
        <v>0</v>
      </c>
      <c r="F3121">
        <v>0</v>
      </c>
      <c r="G3121" t="s">
        <v>18</v>
      </c>
      <c r="H3121" t="s">
        <v>52</v>
      </c>
      <c r="I3121" t="s">
        <v>2146</v>
      </c>
      <c r="J3121" t="s">
        <v>478</v>
      </c>
      <c r="K3121" t="s">
        <v>2146</v>
      </c>
      <c r="M3121" t="s">
        <v>6</v>
      </c>
    </row>
    <row r="3122" spans="2:13" hidden="1">
      <c r="B3122">
        <v>3120</v>
      </c>
      <c r="C3122">
        <v>260</v>
      </c>
      <c r="D3122">
        <v>16</v>
      </c>
      <c r="E3122">
        <v>1</v>
      </c>
      <c r="F3122">
        <v>0</v>
      </c>
      <c r="G3122" t="s">
        <v>18</v>
      </c>
      <c r="H3122" t="s">
        <v>52</v>
      </c>
      <c r="I3122" t="s">
        <v>2146</v>
      </c>
      <c r="J3122" t="s">
        <v>55</v>
      </c>
      <c r="K3122" t="s">
        <v>429</v>
      </c>
      <c r="M3122" t="s">
        <v>6</v>
      </c>
    </row>
    <row r="3123" spans="2:13" hidden="1">
      <c r="B3123">
        <v>3121</v>
      </c>
      <c r="C3123">
        <v>260</v>
      </c>
      <c r="D3123">
        <v>16</v>
      </c>
      <c r="E3123">
        <v>2</v>
      </c>
      <c r="F3123">
        <v>0</v>
      </c>
      <c r="G3123" t="s">
        <v>18</v>
      </c>
      <c r="H3123" t="s">
        <v>52</v>
      </c>
      <c r="I3123" t="s">
        <v>2146</v>
      </c>
      <c r="J3123" t="s">
        <v>55</v>
      </c>
      <c r="K3123" t="s">
        <v>430</v>
      </c>
      <c r="M3123" t="s">
        <v>6</v>
      </c>
    </row>
    <row r="3124" spans="2:13" hidden="1">
      <c r="B3124">
        <v>3122</v>
      </c>
      <c r="C3124">
        <v>260</v>
      </c>
      <c r="D3124">
        <v>16</v>
      </c>
      <c r="E3124">
        <v>3</v>
      </c>
      <c r="F3124">
        <v>0</v>
      </c>
      <c r="G3124" t="s">
        <v>18</v>
      </c>
      <c r="H3124" t="s">
        <v>52</v>
      </c>
      <c r="I3124" t="s">
        <v>2146</v>
      </c>
      <c r="J3124" t="s">
        <v>55</v>
      </c>
      <c r="K3124" t="s">
        <v>2147</v>
      </c>
      <c r="M3124" t="s">
        <v>6</v>
      </c>
    </row>
    <row r="3125" spans="2:13" hidden="1">
      <c r="B3125">
        <v>3123</v>
      </c>
      <c r="C3125">
        <v>260</v>
      </c>
      <c r="D3125">
        <v>16</v>
      </c>
      <c r="E3125">
        <v>4</v>
      </c>
      <c r="F3125">
        <v>0</v>
      </c>
      <c r="G3125" t="s">
        <v>18</v>
      </c>
      <c r="H3125" t="s">
        <v>52</v>
      </c>
      <c r="I3125" t="s">
        <v>2146</v>
      </c>
      <c r="J3125" t="s">
        <v>55</v>
      </c>
      <c r="K3125" t="s">
        <v>2148</v>
      </c>
      <c r="M3125" t="s">
        <v>6</v>
      </c>
    </row>
    <row r="3126" spans="2:13" hidden="1">
      <c r="B3126">
        <v>3124</v>
      </c>
      <c r="C3126">
        <v>260</v>
      </c>
      <c r="D3126">
        <v>16</v>
      </c>
      <c r="E3126">
        <v>5</v>
      </c>
      <c r="F3126">
        <v>0</v>
      </c>
      <c r="G3126" t="s">
        <v>18</v>
      </c>
      <c r="H3126" t="s">
        <v>52</v>
      </c>
      <c r="I3126" t="s">
        <v>2146</v>
      </c>
      <c r="J3126" t="s">
        <v>55</v>
      </c>
      <c r="K3126" t="s">
        <v>2149</v>
      </c>
      <c r="M3126" t="s">
        <v>6</v>
      </c>
    </row>
    <row r="3127" spans="2:13" hidden="1">
      <c r="B3127">
        <v>3125</v>
      </c>
      <c r="C3127">
        <v>260</v>
      </c>
      <c r="D3127">
        <v>16</v>
      </c>
      <c r="E3127">
        <v>6</v>
      </c>
      <c r="F3127">
        <v>0</v>
      </c>
      <c r="G3127" t="s">
        <v>18</v>
      </c>
      <c r="H3127" t="s">
        <v>52</v>
      </c>
      <c r="I3127" t="s">
        <v>2146</v>
      </c>
      <c r="J3127" t="s">
        <v>55</v>
      </c>
      <c r="K3127" t="s">
        <v>2150</v>
      </c>
      <c r="M3127" t="s">
        <v>6</v>
      </c>
    </row>
    <row r="3128" spans="2:13" hidden="1">
      <c r="B3128">
        <v>3126</v>
      </c>
      <c r="C3128">
        <v>260</v>
      </c>
      <c r="D3128">
        <v>16</v>
      </c>
      <c r="E3128">
        <v>7</v>
      </c>
      <c r="F3128">
        <v>0</v>
      </c>
      <c r="G3128" t="s">
        <v>18</v>
      </c>
      <c r="H3128" t="s">
        <v>52</v>
      </c>
      <c r="I3128" t="s">
        <v>2146</v>
      </c>
      <c r="J3128" t="s">
        <v>55</v>
      </c>
      <c r="K3128" t="s">
        <v>2136</v>
      </c>
      <c r="M3128" t="s">
        <v>6</v>
      </c>
    </row>
    <row r="3129" spans="2:13" hidden="1">
      <c r="B3129">
        <v>3127</v>
      </c>
      <c r="C3129">
        <v>260</v>
      </c>
      <c r="D3129">
        <v>16</v>
      </c>
      <c r="E3129">
        <v>8</v>
      </c>
      <c r="F3129">
        <v>0</v>
      </c>
      <c r="G3129" t="s">
        <v>18</v>
      </c>
      <c r="H3129" t="s">
        <v>52</v>
      </c>
      <c r="I3129" t="s">
        <v>2146</v>
      </c>
      <c r="J3129" t="s">
        <v>55</v>
      </c>
      <c r="K3129" t="s">
        <v>2151</v>
      </c>
      <c r="M3129" t="s">
        <v>6</v>
      </c>
    </row>
    <row r="3130" spans="2:13" hidden="1">
      <c r="B3130">
        <v>3128</v>
      </c>
      <c r="C3130">
        <v>260</v>
      </c>
      <c r="D3130">
        <v>16</v>
      </c>
      <c r="E3130">
        <v>9</v>
      </c>
      <c r="F3130">
        <v>0</v>
      </c>
      <c r="G3130" t="s">
        <v>18</v>
      </c>
      <c r="H3130" t="s">
        <v>52</v>
      </c>
      <c r="I3130" t="s">
        <v>2146</v>
      </c>
      <c r="J3130" t="s">
        <v>55</v>
      </c>
      <c r="K3130" t="s">
        <v>2152</v>
      </c>
      <c r="M3130" t="s">
        <v>6</v>
      </c>
    </row>
    <row r="3131" spans="2:13" hidden="1">
      <c r="B3131">
        <v>3129</v>
      </c>
      <c r="C3131">
        <v>260</v>
      </c>
      <c r="D3131">
        <v>16</v>
      </c>
      <c r="E3131">
        <v>10</v>
      </c>
      <c r="F3131">
        <v>0</v>
      </c>
      <c r="G3131" t="s">
        <v>18</v>
      </c>
      <c r="H3131" t="s">
        <v>52</v>
      </c>
      <c r="I3131" t="s">
        <v>2146</v>
      </c>
      <c r="J3131" t="s">
        <v>55</v>
      </c>
      <c r="K3131" t="s">
        <v>2142</v>
      </c>
      <c r="M3131" t="s">
        <v>6</v>
      </c>
    </row>
    <row r="3132" spans="2:13" hidden="1">
      <c r="B3132">
        <v>3130</v>
      </c>
      <c r="C3132">
        <v>260</v>
      </c>
      <c r="D3132">
        <v>16</v>
      </c>
      <c r="E3132">
        <v>11</v>
      </c>
      <c r="F3132">
        <v>0</v>
      </c>
      <c r="G3132" t="s">
        <v>18</v>
      </c>
      <c r="H3132" t="s">
        <v>52</v>
      </c>
      <c r="I3132" t="s">
        <v>2146</v>
      </c>
      <c r="J3132" t="s">
        <v>55</v>
      </c>
      <c r="K3132" t="s">
        <v>2143</v>
      </c>
      <c r="M3132" t="s">
        <v>6</v>
      </c>
    </row>
    <row r="3133" spans="2:13" hidden="1">
      <c r="B3133">
        <v>3131</v>
      </c>
      <c r="C3133">
        <v>260</v>
      </c>
      <c r="D3133">
        <v>16</v>
      </c>
      <c r="E3133">
        <v>12</v>
      </c>
      <c r="F3133">
        <v>0</v>
      </c>
      <c r="G3133" t="s">
        <v>18</v>
      </c>
      <c r="H3133" t="s">
        <v>52</v>
      </c>
      <c r="I3133" t="s">
        <v>2146</v>
      </c>
      <c r="J3133" t="s">
        <v>55</v>
      </c>
      <c r="K3133" s="71" t="s">
        <v>2144</v>
      </c>
      <c r="M3133" t="s">
        <v>6</v>
      </c>
    </row>
    <row r="3134" spans="2:13" hidden="1">
      <c r="B3134">
        <v>3132</v>
      </c>
      <c r="C3134">
        <v>260</v>
      </c>
      <c r="D3134">
        <v>16</v>
      </c>
      <c r="E3134">
        <v>13</v>
      </c>
      <c r="F3134">
        <v>0</v>
      </c>
      <c r="G3134" t="s">
        <v>18</v>
      </c>
      <c r="H3134" t="s">
        <v>52</v>
      </c>
      <c r="I3134" t="s">
        <v>2146</v>
      </c>
      <c r="J3134" t="s">
        <v>55</v>
      </c>
      <c r="K3134" t="s">
        <v>2153</v>
      </c>
      <c r="M3134" t="s">
        <v>6</v>
      </c>
    </row>
    <row r="3135" spans="2:13" hidden="1">
      <c r="B3135">
        <v>3133</v>
      </c>
      <c r="C3135">
        <v>260</v>
      </c>
      <c r="D3135">
        <v>16</v>
      </c>
      <c r="E3135">
        <v>14</v>
      </c>
      <c r="F3135">
        <v>0</v>
      </c>
      <c r="G3135" t="s">
        <v>18</v>
      </c>
      <c r="H3135" t="s">
        <v>52</v>
      </c>
      <c r="I3135" t="s">
        <v>2146</v>
      </c>
      <c r="J3135" t="s">
        <v>55</v>
      </c>
      <c r="K3135" t="s">
        <v>441</v>
      </c>
      <c r="M3135" t="s">
        <v>6</v>
      </c>
    </row>
    <row r="3136" spans="2:13" hidden="1">
      <c r="B3136">
        <v>3134</v>
      </c>
      <c r="C3136">
        <v>260</v>
      </c>
      <c r="D3136">
        <v>16</v>
      </c>
      <c r="E3136">
        <v>15</v>
      </c>
      <c r="F3136">
        <v>0</v>
      </c>
      <c r="G3136" t="s">
        <v>18</v>
      </c>
      <c r="H3136" t="s">
        <v>52</v>
      </c>
      <c r="I3136" t="s">
        <v>2146</v>
      </c>
      <c r="J3136" t="s">
        <v>437</v>
      </c>
      <c r="K3136" t="s">
        <v>438</v>
      </c>
      <c r="M3136" t="s">
        <v>6</v>
      </c>
    </row>
    <row r="3137" spans="2:13" hidden="1">
      <c r="B3137">
        <v>3135</v>
      </c>
      <c r="C3137">
        <v>260</v>
      </c>
      <c r="D3137">
        <v>16</v>
      </c>
      <c r="E3137">
        <v>16</v>
      </c>
      <c r="F3137">
        <v>0</v>
      </c>
      <c r="G3137" t="s">
        <v>18</v>
      </c>
      <c r="H3137" t="s">
        <v>52</v>
      </c>
      <c r="I3137" t="s">
        <v>2146</v>
      </c>
      <c r="J3137" t="s">
        <v>64</v>
      </c>
      <c r="K3137" t="s">
        <v>440</v>
      </c>
      <c r="M3137" t="s">
        <v>6</v>
      </c>
    </row>
    <row r="3138" spans="2:13" hidden="1">
      <c r="B3138">
        <v>3136</v>
      </c>
      <c r="C3138">
        <v>261</v>
      </c>
      <c r="D3138">
        <v>40</v>
      </c>
      <c r="E3138">
        <v>0</v>
      </c>
      <c r="F3138">
        <v>0</v>
      </c>
      <c r="G3138" t="s">
        <v>2023</v>
      </c>
      <c r="H3138" t="s">
        <v>52</v>
      </c>
      <c r="I3138" t="s">
        <v>2154</v>
      </c>
      <c r="J3138" t="s">
        <v>478</v>
      </c>
      <c r="K3138" t="s">
        <v>2154</v>
      </c>
      <c r="M3138" t="s">
        <v>6</v>
      </c>
    </row>
    <row r="3139" spans="2:13" hidden="1">
      <c r="B3139">
        <v>3137</v>
      </c>
      <c r="C3139">
        <v>261</v>
      </c>
      <c r="D3139">
        <v>40</v>
      </c>
      <c r="E3139">
        <v>1</v>
      </c>
      <c r="F3139">
        <v>0</v>
      </c>
      <c r="G3139" t="s">
        <v>2023</v>
      </c>
      <c r="H3139" t="s">
        <v>52</v>
      </c>
      <c r="I3139" t="s">
        <v>2154</v>
      </c>
      <c r="J3139" t="s">
        <v>479</v>
      </c>
      <c r="K3139" t="s">
        <v>2155</v>
      </c>
      <c r="M3139" t="s">
        <v>6</v>
      </c>
    </row>
    <row r="3140" spans="2:13" hidden="1">
      <c r="B3140">
        <v>3138</v>
      </c>
      <c r="C3140">
        <v>261</v>
      </c>
      <c r="D3140">
        <v>40</v>
      </c>
      <c r="E3140">
        <v>2</v>
      </c>
      <c r="F3140">
        <v>0</v>
      </c>
      <c r="G3140" t="s">
        <v>2023</v>
      </c>
      <c r="H3140" t="s">
        <v>52</v>
      </c>
      <c r="I3140" t="s">
        <v>2154</v>
      </c>
      <c r="J3140" t="s">
        <v>55</v>
      </c>
      <c r="K3140" t="s">
        <v>429</v>
      </c>
      <c r="M3140" t="s">
        <v>6</v>
      </c>
    </row>
    <row r="3141" spans="2:13" hidden="1">
      <c r="B3141">
        <v>3139</v>
      </c>
      <c r="C3141">
        <v>261</v>
      </c>
      <c r="D3141">
        <v>40</v>
      </c>
      <c r="E3141">
        <v>3</v>
      </c>
      <c r="F3141">
        <v>0</v>
      </c>
      <c r="G3141" t="s">
        <v>2023</v>
      </c>
      <c r="H3141" t="s">
        <v>52</v>
      </c>
      <c r="I3141" t="s">
        <v>2154</v>
      </c>
      <c r="J3141" t="s">
        <v>55</v>
      </c>
      <c r="K3141" t="s">
        <v>430</v>
      </c>
      <c r="M3141" t="s">
        <v>6</v>
      </c>
    </row>
    <row r="3142" spans="2:13" hidden="1">
      <c r="B3142">
        <v>3140</v>
      </c>
      <c r="C3142">
        <v>261</v>
      </c>
      <c r="D3142">
        <v>40</v>
      </c>
      <c r="E3142">
        <v>4</v>
      </c>
      <c r="F3142">
        <v>0</v>
      </c>
      <c r="G3142" t="s">
        <v>2023</v>
      </c>
      <c r="H3142" t="s">
        <v>52</v>
      </c>
      <c r="I3142" t="s">
        <v>2154</v>
      </c>
      <c r="J3142" t="s">
        <v>55</v>
      </c>
      <c r="K3142" t="s">
        <v>2025</v>
      </c>
      <c r="M3142" t="s">
        <v>6</v>
      </c>
    </row>
    <row r="3143" spans="2:13" hidden="1">
      <c r="B3143">
        <v>3141</v>
      </c>
      <c r="C3143">
        <v>261</v>
      </c>
      <c r="D3143">
        <v>40</v>
      </c>
      <c r="E3143">
        <v>5</v>
      </c>
      <c r="F3143">
        <v>0</v>
      </c>
      <c r="G3143" t="s">
        <v>2023</v>
      </c>
      <c r="H3143" t="s">
        <v>52</v>
      </c>
      <c r="I3143" t="s">
        <v>2154</v>
      </c>
      <c r="J3143" t="s">
        <v>55</v>
      </c>
      <c r="K3143" t="s">
        <v>2156</v>
      </c>
      <c r="M3143" t="s">
        <v>6</v>
      </c>
    </row>
    <row r="3144" spans="2:13" hidden="1">
      <c r="B3144">
        <v>3142</v>
      </c>
      <c r="C3144">
        <v>261</v>
      </c>
      <c r="D3144">
        <v>40</v>
      </c>
      <c r="E3144">
        <v>6</v>
      </c>
      <c r="F3144">
        <v>0</v>
      </c>
      <c r="G3144" t="s">
        <v>2023</v>
      </c>
      <c r="H3144" t="s">
        <v>52</v>
      </c>
      <c r="I3144" t="s">
        <v>2154</v>
      </c>
      <c r="J3144" t="s">
        <v>55</v>
      </c>
      <c r="K3144" t="s">
        <v>2157</v>
      </c>
      <c r="M3144" t="s">
        <v>6</v>
      </c>
    </row>
    <row r="3145" spans="2:13" hidden="1">
      <c r="B3145">
        <v>3143</v>
      </c>
      <c r="C3145">
        <v>261</v>
      </c>
      <c r="D3145">
        <v>40</v>
      </c>
      <c r="E3145">
        <v>7</v>
      </c>
      <c r="F3145">
        <v>0</v>
      </c>
      <c r="G3145" t="s">
        <v>2023</v>
      </c>
      <c r="H3145" t="s">
        <v>52</v>
      </c>
      <c r="I3145" t="s">
        <v>2154</v>
      </c>
      <c r="J3145" t="s">
        <v>55</v>
      </c>
      <c r="K3145" t="s">
        <v>2158</v>
      </c>
      <c r="M3145" t="s">
        <v>6</v>
      </c>
    </row>
    <row r="3146" spans="2:13" hidden="1">
      <c r="B3146">
        <v>3144</v>
      </c>
      <c r="C3146">
        <v>261</v>
      </c>
      <c r="D3146">
        <v>40</v>
      </c>
      <c r="E3146">
        <v>8</v>
      </c>
      <c r="F3146">
        <v>0</v>
      </c>
      <c r="G3146" t="s">
        <v>2023</v>
      </c>
      <c r="H3146" t="s">
        <v>52</v>
      </c>
      <c r="I3146" t="s">
        <v>2154</v>
      </c>
      <c r="J3146" t="s">
        <v>55</v>
      </c>
      <c r="K3146" t="s">
        <v>2159</v>
      </c>
      <c r="M3146" t="s">
        <v>6</v>
      </c>
    </row>
    <row r="3147" spans="2:13" hidden="1">
      <c r="B3147">
        <v>3145</v>
      </c>
      <c r="C3147">
        <v>261</v>
      </c>
      <c r="D3147">
        <v>40</v>
      </c>
      <c r="E3147">
        <v>9</v>
      </c>
      <c r="F3147">
        <v>0</v>
      </c>
      <c r="G3147" t="s">
        <v>2023</v>
      </c>
      <c r="H3147" t="s">
        <v>52</v>
      </c>
      <c r="I3147" t="s">
        <v>2154</v>
      </c>
      <c r="J3147" t="s">
        <v>55</v>
      </c>
      <c r="K3147" t="s">
        <v>2160</v>
      </c>
      <c r="M3147" t="s">
        <v>6</v>
      </c>
    </row>
    <row r="3148" spans="2:13" hidden="1">
      <c r="B3148">
        <v>3146</v>
      </c>
      <c r="C3148">
        <v>261</v>
      </c>
      <c r="D3148">
        <v>40</v>
      </c>
      <c r="E3148">
        <v>10</v>
      </c>
      <c r="F3148">
        <v>0</v>
      </c>
      <c r="G3148" t="s">
        <v>2023</v>
      </c>
      <c r="H3148" t="s">
        <v>52</v>
      </c>
      <c r="I3148" t="s">
        <v>2154</v>
      </c>
      <c r="J3148" t="s">
        <v>55</v>
      </c>
      <c r="K3148" t="s">
        <v>441</v>
      </c>
      <c r="M3148" t="s">
        <v>6</v>
      </c>
    </row>
    <row r="3149" spans="2:13" hidden="1">
      <c r="B3149">
        <v>3147</v>
      </c>
      <c r="C3149">
        <v>261</v>
      </c>
      <c r="D3149">
        <v>40</v>
      </c>
      <c r="E3149">
        <v>11</v>
      </c>
      <c r="F3149">
        <v>0</v>
      </c>
      <c r="G3149" t="s">
        <v>2023</v>
      </c>
      <c r="H3149" t="s">
        <v>52</v>
      </c>
      <c r="I3149" t="s">
        <v>2154</v>
      </c>
      <c r="J3149" t="s">
        <v>437</v>
      </c>
      <c r="K3149" t="s">
        <v>438</v>
      </c>
      <c r="L3149" t="s">
        <v>439</v>
      </c>
      <c r="M3149" t="s">
        <v>6</v>
      </c>
    </row>
    <row r="3150" spans="2:13" hidden="1">
      <c r="B3150">
        <v>3148</v>
      </c>
      <c r="C3150">
        <v>261</v>
      </c>
      <c r="D3150">
        <v>40</v>
      </c>
      <c r="E3150">
        <v>12</v>
      </c>
      <c r="F3150">
        <v>0</v>
      </c>
      <c r="G3150" t="s">
        <v>2023</v>
      </c>
      <c r="H3150" t="s">
        <v>52</v>
      </c>
      <c r="I3150" t="s">
        <v>2154</v>
      </c>
      <c r="J3150" t="s">
        <v>64</v>
      </c>
      <c r="K3150" t="s">
        <v>440</v>
      </c>
      <c r="M3150" t="s">
        <v>6</v>
      </c>
    </row>
    <row r="3151" spans="2:13" hidden="1">
      <c r="B3151">
        <v>3149</v>
      </c>
      <c r="C3151">
        <v>261</v>
      </c>
      <c r="D3151">
        <v>40</v>
      </c>
      <c r="E3151">
        <v>13</v>
      </c>
      <c r="F3151">
        <v>0</v>
      </c>
      <c r="G3151" t="s">
        <v>2023</v>
      </c>
      <c r="H3151" t="s">
        <v>52</v>
      </c>
      <c r="I3151" t="s">
        <v>2154</v>
      </c>
      <c r="J3151" t="s">
        <v>479</v>
      </c>
      <c r="K3151" t="s">
        <v>2161</v>
      </c>
      <c r="M3151" t="s">
        <v>6</v>
      </c>
    </row>
    <row r="3152" spans="2:13" hidden="1">
      <c r="B3152">
        <v>3150</v>
      </c>
      <c r="C3152">
        <v>261</v>
      </c>
      <c r="D3152">
        <v>40</v>
      </c>
      <c r="E3152">
        <v>14</v>
      </c>
      <c r="F3152">
        <v>0</v>
      </c>
      <c r="G3152" t="s">
        <v>2023</v>
      </c>
      <c r="H3152" t="s">
        <v>52</v>
      </c>
      <c r="I3152" t="s">
        <v>2154</v>
      </c>
      <c r="J3152" t="s">
        <v>55</v>
      </c>
      <c r="K3152" t="s">
        <v>429</v>
      </c>
      <c r="M3152" t="s">
        <v>6</v>
      </c>
    </row>
    <row r="3153" spans="2:13" hidden="1">
      <c r="B3153">
        <v>3151</v>
      </c>
      <c r="C3153">
        <v>261</v>
      </c>
      <c r="D3153">
        <v>40</v>
      </c>
      <c r="E3153">
        <v>15</v>
      </c>
      <c r="F3153">
        <v>0</v>
      </c>
      <c r="G3153" t="s">
        <v>2023</v>
      </c>
      <c r="H3153" t="s">
        <v>52</v>
      </c>
      <c r="I3153" t="s">
        <v>2154</v>
      </c>
      <c r="J3153" t="s">
        <v>55</v>
      </c>
      <c r="K3153" t="s">
        <v>430</v>
      </c>
      <c r="M3153" t="s">
        <v>6</v>
      </c>
    </row>
    <row r="3154" spans="2:13" hidden="1">
      <c r="B3154">
        <v>3152</v>
      </c>
      <c r="C3154">
        <v>261</v>
      </c>
      <c r="D3154">
        <v>40</v>
      </c>
      <c r="E3154">
        <v>16</v>
      </c>
      <c r="F3154">
        <v>0</v>
      </c>
      <c r="G3154" t="s">
        <v>2023</v>
      </c>
      <c r="H3154" t="s">
        <v>52</v>
      </c>
      <c r="I3154" t="s">
        <v>2154</v>
      </c>
      <c r="J3154" t="s">
        <v>55</v>
      </c>
      <c r="K3154" t="s">
        <v>2025</v>
      </c>
      <c r="M3154" t="s">
        <v>6</v>
      </c>
    </row>
    <row r="3155" spans="2:13" hidden="1">
      <c r="B3155">
        <v>3153</v>
      </c>
      <c r="C3155">
        <v>261</v>
      </c>
      <c r="D3155">
        <v>40</v>
      </c>
      <c r="E3155">
        <v>17</v>
      </c>
      <c r="F3155">
        <v>0</v>
      </c>
      <c r="G3155" t="s">
        <v>2023</v>
      </c>
      <c r="H3155" t="s">
        <v>52</v>
      </c>
      <c r="I3155" t="s">
        <v>2154</v>
      </c>
      <c r="J3155" t="s">
        <v>55</v>
      </c>
      <c r="K3155" t="s">
        <v>2162</v>
      </c>
      <c r="M3155" t="s">
        <v>6</v>
      </c>
    </row>
    <row r="3156" spans="2:13" hidden="1">
      <c r="B3156">
        <v>3154</v>
      </c>
      <c r="C3156">
        <v>261</v>
      </c>
      <c r="D3156">
        <v>40</v>
      </c>
      <c r="E3156">
        <v>18</v>
      </c>
      <c r="F3156">
        <v>0</v>
      </c>
      <c r="G3156" t="s">
        <v>2023</v>
      </c>
      <c r="H3156" t="s">
        <v>52</v>
      </c>
      <c r="I3156" t="s">
        <v>2154</v>
      </c>
      <c r="J3156" t="s">
        <v>55</v>
      </c>
      <c r="K3156" t="s">
        <v>2163</v>
      </c>
      <c r="M3156" t="s">
        <v>6</v>
      </c>
    </row>
    <row r="3157" spans="2:13" hidden="1">
      <c r="B3157">
        <v>3155</v>
      </c>
      <c r="C3157">
        <v>261</v>
      </c>
      <c r="D3157">
        <v>40</v>
      </c>
      <c r="E3157">
        <v>19</v>
      </c>
      <c r="F3157">
        <v>0</v>
      </c>
      <c r="G3157" t="s">
        <v>2023</v>
      </c>
      <c r="H3157" t="s">
        <v>52</v>
      </c>
      <c r="I3157" t="s">
        <v>2154</v>
      </c>
      <c r="J3157" t="s">
        <v>55</v>
      </c>
      <c r="K3157" t="s">
        <v>2164</v>
      </c>
      <c r="M3157" t="s">
        <v>6</v>
      </c>
    </row>
    <row r="3158" spans="2:13" hidden="1">
      <c r="B3158">
        <v>3156</v>
      </c>
      <c r="C3158">
        <v>261</v>
      </c>
      <c r="D3158">
        <v>40</v>
      </c>
      <c r="E3158">
        <v>20</v>
      </c>
      <c r="F3158">
        <v>0</v>
      </c>
      <c r="G3158" t="s">
        <v>2023</v>
      </c>
      <c r="H3158" t="s">
        <v>52</v>
      </c>
      <c r="I3158" t="s">
        <v>2154</v>
      </c>
      <c r="J3158" t="s">
        <v>55</v>
      </c>
      <c r="K3158" t="s">
        <v>2165</v>
      </c>
      <c r="M3158" t="s">
        <v>6</v>
      </c>
    </row>
    <row r="3159" spans="2:13" hidden="1">
      <c r="B3159">
        <v>3157</v>
      </c>
      <c r="C3159">
        <v>261</v>
      </c>
      <c r="D3159">
        <v>40</v>
      </c>
      <c r="E3159">
        <v>21</v>
      </c>
      <c r="F3159">
        <v>0</v>
      </c>
      <c r="G3159" t="s">
        <v>2023</v>
      </c>
      <c r="H3159" t="s">
        <v>52</v>
      </c>
      <c r="I3159" t="s">
        <v>2154</v>
      </c>
      <c r="J3159" t="s">
        <v>55</v>
      </c>
      <c r="K3159" t="s">
        <v>2166</v>
      </c>
      <c r="M3159" t="s">
        <v>6</v>
      </c>
    </row>
    <row r="3160" spans="2:13" hidden="1">
      <c r="B3160">
        <v>3158</v>
      </c>
      <c r="C3160">
        <v>261</v>
      </c>
      <c r="D3160">
        <v>40</v>
      </c>
      <c r="E3160">
        <v>22</v>
      </c>
      <c r="F3160">
        <v>0</v>
      </c>
      <c r="G3160" t="s">
        <v>2023</v>
      </c>
      <c r="H3160" t="s">
        <v>52</v>
      </c>
      <c r="I3160" t="s">
        <v>2154</v>
      </c>
      <c r="J3160" t="s">
        <v>55</v>
      </c>
      <c r="K3160" t="s">
        <v>2167</v>
      </c>
      <c r="M3160" t="s">
        <v>6</v>
      </c>
    </row>
    <row r="3161" spans="2:13" hidden="1">
      <c r="B3161">
        <v>3159</v>
      </c>
      <c r="C3161">
        <v>261</v>
      </c>
      <c r="D3161">
        <v>40</v>
      </c>
      <c r="E3161">
        <v>23</v>
      </c>
      <c r="F3161">
        <v>0</v>
      </c>
      <c r="G3161" t="s">
        <v>2023</v>
      </c>
      <c r="H3161" t="s">
        <v>52</v>
      </c>
      <c r="I3161" t="s">
        <v>2154</v>
      </c>
      <c r="J3161" t="s">
        <v>55</v>
      </c>
      <c r="K3161" t="s">
        <v>2168</v>
      </c>
      <c r="M3161" t="s">
        <v>6</v>
      </c>
    </row>
    <row r="3162" spans="2:13" hidden="1">
      <c r="B3162">
        <v>3160</v>
      </c>
      <c r="C3162">
        <v>261</v>
      </c>
      <c r="D3162">
        <v>40</v>
      </c>
      <c r="E3162">
        <v>24</v>
      </c>
      <c r="F3162">
        <v>0</v>
      </c>
      <c r="G3162" t="s">
        <v>2023</v>
      </c>
      <c r="H3162" t="s">
        <v>52</v>
      </c>
      <c r="I3162" t="s">
        <v>2154</v>
      </c>
      <c r="J3162" t="s">
        <v>55</v>
      </c>
      <c r="K3162" t="s">
        <v>2169</v>
      </c>
      <c r="M3162" t="s">
        <v>6</v>
      </c>
    </row>
    <row r="3163" spans="2:13" hidden="1">
      <c r="B3163">
        <v>3161</v>
      </c>
      <c r="C3163">
        <v>261</v>
      </c>
      <c r="D3163">
        <v>40</v>
      </c>
      <c r="E3163">
        <v>25</v>
      </c>
      <c r="F3163">
        <v>0</v>
      </c>
      <c r="G3163" t="s">
        <v>2023</v>
      </c>
      <c r="H3163" t="s">
        <v>52</v>
      </c>
      <c r="I3163" t="s">
        <v>2154</v>
      </c>
      <c r="J3163" t="s">
        <v>55</v>
      </c>
      <c r="K3163" t="s">
        <v>2170</v>
      </c>
      <c r="M3163" t="s">
        <v>6</v>
      </c>
    </row>
    <row r="3164" spans="2:13" hidden="1">
      <c r="B3164">
        <v>3162</v>
      </c>
      <c r="C3164">
        <v>261</v>
      </c>
      <c r="D3164">
        <v>40</v>
      </c>
      <c r="E3164">
        <v>26</v>
      </c>
      <c r="F3164">
        <v>0</v>
      </c>
      <c r="G3164" t="s">
        <v>2023</v>
      </c>
      <c r="H3164" t="s">
        <v>52</v>
      </c>
      <c r="I3164" t="s">
        <v>2154</v>
      </c>
      <c r="J3164" t="s">
        <v>55</v>
      </c>
      <c r="K3164" t="s">
        <v>2171</v>
      </c>
      <c r="M3164" t="s">
        <v>6</v>
      </c>
    </row>
    <row r="3165" spans="2:13" hidden="1">
      <c r="B3165">
        <v>3163</v>
      </c>
      <c r="C3165">
        <v>261</v>
      </c>
      <c r="D3165">
        <v>40</v>
      </c>
      <c r="E3165">
        <v>27</v>
      </c>
      <c r="F3165">
        <v>0</v>
      </c>
      <c r="G3165" t="s">
        <v>2023</v>
      </c>
      <c r="H3165" t="s">
        <v>52</v>
      </c>
      <c r="I3165" t="s">
        <v>2154</v>
      </c>
      <c r="J3165" t="s">
        <v>55</v>
      </c>
      <c r="K3165" t="s">
        <v>2172</v>
      </c>
      <c r="M3165" t="s">
        <v>6</v>
      </c>
    </row>
    <row r="3166" spans="2:13" hidden="1">
      <c r="B3166">
        <v>3164</v>
      </c>
      <c r="C3166">
        <v>261</v>
      </c>
      <c r="D3166">
        <v>40</v>
      </c>
      <c r="E3166">
        <v>28</v>
      </c>
      <c r="F3166">
        <v>0</v>
      </c>
      <c r="G3166" t="s">
        <v>2023</v>
      </c>
      <c r="H3166" t="s">
        <v>52</v>
      </c>
      <c r="I3166" t="s">
        <v>2154</v>
      </c>
      <c r="J3166" t="s">
        <v>55</v>
      </c>
      <c r="K3166" t="s">
        <v>2173</v>
      </c>
      <c r="M3166" t="s">
        <v>6</v>
      </c>
    </row>
    <row r="3167" spans="2:13" hidden="1">
      <c r="B3167">
        <v>3165</v>
      </c>
      <c r="C3167">
        <v>261</v>
      </c>
      <c r="D3167">
        <v>40</v>
      </c>
      <c r="E3167">
        <v>29</v>
      </c>
      <c r="F3167">
        <v>0</v>
      </c>
      <c r="G3167" t="s">
        <v>2023</v>
      </c>
      <c r="H3167" t="s">
        <v>52</v>
      </c>
      <c r="I3167" t="s">
        <v>2154</v>
      </c>
      <c r="J3167" t="s">
        <v>55</v>
      </c>
      <c r="K3167" t="s">
        <v>2174</v>
      </c>
      <c r="M3167" t="s">
        <v>6</v>
      </c>
    </row>
    <row r="3168" spans="2:13" hidden="1">
      <c r="B3168">
        <v>3166</v>
      </c>
      <c r="C3168">
        <v>261</v>
      </c>
      <c r="D3168">
        <v>40</v>
      </c>
      <c r="E3168">
        <v>30</v>
      </c>
      <c r="F3168">
        <v>0</v>
      </c>
      <c r="G3168" t="s">
        <v>2023</v>
      </c>
      <c r="H3168" t="s">
        <v>52</v>
      </c>
      <c r="I3168" t="s">
        <v>2154</v>
      </c>
      <c r="J3168" t="s">
        <v>55</v>
      </c>
      <c r="K3168" t="s">
        <v>2175</v>
      </c>
      <c r="M3168" t="s">
        <v>6</v>
      </c>
    </row>
    <row r="3169" spans="2:13" hidden="1">
      <c r="B3169">
        <v>3167</v>
      </c>
      <c r="C3169">
        <v>261</v>
      </c>
      <c r="D3169">
        <v>40</v>
      </c>
      <c r="E3169">
        <v>31</v>
      </c>
      <c r="F3169">
        <v>0</v>
      </c>
      <c r="G3169" t="s">
        <v>2023</v>
      </c>
      <c r="H3169" t="s">
        <v>52</v>
      </c>
      <c r="I3169" t="s">
        <v>2154</v>
      </c>
      <c r="J3169" t="s">
        <v>55</v>
      </c>
      <c r="K3169" t="s">
        <v>2176</v>
      </c>
      <c r="M3169" t="s">
        <v>6</v>
      </c>
    </row>
    <row r="3170" spans="2:13" hidden="1">
      <c r="B3170">
        <v>3168</v>
      </c>
      <c r="C3170">
        <v>261</v>
      </c>
      <c r="D3170">
        <v>40</v>
      </c>
      <c r="E3170">
        <v>32</v>
      </c>
      <c r="F3170">
        <v>0</v>
      </c>
      <c r="G3170" t="s">
        <v>2023</v>
      </c>
      <c r="H3170" t="s">
        <v>52</v>
      </c>
      <c r="I3170" t="s">
        <v>2154</v>
      </c>
      <c r="J3170" t="s">
        <v>437</v>
      </c>
      <c r="K3170" t="s">
        <v>438</v>
      </c>
      <c r="L3170" t="s">
        <v>439</v>
      </c>
      <c r="M3170" t="s">
        <v>6</v>
      </c>
    </row>
    <row r="3171" spans="2:13" hidden="1">
      <c r="B3171">
        <v>3169</v>
      </c>
      <c r="C3171">
        <v>261</v>
      </c>
      <c r="D3171">
        <v>40</v>
      </c>
      <c r="E3171">
        <v>33</v>
      </c>
      <c r="F3171">
        <v>0</v>
      </c>
      <c r="G3171" t="s">
        <v>2023</v>
      </c>
      <c r="H3171" t="s">
        <v>52</v>
      </c>
      <c r="I3171" t="s">
        <v>2154</v>
      </c>
      <c r="J3171" t="s">
        <v>55</v>
      </c>
      <c r="K3171" t="s">
        <v>2177</v>
      </c>
      <c r="M3171" t="s">
        <v>6</v>
      </c>
    </row>
    <row r="3172" spans="2:13" hidden="1">
      <c r="B3172">
        <v>3170</v>
      </c>
      <c r="C3172">
        <v>261</v>
      </c>
      <c r="D3172">
        <v>40</v>
      </c>
      <c r="E3172">
        <v>34</v>
      </c>
      <c r="F3172">
        <v>0</v>
      </c>
      <c r="G3172" t="s">
        <v>2023</v>
      </c>
      <c r="H3172" t="s">
        <v>52</v>
      </c>
      <c r="I3172" t="s">
        <v>2154</v>
      </c>
      <c r="J3172" t="s">
        <v>437</v>
      </c>
      <c r="K3172" t="s">
        <v>438</v>
      </c>
      <c r="L3172" t="s">
        <v>439</v>
      </c>
      <c r="M3172" t="s">
        <v>6</v>
      </c>
    </row>
    <row r="3173" spans="2:13" hidden="1">
      <c r="B3173">
        <v>3171</v>
      </c>
      <c r="C3173">
        <v>261</v>
      </c>
      <c r="D3173">
        <v>40</v>
      </c>
      <c r="E3173">
        <v>35</v>
      </c>
      <c r="F3173">
        <v>0</v>
      </c>
      <c r="G3173" t="s">
        <v>2023</v>
      </c>
      <c r="H3173" t="s">
        <v>52</v>
      </c>
      <c r="I3173" t="s">
        <v>2154</v>
      </c>
      <c r="J3173" t="s">
        <v>55</v>
      </c>
      <c r="K3173" t="s">
        <v>2178</v>
      </c>
      <c r="M3173" t="s">
        <v>6</v>
      </c>
    </row>
    <row r="3174" spans="2:13" hidden="1">
      <c r="B3174">
        <v>3172</v>
      </c>
      <c r="C3174">
        <v>261</v>
      </c>
      <c r="D3174">
        <v>40</v>
      </c>
      <c r="E3174">
        <v>36</v>
      </c>
      <c r="F3174">
        <v>0</v>
      </c>
      <c r="G3174" t="s">
        <v>2023</v>
      </c>
      <c r="H3174" t="s">
        <v>52</v>
      </c>
      <c r="I3174" t="s">
        <v>2154</v>
      </c>
      <c r="J3174" t="s">
        <v>437</v>
      </c>
      <c r="K3174" t="s">
        <v>438</v>
      </c>
      <c r="L3174" t="s">
        <v>439</v>
      </c>
      <c r="M3174" t="s">
        <v>6</v>
      </c>
    </row>
    <row r="3175" spans="2:13" hidden="1">
      <c r="B3175">
        <v>3173</v>
      </c>
      <c r="C3175">
        <v>261</v>
      </c>
      <c r="D3175">
        <v>40</v>
      </c>
      <c r="E3175">
        <v>37</v>
      </c>
      <c r="F3175">
        <v>0</v>
      </c>
      <c r="G3175" t="s">
        <v>2023</v>
      </c>
      <c r="H3175" t="s">
        <v>52</v>
      </c>
      <c r="I3175" t="s">
        <v>2154</v>
      </c>
      <c r="J3175" t="s">
        <v>64</v>
      </c>
      <c r="K3175" t="s">
        <v>440</v>
      </c>
      <c r="M3175" t="s">
        <v>6</v>
      </c>
    </row>
    <row r="3176" spans="2:13" hidden="1">
      <c r="B3176">
        <v>3174</v>
      </c>
      <c r="C3176">
        <v>261</v>
      </c>
      <c r="D3176">
        <v>40</v>
      </c>
      <c r="E3176">
        <v>38</v>
      </c>
      <c r="F3176">
        <v>0</v>
      </c>
      <c r="G3176" t="s">
        <v>2023</v>
      </c>
      <c r="H3176" t="s">
        <v>52</v>
      </c>
      <c r="I3176" t="s">
        <v>2154</v>
      </c>
      <c r="J3176" t="s">
        <v>55</v>
      </c>
      <c r="K3176" t="s">
        <v>441</v>
      </c>
      <c r="M3176" t="s">
        <v>6</v>
      </c>
    </row>
    <row r="3177" spans="2:13" hidden="1">
      <c r="B3177">
        <v>3175</v>
      </c>
      <c r="C3177">
        <v>261</v>
      </c>
      <c r="D3177">
        <v>40</v>
      </c>
      <c r="E3177">
        <v>39</v>
      </c>
      <c r="F3177">
        <v>0</v>
      </c>
      <c r="G3177" t="s">
        <v>2023</v>
      </c>
      <c r="H3177" t="s">
        <v>52</v>
      </c>
      <c r="I3177" t="s">
        <v>2154</v>
      </c>
      <c r="J3177" t="s">
        <v>437</v>
      </c>
      <c r="K3177" t="s">
        <v>438</v>
      </c>
      <c r="L3177" t="s">
        <v>439</v>
      </c>
      <c r="M3177" t="s">
        <v>6</v>
      </c>
    </row>
    <row r="3178" spans="2:13" hidden="1">
      <c r="B3178">
        <v>3176</v>
      </c>
      <c r="C3178">
        <v>261</v>
      </c>
      <c r="D3178">
        <v>40</v>
      </c>
      <c r="E3178">
        <v>40</v>
      </c>
      <c r="F3178">
        <v>0</v>
      </c>
      <c r="G3178" t="s">
        <v>2023</v>
      </c>
      <c r="H3178" t="s">
        <v>52</v>
      </c>
      <c r="I3178" t="s">
        <v>2154</v>
      </c>
      <c r="J3178" t="s">
        <v>64</v>
      </c>
      <c r="K3178" t="s">
        <v>440</v>
      </c>
      <c r="M3178" t="s">
        <v>6</v>
      </c>
    </row>
    <row r="3179" spans="2:13" hidden="1">
      <c r="B3179">
        <v>3177</v>
      </c>
      <c r="C3179">
        <v>262</v>
      </c>
      <c r="D3179">
        <v>16</v>
      </c>
      <c r="E3179">
        <v>0</v>
      </c>
      <c r="F3179">
        <v>0</v>
      </c>
      <c r="G3179" t="s">
        <v>2023</v>
      </c>
      <c r="H3179" t="s">
        <v>52</v>
      </c>
      <c r="I3179" t="s">
        <v>2179</v>
      </c>
      <c r="J3179" t="s">
        <v>54</v>
      </c>
      <c r="K3179" t="s">
        <v>2179</v>
      </c>
      <c r="M3179" t="s">
        <v>6</v>
      </c>
    </row>
    <row r="3180" spans="2:13" hidden="1">
      <c r="B3180">
        <v>3178</v>
      </c>
      <c r="C3180">
        <v>262</v>
      </c>
      <c r="D3180">
        <v>16</v>
      </c>
      <c r="E3180">
        <v>1</v>
      </c>
      <c r="F3180">
        <v>0</v>
      </c>
      <c r="G3180" t="s">
        <v>2023</v>
      </c>
      <c r="H3180" t="s">
        <v>52</v>
      </c>
      <c r="I3180" t="s">
        <v>2179</v>
      </c>
      <c r="J3180" t="s">
        <v>55</v>
      </c>
      <c r="K3180" t="s">
        <v>429</v>
      </c>
      <c r="M3180" t="s">
        <v>6</v>
      </c>
    </row>
    <row r="3181" spans="2:13" hidden="1">
      <c r="B3181">
        <v>3179</v>
      </c>
      <c r="C3181">
        <v>262</v>
      </c>
      <c r="D3181">
        <v>16</v>
      </c>
      <c r="E3181">
        <v>2</v>
      </c>
      <c r="F3181">
        <v>0</v>
      </c>
      <c r="G3181" t="s">
        <v>2023</v>
      </c>
      <c r="H3181" t="s">
        <v>52</v>
      </c>
      <c r="I3181" t="s">
        <v>2179</v>
      </c>
      <c r="J3181" t="s">
        <v>55</v>
      </c>
      <c r="K3181" t="s">
        <v>430</v>
      </c>
      <c r="M3181" t="s">
        <v>6</v>
      </c>
    </row>
    <row r="3182" spans="2:13" hidden="1">
      <c r="B3182">
        <v>3180</v>
      </c>
      <c r="C3182">
        <v>262</v>
      </c>
      <c r="D3182">
        <v>16</v>
      </c>
      <c r="E3182">
        <v>3</v>
      </c>
      <c r="F3182">
        <v>0</v>
      </c>
      <c r="G3182" t="s">
        <v>2023</v>
      </c>
      <c r="H3182" t="s">
        <v>52</v>
      </c>
      <c r="I3182" t="s">
        <v>2179</v>
      </c>
      <c r="J3182" t="s">
        <v>55</v>
      </c>
      <c r="K3182" t="s">
        <v>431</v>
      </c>
      <c r="M3182" t="s">
        <v>6</v>
      </c>
    </row>
    <row r="3183" spans="2:13" hidden="1">
      <c r="B3183">
        <v>3181</v>
      </c>
      <c r="C3183">
        <v>262</v>
      </c>
      <c r="D3183">
        <v>16</v>
      </c>
      <c r="E3183">
        <v>4</v>
      </c>
      <c r="F3183">
        <v>0</v>
      </c>
      <c r="G3183" t="s">
        <v>2023</v>
      </c>
      <c r="H3183" t="s">
        <v>52</v>
      </c>
      <c r="I3183" t="s">
        <v>2179</v>
      </c>
      <c r="J3183" t="s">
        <v>55</v>
      </c>
      <c r="K3183" t="s">
        <v>2025</v>
      </c>
      <c r="M3183" t="s">
        <v>6</v>
      </c>
    </row>
    <row r="3184" spans="2:13" hidden="1">
      <c r="B3184">
        <v>3182</v>
      </c>
      <c r="C3184">
        <v>262</v>
      </c>
      <c r="D3184">
        <v>16</v>
      </c>
      <c r="E3184">
        <v>5</v>
      </c>
      <c r="F3184">
        <v>0</v>
      </c>
      <c r="G3184" t="s">
        <v>2023</v>
      </c>
      <c r="H3184" t="s">
        <v>52</v>
      </c>
      <c r="I3184" t="s">
        <v>2179</v>
      </c>
      <c r="J3184" t="s">
        <v>55</v>
      </c>
      <c r="K3184" t="s">
        <v>432</v>
      </c>
      <c r="M3184" t="s">
        <v>6</v>
      </c>
    </row>
    <row r="3185" spans="2:13" hidden="1">
      <c r="B3185">
        <v>3183</v>
      </c>
      <c r="C3185">
        <v>262</v>
      </c>
      <c r="D3185">
        <v>16</v>
      </c>
      <c r="E3185">
        <v>6</v>
      </c>
      <c r="F3185">
        <v>0</v>
      </c>
      <c r="G3185" t="s">
        <v>2023</v>
      </c>
      <c r="H3185" t="s">
        <v>52</v>
      </c>
      <c r="I3185" t="s">
        <v>2179</v>
      </c>
      <c r="J3185" t="s">
        <v>55</v>
      </c>
      <c r="K3185" t="s">
        <v>433</v>
      </c>
      <c r="M3185" t="s">
        <v>6</v>
      </c>
    </row>
    <row r="3186" spans="2:13" hidden="1">
      <c r="B3186">
        <v>3184</v>
      </c>
      <c r="C3186">
        <v>262</v>
      </c>
      <c r="D3186">
        <v>16</v>
      </c>
      <c r="E3186">
        <v>7</v>
      </c>
      <c r="F3186">
        <v>0</v>
      </c>
      <c r="G3186" t="s">
        <v>2023</v>
      </c>
      <c r="H3186" t="s">
        <v>52</v>
      </c>
      <c r="I3186" t="s">
        <v>2179</v>
      </c>
      <c r="J3186" t="s">
        <v>55</v>
      </c>
      <c r="K3186" t="s">
        <v>434</v>
      </c>
      <c r="M3186" t="s">
        <v>6</v>
      </c>
    </row>
    <row r="3187" spans="2:13" hidden="1">
      <c r="B3187">
        <v>3185</v>
      </c>
      <c r="C3187">
        <v>262</v>
      </c>
      <c r="D3187">
        <v>16</v>
      </c>
      <c r="E3187">
        <v>8</v>
      </c>
      <c r="F3187">
        <v>0</v>
      </c>
      <c r="G3187" t="s">
        <v>2023</v>
      </c>
      <c r="H3187" t="s">
        <v>52</v>
      </c>
      <c r="I3187" t="s">
        <v>2179</v>
      </c>
      <c r="J3187" t="s">
        <v>55</v>
      </c>
      <c r="K3187" t="s">
        <v>435</v>
      </c>
      <c r="M3187" t="s">
        <v>6</v>
      </c>
    </row>
    <row r="3188" spans="2:13" hidden="1">
      <c r="B3188">
        <v>3186</v>
      </c>
      <c r="C3188">
        <v>262</v>
      </c>
      <c r="D3188">
        <v>16</v>
      </c>
      <c r="E3188">
        <v>9</v>
      </c>
      <c r="F3188">
        <v>0</v>
      </c>
      <c r="G3188" t="s">
        <v>2023</v>
      </c>
      <c r="H3188" t="s">
        <v>52</v>
      </c>
      <c r="I3188" t="s">
        <v>2179</v>
      </c>
      <c r="J3188" t="s">
        <v>55</v>
      </c>
      <c r="K3188" t="s">
        <v>436</v>
      </c>
      <c r="M3188" t="s">
        <v>6</v>
      </c>
    </row>
    <row r="3189" spans="2:13" hidden="1">
      <c r="B3189">
        <v>3187</v>
      </c>
      <c r="C3189">
        <v>262</v>
      </c>
      <c r="D3189">
        <v>16</v>
      </c>
      <c r="E3189">
        <v>10</v>
      </c>
      <c r="F3189">
        <v>0</v>
      </c>
      <c r="G3189" t="s">
        <v>2023</v>
      </c>
      <c r="H3189" t="s">
        <v>52</v>
      </c>
      <c r="I3189" t="s">
        <v>2179</v>
      </c>
      <c r="J3189" t="s">
        <v>437</v>
      </c>
      <c r="K3189" t="s">
        <v>438</v>
      </c>
      <c r="L3189" t="s">
        <v>439</v>
      </c>
      <c r="M3189" t="s">
        <v>6</v>
      </c>
    </row>
    <row r="3190" spans="2:13" hidden="1">
      <c r="B3190">
        <v>3188</v>
      </c>
      <c r="C3190">
        <v>262</v>
      </c>
      <c r="D3190">
        <v>16</v>
      </c>
      <c r="E3190">
        <v>11</v>
      </c>
      <c r="F3190">
        <v>0</v>
      </c>
      <c r="G3190" t="s">
        <v>2023</v>
      </c>
      <c r="H3190" t="s">
        <v>52</v>
      </c>
      <c r="I3190" t="s">
        <v>2179</v>
      </c>
      <c r="J3190" t="s">
        <v>64</v>
      </c>
      <c r="K3190" t="s">
        <v>440</v>
      </c>
      <c r="M3190" t="s">
        <v>6</v>
      </c>
    </row>
    <row r="3191" spans="2:13" hidden="1">
      <c r="B3191">
        <v>3189</v>
      </c>
      <c r="C3191">
        <v>262</v>
      </c>
      <c r="D3191">
        <v>16</v>
      </c>
      <c r="E3191">
        <v>12</v>
      </c>
      <c r="F3191">
        <v>0</v>
      </c>
      <c r="G3191" t="s">
        <v>2023</v>
      </c>
      <c r="H3191" t="s">
        <v>52</v>
      </c>
      <c r="I3191" t="s">
        <v>2179</v>
      </c>
      <c r="J3191" t="s">
        <v>55</v>
      </c>
      <c r="K3191" t="s">
        <v>441</v>
      </c>
      <c r="M3191" t="s">
        <v>6</v>
      </c>
    </row>
    <row r="3192" spans="2:13" hidden="1">
      <c r="B3192">
        <v>3190</v>
      </c>
      <c r="C3192">
        <v>262</v>
      </c>
      <c r="D3192">
        <v>16</v>
      </c>
      <c r="E3192">
        <v>13</v>
      </c>
      <c r="F3192">
        <v>0</v>
      </c>
      <c r="G3192" t="s">
        <v>2023</v>
      </c>
      <c r="H3192" t="s">
        <v>52</v>
      </c>
      <c r="I3192" t="s">
        <v>2179</v>
      </c>
      <c r="J3192" t="s">
        <v>437</v>
      </c>
      <c r="K3192" t="s">
        <v>438</v>
      </c>
      <c r="L3192" t="s">
        <v>439</v>
      </c>
      <c r="M3192" t="s">
        <v>6</v>
      </c>
    </row>
    <row r="3193" spans="2:13" hidden="1">
      <c r="B3193">
        <v>3191</v>
      </c>
      <c r="C3193">
        <v>262</v>
      </c>
      <c r="D3193">
        <v>16</v>
      </c>
      <c r="E3193">
        <v>14</v>
      </c>
      <c r="F3193">
        <v>0</v>
      </c>
      <c r="G3193" t="s">
        <v>2023</v>
      </c>
      <c r="H3193" t="s">
        <v>52</v>
      </c>
      <c r="I3193" t="s">
        <v>2179</v>
      </c>
      <c r="J3193" t="s">
        <v>64</v>
      </c>
      <c r="K3193" t="s">
        <v>440</v>
      </c>
      <c r="M3193" t="s">
        <v>6</v>
      </c>
    </row>
    <row r="3194" spans="2:13" hidden="1">
      <c r="B3194">
        <v>3192</v>
      </c>
      <c r="C3194">
        <v>262</v>
      </c>
      <c r="D3194">
        <v>16</v>
      </c>
      <c r="E3194">
        <v>15</v>
      </c>
      <c r="F3194">
        <v>0</v>
      </c>
      <c r="G3194" t="s">
        <v>2023</v>
      </c>
      <c r="H3194" t="s">
        <v>52</v>
      </c>
      <c r="I3194" t="s">
        <v>2179</v>
      </c>
      <c r="J3194" t="s">
        <v>55</v>
      </c>
      <c r="K3194" t="s">
        <v>442</v>
      </c>
      <c r="M3194" t="s">
        <v>6</v>
      </c>
    </row>
    <row r="3195" spans="2:13" hidden="1">
      <c r="B3195">
        <v>3193</v>
      </c>
      <c r="C3195">
        <v>262</v>
      </c>
      <c r="D3195">
        <v>16</v>
      </c>
      <c r="E3195">
        <v>16</v>
      </c>
      <c r="F3195">
        <v>0</v>
      </c>
      <c r="G3195" t="s">
        <v>2023</v>
      </c>
      <c r="H3195" t="s">
        <v>52</v>
      </c>
      <c r="I3195" t="s">
        <v>2179</v>
      </c>
      <c r="J3195" t="s">
        <v>214</v>
      </c>
      <c r="K3195" t="s">
        <v>443</v>
      </c>
      <c r="M3195" t="s">
        <v>6</v>
      </c>
    </row>
    <row r="3196" spans="2:13" hidden="1">
      <c r="B3196">
        <v>3194</v>
      </c>
      <c r="C3196">
        <v>263</v>
      </c>
      <c r="D3196">
        <v>17</v>
      </c>
      <c r="E3196">
        <v>0</v>
      </c>
      <c r="F3196">
        <v>0</v>
      </c>
      <c r="G3196" t="s">
        <v>2023</v>
      </c>
      <c r="H3196" t="s">
        <v>52</v>
      </c>
      <c r="I3196" t="s">
        <v>2180</v>
      </c>
      <c r="J3196" t="s">
        <v>54</v>
      </c>
      <c r="K3196" t="s">
        <v>2180</v>
      </c>
      <c r="M3196" t="s">
        <v>6</v>
      </c>
    </row>
    <row r="3197" spans="2:13" hidden="1">
      <c r="B3197">
        <v>3195</v>
      </c>
      <c r="C3197">
        <v>263</v>
      </c>
      <c r="D3197">
        <v>17</v>
      </c>
      <c r="E3197">
        <v>1</v>
      </c>
      <c r="F3197">
        <v>0</v>
      </c>
      <c r="G3197" t="s">
        <v>2023</v>
      </c>
      <c r="H3197" t="s">
        <v>52</v>
      </c>
      <c r="I3197" t="s">
        <v>2180</v>
      </c>
      <c r="J3197" t="s">
        <v>55</v>
      </c>
      <c r="K3197" t="s">
        <v>2025</v>
      </c>
      <c r="M3197" t="s">
        <v>6</v>
      </c>
    </row>
    <row r="3198" spans="2:13" hidden="1">
      <c r="B3198">
        <v>3196</v>
      </c>
      <c r="C3198">
        <v>263</v>
      </c>
      <c r="D3198">
        <v>17</v>
      </c>
      <c r="E3198">
        <v>2</v>
      </c>
      <c r="F3198">
        <v>0</v>
      </c>
      <c r="G3198" t="s">
        <v>2023</v>
      </c>
      <c r="H3198" t="s">
        <v>52</v>
      </c>
      <c r="I3198" t="s">
        <v>2180</v>
      </c>
      <c r="J3198" t="s">
        <v>55</v>
      </c>
      <c r="K3198" t="s">
        <v>429</v>
      </c>
      <c r="M3198" t="s">
        <v>6</v>
      </c>
    </row>
    <row r="3199" spans="2:13" hidden="1">
      <c r="B3199">
        <v>3197</v>
      </c>
      <c r="C3199">
        <v>263</v>
      </c>
      <c r="D3199">
        <v>17</v>
      </c>
      <c r="E3199">
        <v>3</v>
      </c>
      <c r="F3199">
        <v>0</v>
      </c>
      <c r="G3199" t="s">
        <v>2023</v>
      </c>
      <c r="H3199" t="s">
        <v>52</v>
      </c>
      <c r="I3199" t="s">
        <v>2180</v>
      </c>
      <c r="J3199" t="s">
        <v>55</v>
      </c>
      <c r="K3199" t="s">
        <v>430</v>
      </c>
      <c r="M3199" t="s">
        <v>6</v>
      </c>
    </row>
    <row r="3200" spans="2:13" hidden="1">
      <c r="B3200">
        <v>3198</v>
      </c>
      <c r="C3200">
        <v>263</v>
      </c>
      <c r="D3200">
        <v>17</v>
      </c>
      <c r="E3200">
        <v>4</v>
      </c>
      <c r="F3200">
        <v>0</v>
      </c>
      <c r="G3200" t="s">
        <v>2023</v>
      </c>
      <c r="H3200" t="s">
        <v>52</v>
      </c>
      <c r="I3200" t="s">
        <v>2180</v>
      </c>
      <c r="J3200" t="s">
        <v>55</v>
      </c>
      <c r="K3200" t="s">
        <v>2181</v>
      </c>
      <c r="M3200" t="s">
        <v>6</v>
      </c>
    </row>
    <row r="3201" spans="2:13" hidden="1">
      <c r="B3201">
        <v>3199</v>
      </c>
      <c r="C3201">
        <v>263</v>
      </c>
      <c r="D3201">
        <v>17</v>
      </c>
      <c r="E3201">
        <v>5</v>
      </c>
      <c r="F3201">
        <v>0</v>
      </c>
      <c r="G3201" t="s">
        <v>2023</v>
      </c>
      <c r="H3201" t="s">
        <v>52</v>
      </c>
      <c r="I3201" t="s">
        <v>2180</v>
      </c>
      <c r="J3201" t="s">
        <v>55</v>
      </c>
      <c r="K3201" t="s">
        <v>2182</v>
      </c>
      <c r="M3201" t="s">
        <v>6</v>
      </c>
    </row>
    <row r="3202" spans="2:13" hidden="1">
      <c r="B3202">
        <v>3200</v>
      </c>
      <c r="C3202">
        <v>263</v>
      </c>
      <c r="D3202">
        <v>17</v>
      </c>
      <c r="E3202">
        <v>6</v>
      </c>
      <c r="F3202">
        <v>0</v>
      </c>
      <c r="G3202" t="s">
        <v>2023</v>
      </c>
      <c r="H3202" t="s">
        <v>52</v>
      </c>
      <c r="I3202" t="s">
        <v>2180</v>
      </c>
      <c r="J3202" t="s">
        <v>55</v>
      </c>
      <c r="K3202" t="s">
        <v>2183</v>
      </c>
      <c r="M3202" t="s">
        <v>6</v>
      </c>
    </row>
    <row r="3203" spans="2:13" hidden="1">
      <c r="B3203">
        <v>3201</v>
      </c>
      <c r="C3203">
        <v>263</v>
      </c>
      <c r="D3203">
        <v>17</v>
      </c>
      <c r="E3203">
        <v>7</v>
      </c>
      <c r="F3203">
        <v>0</v>
      </c>
      <c r="G3203" t="s">
        <v>2023</v>
      </c>
      <c r="H3203" t="s">
        <v>52</v>
      </c>
      <c r="I3203" t="s">
        <v>2180</v>
      </c>
      <c r="J3203" t="s">
        <v>55</v>
      </c>
      <c r="K3203" t="s">
        <v>2184</v>
      </c>
      <c r="M3203" t="s">
        <v>6</v>
      </c>
    </row>
    <row r="3204" spans="2:13" hidden="1">
      <c r="B3204">
        <v>3202</v>
      </c>
      <c r="C3204">
        <v>263</v>
      </c>
      <c r="D3204">
        <v>17</v>
      </c>
      <c r="E3204">
        <v>8</v>
      </c>
      <c r="F3204">
        <v>0</v>
      </c>
      <c r="G3204" t="s">
        <v>2023</v>
      </c>
      <c r="H3204" t="s">
        <v>52</v>
      </c>
      <c r="I3204" t="s">
        <v>2180</v>
      </c>
      <c r="J3204" t="s">
        <v>55</v>
      </c>
      <c r="K3204" t="s">
        <v>2185</v>
      </c>
      <c r="M3204" t="s">
        <v>6</v>
      </c>
    </row>
    <row r="3205" spans="2:13" hidden="1">
      <c r="B3205">
        <v>3203</v>
      </c>
      <c r="C3205">
        <v>263</v>
      </c>
      <c r="D3205">
        <v>17</v>
      </c>
      <c r="E3205">
        <v>9</v>
      </c>
      <c r="F3205">
        <v>0</v>
      </c>
      <c r="G3205" t="s">
        <v>2023</v>
      </c>
      <c r="H3205" t="s">
        <v>52</v>
      </c>
      <c r="I3205" t="s">
        <v>2180</v>
      </c>
      <c r="J3205" t="s">
        <v>55</v>
      </c>
      <c r="K3205" t="s">
        <v>2186</v>
      </c>
      <c r="M3205" t="s">
        <v>6</v>
      </c>
    </row>
    <row r="3206" spans="2:13" hidden="1">
      <c r="B3206">
        <v>3204</v>
      </c>
      <c r="C3206">
        <v>263</v>
      </c>
      <c r="D3206">
        <v>17</v>
      </c>
      <c r="E3206">
        <v>10</v>
      </c>
      <c r="F3206">
        <v>0</v>
      </c>
      <c r="G3206" t="s">
        <v>2023</v>
      </c>
      <c r="H3206" t="s">
        <v>52</v>
      </c>
      <c r="I3206" t="s">
        <v>2180</v>
      </c>
      <c r="J3206" t="s">
        <v>55</v>
      </c>
      <c r="K3206" t="s">
        <v>436</v>
      </c>
      <c r="M3206" t="s">
        <v>6</v>
      </c>
    </row>
    <row r="3207" spans="2:13" hidden="1">
      <c r="B3207">
        <v>3205</v>
      </c>
      <c r="C3207">
        <v>263</v>
      </c>
      <c r="D3207">
        <v>17</v>
      </c>
      <c r="E3207">
        <v>11</v>
      </c>
      <c r="F3207">
        <v>0</v>
      </c>
      <c r="G3207" t="s">
        <v>2023</v>
      </c>
      <c r="H3207" t="s">
        <v>52</v>
      </c>
      <c r="I3207" t="s">
        <v>2180</v>
      </c>
      <c r="J3207" t="s">
        <v>437</v>
      </c>
      <c r="K3207" t="s">
        <v>438</v>
      </c>
      <c r="L3207" t="s">
        <v>439</v>
      </c>
      <c r="M3207" t="s">
        <v>6</v>
      </c>
    </row>
    <row r="3208" spans="2:13" hidden="1">
      <c r="B3208">
        <v>3206</v>
      </c>
      <c r="C3208">
        <v>263</v>
      </c>
      <c r="D3208">
        <v>17</v>
      </c>
      <c r="E3208">
        <v>12</v>
      </c>
      <c r="F3208">
        <v>0</v>
      </c>
      <c r="G3208" t="s">
        <v>2023</v>
      </c>
      <c r="H3208" t="s">
        <v>52</v>
      </c>
      <c r="I3208" t="s">
        <v>2180</v>
      </c>
      <c r="J3208" t="s">
        <v>64</v>
      </c>
      <c r="K3208" t="s">
        <v>440</v>
      </c>
      <c r="M3208" t="s">
        <v>6</v>
      </c>
    </row>
    <row r="3209" spans="2:13" hidden="1">
      <c r="B3209">
        <v>3207</v>
      </c>
      <c r="C3209">
        <v>263</v>
      </c>
      <c r="D3209">
        <v>17</v>
      </c>
      <c r="E3209">
        <v>13</v>
      </c>
      <c r="F3209">
        <v>0</v>
      </c>
      <c r="G3209" t="s">
        <v>2023</v>
      </c>
      <c r="H3209" t="s">
        <v>52</v>
      </c>
      <c r="I3209" t="s">
        <v>2180</v>
      </c>
      <c r="J3209" t="s">
        <v>55</v>
      </c>
      <c r="K3209" t="s">
        <v>441</v>
      </c>
      <c r="M3209" t="s">
        <v>6</v>
      </c>
    </row>
    <row r="3210" spans="2:13" hidden="1">
      <c r="B3210">
        <v>3208</v>
      </c>
      <c r="C3210">
        <v>263</v>
      </c>
      <c r="D3210">
        <v>17</v>
      </c>
      <c r="E3210">
        <v>14</v>
      </c>
      <c r="F3210">
        <v>0</v>
      </c>
      <c r="G3210" t="s">
        <v>2023</v>
      </c>
      <c r="H3210" t="s">
        <v>52</v>
      </c>
      <c r="I3210" t="s">
        <v>2180</v>
      </c>
      <c r="J3210" t="s">
        <v>437</v>
      </c>
      <c r="K3210" t="s">
        <v>438</v>
      </c>
      <c r="L3210" t="s">
        <v>439</v>
      </c>
      <c r="M3210" t="s">
        <v>6</v>
      </c>
    </row>
    <row r="3211" spans="2:13" hidden="1">
      <c r="B3211">
        <v>3209</v>
      </c>
      <c r="C3211">
        <v>263</v>
      </c>
      <c r="D3211">
        <v>17</v>
      </c>
      <c r="E3211">
        <v>15</v>
      </c>
      <c r="F3211">
        <v>0</v>
      </c>
      <c r="G3211" t="s">
        <v>2023</v>
      </c>
      <c r="H3211" t="s">
        <v>52</v>
      </c>
      <c r="I3211" t="s">
        <v>2180</v>
      </c>
      <c r="J3211" t="s">
        <v>64</v>
      </c>
      <c r="K3211" t="s">
        <v>440</v>
      </c>
      <c r="M3211" t="s">
        <v>6</v>
      </c>
    </row>
    <row r="3212" spans="2:13" hidden="1">
      <c r="B3212">
        <v>3210</v>
      </c>
      <c r="C3212">
        <v>263</v>
      </c>
      <c r="D3212">
        <v>17</v>
      </c>
      <c r="E3212">
        <v>16</v>
      </c>
      <c r="F3212">
        <v>0</v>
      </c>
      <c r="G3212" t="s">
        <v>2023</v>
      </c>
      <c r="H3212" t="s">
        <v>52</v>
      </c>
      <c r="I3212" t="s">
        <v>2180</v>
      </c>
      <c r="J3212" t="s">
        <v>55</v>
      </c>
      <c r="K3212" t="s">
        <v>442</v>
      </c>
      <c r="M3212" t="s">
        <v>6</v>
      </c>
    </row>
    <row r="3213" spans="2:13" hidden="1">
      <c r="B3213">
        <v>3211</v>
      </c>
      <c r="C3213">
        <v>263</v>
      </c>
      <c r="D3213">
        <v>17</v>
      </c>
      <c r="E3213">
        <v>17</v>
      </c>
      <c r="F3213">
        <v>0</v>
      </c>
      <c r="G3213" t="s">
        <v>2023</v>
      </c>
      <c r="H3213" t="s">
        <v>52</v>
      </c>
      <c r="I3213" t="s">
        <v>2180</v>
      </c>
      <c r="J3213" t="s">
        <v>214</v>
      </c>
      <c r="K3213" t="s">
        <v>443</v>
      </c>
      <c r="M3213" t="s">
        <v>6</v>
      </c>
    </row>
    <row r="3214" spans="2:13" hidden="1">
      <c r="B3214">
        <v>3212</v>
      </c>
      <c r="C3214">
        <v>264</v>
      </c>
      <c r="D3214">
        <v>43</v>
      </c>
      <c r="E3214">
        <v>0</v>
      </c>
      <c r="F3214">
        <v>0</v>
      </c>
      <c r="G3214" t="s">
        <v>2023</v>
      </c>
      <c r="H3214" t="s">
        <v>52</v>
      </c>
      <c r="I3214" t="s">
        <v>2187</v>
      </c>
      <c r="J3214" t="s">
        <v>478</v>
      </c>
      <c r="K3214" t="s">
        <v>2187</v>
      </c>
      <c r="M3214" t="s">
        <v>6</v>
      </c>
    </row>
    <row r="3215" spans="2:13" hidden="1">
      <c r="B3215">
        <v>3213</v>
      </c>
      <c r="C3215">
        <v>264</v>
      </c>
      <c r="D3215">
        <v>43</v>
      </c>
      <c r="E3215">
        <v>1</v>
      </c>
      <c r="F3215">
        <v>0</v>
      </c>
      <c r="G3215" t="s">
        <v>2023</v>
      </c>
      <c r="H3215" t="s">
        <v>52</v>
      </c>
      <c r="I3215" t="s">
        <v>2187</v>
      </c>
      <c r="J3215" t="s">
        <v>479</v>
      </c>
      <c r="K3215" t="s">
        <v>2188</v>
      </c>
      <c r="M3215" t="s">
        <v>6</v>
      </c>
    </row>
    <row r="3216" spans="2:13" hidden="1">
      <c r="B3216">
        <v>3214</v>
      </c>
      <c r="C3216">
        <v>264</v>
      </c>
      <c r="D3216">
        <v>43</v>
      </c>
      <c r="E3216">
        <v>2</v>
      </c>
      <c r="F3216">
        <v>0</v>
      </c>
      <c r="G3216" t="s">
        <v>2023</v>
      </c>
      <c r="H3216" t="s">
        <v>52</v>
      </c>
      <c r="I3216" t="s">
        <v>2187</v>
      </c>
      <c r="J3216" t="s">
        <v>55</v>
      </c>
      <c r="K3216" t="s">
        <v>2025</v>
      </c>
      <c r="M3216" t="s">
        <v>6</v>
      </c>
    </row>
    <row r="3217" spans="2:13" hidden="1">
      <c r="B3217">
        <v>3215</v>
      </c>
      <c r="C3217">
        <v>264</v>
      </c>
      <c r="D3217">
        <v>43</v>
      </c>
      <c r="E3217">
        <v>3</v>
      </c>
      <c r="F3217">
        <v>0</v>
      </c>
      <c r="G3217" t="s">
        <v>2023</v>
      </c>
      <c r="H3217" t="s">
        <v>52</v>
      </c>
      <c r="I3217" t="s">
        <v>2187</v>
      </c>
      <c r="J3217" t="s">
        <v>55</v>
      </c>
      <c r="K3217" t="s">
        <v>429</v>
      </c>
      <c r="M3217" t="s">
        <v>6</v>
      </c>
    </row>
    <row r="3218" spans="2:13" hidden="1">
      <c r="B3218">
        <v>3216</v>
      </c>
      <c r="C3218">
        <v>264</v>
      </c>
      <c r="D3218">
        <v>43</v>
      </c>
      <c r="E3218">
        <v>4</v>
      </c>
      <c r="F3218">
        <v>0</v>
      </c>
      <c r="G3218" t="s">
        <v>2023</v>
      </c>
      <c r="H3218" t="s">
        <v>52</v>
      </c>
      <c r="I3218" t="s">
        <v>2187</v>
      </c>
      <c r="J3218" t="s">
        <v>55</v>
      </c>
      <c r="K3218" t="s">
        <v>430</v>
      </c>
      <c r="M3218" t="s">
        <v>6</v>
      </c>
    </row>
    <row r="3219" spans="2:13" hidden="1">
      <c r="B3219">
        <v>3217</v>
      </c>
      <c r="C3219">
        <v>264</v>
      </c>
      <c r="D3219">
        <v>43</v>
      </c>
      <c r="E3219">
        <v>5</v>
      </c>
      <c r="F3219">
        <v>0</v>
      </c>
      <c r="G3219" t="s">
        <v>2023</v>
      </c>
      <c r="H3219" t="s">
        <v>52</v>
      </c>
      <c r="I3219" t="s">
        <v>2187</v>
      </c>
      <c r="J3219" t="s">
        <v>55</v>
      </c>
      <c r="K3219" t="s">
        <v>85</v>
      </c>
      <c r="M3219" t="s">
        <v>6</v>
      </c>
    </row>
    <row r="3220" spans="2:13" hidden="1">
      <c r="B3220">
        <v>3218</v>
      </c>
      <c r="C3220">
        <v>264</v>
      </c>
      <c r="D3220">
        <v>43</v>
      </c>
      <c r="E3220">
        <v>6</v>
      </c>
      <c r="F3220">
        <v>0</v>
      </c>
      <c r="G3220" t="s">
        <v>2023</v>
      </c>
      <c r="H3220" t="s">
        <v>52</v>
      </c>
      <c r="I3220" t="s">
        <v>2187</v>
      </c>
      <c r="J3220" t="s">
        <v>55</v>
      </c>
      <c r="K3220" t="s">
        <v>86</v>
      </c>
      <c r="M3220" t="s">
        <v>6</v>
      </c>
    </row>
    <row r="3221" spans="2:13" hidden="1">
      <c r="B3221">
        <v>3219</v>
      </c>
      <c r="C3221">
        <v>264</v>
      </c>
      <c r="D3221">
        <v>43</v>
      </c>
      <c r="E3221">
        <v>7</v>
      </c>
      <c r="F3221">
        <v>0</v>
      </c>
      <c r="G3221" t="s">
        <v>2023</v>
      </c>
      <c r="H3221" t="s">
        <v>52</v>
      </c>
      <c r="I3221" t="s">
        <v>2187</v>
      </c>
      <c r="J3221" t="s">
        <v>55</v>
      </c>
      <c r="K3221" t="s">
        <v>87</v>
      </c>
      <c r="M3221" t="s">
        <v>6</v>
      </c>
    </row>
    <row r="3222" spans="2:13" hidden="1">
      <c r="B3222">
        <v>3220</v>
      </c>
      <c r="C3222">
        <v>264</v>
      </c>
      <c r="D3222">
        <v>43</v>
      </c>
      <c r="E3222">
        <v>8</v>
      </c>
      <c r="F3222">
        <v>0</v>
      </c>
      <c r="G3222" t="s">
        <v>2023</v>
      </c>
      <c r="H3222" t="s">
        <v>52</v>
      </c>
      <c r="I3222" t="s">
        <v>2187</v>
      </c>
      <c r="J3222" t="s">
        <v>55</v>
      </c>
      <c r="K3222" t="s">
        <v>88</v>
      </c>
      <c r="M3222" t="s">
        <v>6</v>
      </c>
    </row>
    <row r="3223" spans="2:13" hidden="1">
      <c r="B3223">
        <v>3221</v>
      </c>
      <c r="C3223">
        <v>264</v>
      </c>
      <c r="D3223">
        <v>43</v>
      </c>
      <c r="E3223">
        <v>9</v>
      </c>
      <c r="F3223">
        <v>0</v>
      </c>
      <c r="G3223" t="s">
        <v>2023</v>
      </c>
      <c r="H3223" t="s">
        <v>52</v>
      </c>
      <c r="I3223" t="s">
        <v>2187</v>
      </c>
      <c r="J3223" t="s">
        <v>55</v>
      </c>
      <c r="K3223" t="s">
        <v>89</v>
      </c>
      <c r="M3223" t="s">
        <v>6</v>
      </c>
    </row>
    <row r="3224" spans="2:13" hidden="1">
      <c r="B3224">
        <v>3222</v>
      </c>
      <c r="C3224">
        <v>264</v>
      </c>
      <c r="D3224">
        <v>43</v>
      </c>
      <c r="E3224">
        <v>10</v>
      </c>
      <c r="F3224">
        <v>0</v>
      </c>
      <c r="G3224" t="s">
        <v>2023</v>
      </c>
      <c r="H3224" t="s">
        <v>52</v>
      </c>
      <c r="I3224" t="s">
        <v>2187</v>
      </c>
      <c r="J3224" t="s">
        <v>55</v>
      </c>
      <c r="K3224" t="s">
        <v>90</v>
      </c>
      <c r="M3224" t="s">
        <v>6</v>
      </c>
    </row>
    <row r="3225" spans="2:13" hidden="1">
      <c r="B3225">
        <v>3223</v>
      </c>
      <c r="C3225">
        <v>264</v>
      </c>
      <c r="D3225">
        <v>43</v>
      </c>
      <c r="E3225">
        <v>11</v>
      </c>
      <c r="F3225">
        <v>0</v>
      </c>
      <c r="G3225" t="s">
        <v>2023</v>
      </c>
      <c r="H3225" t="s">
        <v>52</v>
      </c>
      <c r="I3225" t="s">
        <v>2187</v>
      </c>
      <c r="J3225" t="s">
        <v>55</v>
      </c>
      <c r="K3225" t="s">
        <v>91</v>
      </c>
      <c r="M3225" t="s">
        <v>6</v>
      </c>
    </row>
    <row r="3226" spans="2:13" hidden="1">
      <c r="B3226">
        <v>3224</v>
      </c>
      <c r="C3226">
        <v>264</v>
      </c>
      <c r="D3226">
        <v>43</v>
      </c>
      <c r="E3226">
        <v>12</v>
      </c>
      <c r="F3226">
        <v>0</v>
      </c>
      <c r="G3226" t="s">
        <v>2023</v>
      </c>
      <c r="H3226" t="s">
        <v>52</v>
      </c>
      <c r="I3226" t="s">
        <v>2187</v>
      </c>
      <c r="J3226" t="s">
        <v>55</v>
      </c>
      <c r="K3226" t="s">
        <v>92</v>
      </c>
      <c r="M3226" t="s">
        <v>6</v>
      </c>
    </row>
    <row r="3227" spans="2:13" hidden="1">
      <c r="B3227">
        <v>3225</v>
      </c>
      <c r="C3227">
        <v>264</v>
      </c>
      <c r="D3227">
        <v>43</v>
      </c>
      <c r="E3227">
        <v>13</v>
      </c>
      <c r="F3227">
        <v>0</v>
      </c>
      <c r="G3227" t="s">
        <v>2023</v>
      </c>
      <c r="H3227" t="s">
        <v>52</v>
      </c>
      <c r="I3227" t="s">
        <v>2187</v>
      </c>
      <c r="J3227" t="s">
        <v>55</v>
      </c>
      <c r="K3227" t="s">
        <v>66</v>
      </c>
      <c r="M3227" t="s">
        <v>6</v>
      </c>
    </row>
    <row r="3228" spans="2:13" hidden="1">
      <c r="B3228">
        <v>3226</v>
      </c>
      <c r="C3228">
        <v>264</v>
      </c>
      <c r="D3228">
        <v>43</v>
      </c>
      <c r="E3228">
        <v>14</v>
      </c>
      <c r="F3228">
        <v>0</v>
      </c>
      <c r="G3228" t="s">
        <v>2023</v>
      </c>
      <c r="H3228" t="s">
        <v>52</v>
      </c>
      <c r="I3228" t="s">
        <v>2187</v>
      </c>
      <c r="J3228" t="s">
        <v>55</v>
      </c>
      <c r="K3228" t="s">
        <v>436</v>
      </c>
      <c r="M3228" t="s">
        <v>6</v>
      </c>
    </row>
    <row r="3229" spans="2:13" hidden="1">
      <c r="B3229">
        <v>3227</v>
      </c>
      <c r="C3229">
        <v>264</v>
      </c>
      <c r="D3229">
        <v>43</v>
      </c>
      <c r="E3229">
        <v>15</v>
      </c>
      <c r="F3229">
        <v>0</v>
      </c>
      <c r="G3229" t="s">
        <v>2023</v>
      </c>
      <c r="H3229" t="s">
        <v>52</v>
      </c>
      <c r="I3229" t="s">
        <v>2187</v>
      </c>
      <c r="J3229" t="s">
        <v>437</v>
      </c>
      <c r="K3229" t="s">
        <v>438</v>
      </c>
      <c r="L3229" t="s">
        <v>439</v>
      </c>
      <c r="M3229" t="s">
        <v>6</v>
      </c>
    </row>
    <row r="3230" spans="2:13" hidden="1">
      <c r="B3230">
        <v>3228</v>
      </c>
      <c r="C3230">
        <v>264</v>
      </c>
      <c r="D3230">
        <v>43</v>
      </c>
      <c r="E3230">
        <v>16</v>
      </c>
      <c r="F3230">
        <v>0</v>
      </c>
      <c r="G3230" t="s">
        <v>2023</v>
      </c>
      <c r="H3230" t="s">
        <v>52</v>
      </c>
      <c r="I3230" t="s">
        <v>2187</v>
      </c>
      <c r="J3230" t="s">
        <v>64</v>
      </c>
      <c r="K3230" t="s">
        <v>440</v>
      </c>
      <c r="M3230" t="s">
        <v>6</v>
      </c>
    </row>
    <row r="3231" spans="2:13" hidden="1">
      <c r="B3231">
        <v>3229</v>
      </c>
      <c r="C3231">
        <v>264</v>
      </c>
      <c r="D3231">
        <v>43</v>
      </c>
      <c r="E3231">
        <v>17</v>
      </c>
      <c r="F3231">
        <v>0</v>
      </c>
      <c r="G3231" t="s">
        <v>2023</v>
      </c>
      <c r="H3231" t="s">
        <v>52</v>
      </c>
      <c r="I3231" t="s">
        <v>2187</v>
      </c>
      <c r="J3231" t="s">
        <v>55</v>
      </c>
      <c r="K3231" t="s">
        <v>441</v>
      </c>
      <c r="M3231" t="s">
        <v>6</v>
      </c>
    </row>
    <row r="3232" spans="2:13" hidden="1">
      <c r="B3232">
        <v>3230</v>
      </c>
      <c r="C3232">
        <v>264</v>
      </c>
      <c r="D3232">
        <v>43</v>
      </c>
      <c r="E3232">
        <v>18</v>
      </c>
      <c r="F3232">
        <v>0</v>
      </c>
      <c r="G3232" t="s">
        <v>2023</v>
      </c>
      <c r="H3232" t="s">
        <v>52</v>
      </c>
      <c r="I3232" t="s">
        <v>2187</v>
      </c>
      <c r="J3232" t="s">
        <v>437</v>
      </c>
      <c r="K3232" t="s">
        <v>438</v>
      </c>
      <c r="L3232" t="s">
        <v>439</v>
      </c>
      <c r="M3232" t="s">
        <v>6</v>
      </c>
    </row>
    <row r="3233" spans="2:13" hidden="1">
      <c r="B3233">
        <v>3231</v>
      </c>
      <c r="C3233">
        <v>264</v>
      </c>
      <c r="D3233">
        <v>43</v>
      </c>
      <c r="E3233">
        <v>19</v>
      </c>
      <c r="F3233">
        <v>0</v>
      </c>
      <c r="G3233" t="s">
        <v>2023</v>
      </c>
      <c r="H3233" t="s">
        <v>52</v>
      </c>
      <c r="I3233" t="s">
        <v>2187</v>
      </c>
      <c r="J3233" t="s">
        <v>64</v>
      </c>
      <c r="K3233" t="s">
        <v>440</v>
      </c>
      <c r="M3233" t="s">
        <v>6</v>
      </c>
    </row>
    <row r="3234" spans="2:13" hidden="1">
      <c r="B3234">
        <v>3232</v>
      </c>
      <c r="C3234">
        <v>264</v>
      </c>
      <c r="D3234">
        <v>43</v>
      </c>
      <c r="E3234">
        <v>20</v>
      </c>
      <c r="F3234">
        <v>0</v>
      </c>
      <c r="G3234" t="s">
        <v>2023</v>
      </c>
      <c r="H3234" t="s">
        <v>52</v>
      </c>
      <c r="I3234" t="s">
        <v>2187</v>
      </c>
      <c r="J3234" t="s">
        <v>55</v>
      </c>
      <c r="K3234" t="s">
        <v>442</v>
      </c>
      <c r="M3234" t="s">
        <v>6</v>
      </c>
    </row>
    <row r="3235" spans="2:13" hidden="1">
      <c r="B3235">
        <v>3233</v>
      </c>
      <c r="C3235">
        <v>264</v>
      </c>
      <c r="D3235">
        <v>43</v>
      </c>
      <c r="E3235">
        <v>21</v>
      </c>
      <c r="F3235">
        <v>0</v>
      </c>
      <c r="G3235" t="s">
        <v>2023</v>
      </c>
      <c r="H3235" t="s">
        <v>52</v>
      </c>
      <c r="I3235" t="s">
        <v>2187</v>
      </c>
      <c r="J3235" t="s">
        <v>214</v>
      </c>
      <c r="K3235" t="s">
        <v>443</v>
      </c>
      <c r="M3235" t="s">
        <v>6</v>
      </c>
    </row>
    <row r="3236" spans="2:13" hidden="1">
      <c r="B3236">
        <v>3234</v>
      </c>
      <c r="C3236">
        <v>264</v>
      </c>
      <c r="D3236">
        <v>43</v>
      </c>
      <c r="E3236">
        <v>22</v>
      </c>
      <c r="F3236">
        <v>0</v>
      </c>
      <c r="G3236" t="s">
        <v>2023</v>
      </c>
      <c r="H3236" t="s">
        <v>52</v>
      </c>
      <c r="I3236" t="s">
        <v>2187</v>
      </c>
      <c r="J3236" t="s">
        <v>479</v>
      </c>
      <c r="K3236" t="s">
        <v>2189</v>
      </c>
      <c r="M3236" t="s">
        <v>6</v>
      </c>
    </row>
    <row r="3237" spans="2:13" hidden="1">
      <c r="B3237">
        <v>3235</v>
      </c>
      <c r="C3237">
        <v>264</v>
      </c>
      <c r="D3237">
        <v>43</v>
      </c>
      <c r="E3237">
        <v>23</v>
      </c>
      <c r="F3237">
        <v>0</v>
      </c>
      <c r="G3237" t="s">
        <v>2023</v>
      </c>
      <c r="H3237" t="s">
        <v>52</v>
      </c>
      <c r="I3237" t="s">
        <v>2187</v>
      </c>
      <c r="J3237" t="s">
        <v>55</v>
      </c>
      <c r="K3237" t="s">
        <v>429</v>
      </c>
      <c r="M3237" t="s">
        <v>6</v>
      </c>
    </row>
    <row r="3238" spans="2:13" hidden="1">
      <c r="B3238">
        <v>3236</v>
      </c>
      <c r="C3238">
        <v>264</v>
      </c>
      <c r="D3238">
        <v>43</v>
      </c>
      <c r="E3238">
        <v>24</v>
      </c>
      <c r="F3238">
        <v>0</v>
      </c>
      <c r="G3238" t="s">
        <v>2023</v>
      </c>
      <c r="H3238" t="s">
        <v>52</v>
      </c>
      <c r="I3238" t="s">
        <v>2187</v>
      </c>
      <c r="J3238" t="s">
        <v>55</v>
      </c>
      <c r="K3238" t="s">
        <v>430</v>
      </c>
      <c r="M3238" t="s">
        <v>6</v>
      </c>
    </row>
    <row r="3239" spans="2:13" hidden="1">
      <c r="B3239">
        <v>3237</v>
      </c>
      <c r="C3239">
        <v>264</v>
      </c>
      <c r="D3239">
        <v>43</v>
      </c>
      <c r="E3239">
        <v>25</v>
      </c>
      <c r="F3239">
        <v>0</v>
      </c>
      <c r="G3239" t="s">
        <v>2023</v>
      </c>
      <c r="H3239" t="s">
        <v>52</v>
      </c>
      <c r="I3239" t="s">
        <v>2187</v>
      </c>
      <c r="J3239" t="s">
        <v>55</v>
      </c>
      <c r="K3239" t="s">
        <v>107</v>
      </c>
      <c r="M3239" t="s">
        <v>6</v>
      </c>
    </row>
    <row r="3240" spans="2:13" hidden="1">
      <c r="B3240">
        <v>3238</v>
      </c>
      <c r="C3240">
        <v>264</v>
      </c>
      <c r="D3240">
        <v>43</v>
      </c>
      <c r="E3240">
        <v>26</v>
      </c>
      <c r="F3240">
        <v>0</v>
      </c>
      <c r="G3240" t="s">
        <v>2023</v>
      </c>
      <c r="H3240" t="s">
        <v>52</v>
      </c>
      <c r="I3240" t="s">
        <v>2187</v>
      </c>
      <c r="J3240" t="s">
        <v>55</v>
      </c>
      <c r="K3240" t="s">
        <v>108</v>
      </c>
      <c r="M3240" t="s">
        <v>6</v>
      </c>
    </row>
    <row r="3241" spans="2:13" hidden="1">
      <c r="B3241">
        <v>3239</v>
      </c>
      <c r="C3241">
        <v>264</v>
      </c>
      <c r="D3241">
        <v>43</v>
      </c>
      <c r="E3241">
        <v>27</v>
      </c>
      <c r="F3241">
        <v>0</v>
      </c>
      <c r="G3241" t="s">
        <v>2023</v>
      </c>
      <c r="H3241" t="s">
        <v>52</v>
      </c>
      <c r="I3241" t="s">
        <v>2187</v>
      </c>
      <c r="J3241" t="s">
        <v>55</v>
      </c>
      <c r="K3241" t="s">
        <v>2190</v>
      </c>
      <c r="M3241" t="s">
        <v>6</v>
      </c>
    </row>
    <row r="3242" spans="2:13" hidden="1">
      <c r="B3242">
        <v>3240</v>
      </c>
      <c r="C3242">
        <v>264</v>
      </c>
      <c r="D3242">
        <v>43</v>
      </c>
      <c r="E3242">
        <v>28</v>
      </c>
      <c r="F3242">
        <v>0</v>
      </c>
      <c r="G3242" t="s">
        <v>2023</v>
      </c>
      <c r="H3242" t="s">
        <v>52</v>
      </c>
      <c r="I3242" t="s">
        <v>2187</v>
      </c>
      <c r="J3242" t="s">
        <v>55</v>
      </c>
      <c r="K3242" t="s">
        <v>115</v>
      </c>
      <c r="M3242" t="s">
        <v>6</v>
      </c>
    </row>
    <row r="3243" spans="2:13" hidden="1">
      <c r="B3243">
        <v>3241</v>
      </c>
      <c r="C3243">
        <v>264</v>
      </c>
      <c r="D3243">
        <v>43</v>
      </c>
      <c r="E3243">
        <v>29</v>
      </c>
      <c r="F3243">
        <v>0</v>
      </c>
      <c r="G3243" t="s">
        <v>2023</v>
      </c>
      <c r="H3243" t="s">
        <v>52</v>
      </c>
      <c r="I3243" t="s">
        <v>2187</v>
      </c>
      <c r="J3243" t="s">
        <v>55</v>
      </c>
      <c r="K3243" t="s">
        <v>116</v>
      </c>
      <c r="M3243" t="s">
        <v>6</v>
      </c>
    </row>
    <row r="3244" spans="2:13" hidden="1">
      <c r="B3244">
        <v>3242</v>
      </c>
      <c r="C3244">
        <v>264</v>
      </c>
      <c r="D3244">
        <v>43</v>
      </c>
      <c r="E3244">
        <v>30</v>
      </c>
      <c r="F3244">
        <v>0</v>
      </c>
      <c r="G3244" t="s">
        <v>2023</v>
      </c>
      <c r="H3244" t="s">
        <v>52</v>
      </c>
      <c r="I3244" t="s">
        <v>2187</v>
      </c>
      <c r="J3244" t="s">
        <v>55</v>
      </c>
      <c r="K3244" t="s">
        <v>2191</v>
      </c>
      <c r="M3244" t="s">
        <v>6</v>
      </c>
    </row>
    <row r="3245" spans="2:13" hidden="1">
      <c r="B3245">
        <v>3243</v>
      </c>
      <c r="C3245">
        <v>264</v>
      </c>
      <c r="D3245">
        <v>43</v>
      </c>
      <c r="E3245">
        <v>31</v>
      </c>
      <c r="F3245">
        <v>0</v>
      </c>
      <c r="G3245" t="s">
        <v>2023</v>
      </c>
      <c r="H3245" t="s">
        <v>52</v>
      </c>
      <c r="I3245" t="s">
        <v>2187</v>
      </c>
      <c r="J3245" t="s">
        <v>55</v>
      </c>
      <c r="K3245" t="s">
        <v>118</v>
      </c>
      <c r="M3245" t="s">
        <v>6</v>
      </c>
    </row>
    <row r="3246" spans="2:13" hidden="1">
      <c r="B3246">
        <v>3244</v>
      </c>
      <c r="C3246">
        <v>264</v>
      </c>
      <c r="D3246">
        <v>43</v>
      </c>
      <c r="E3246">
        <v>32</v>
      </c>
      <c r="F3246">
        <v>0</v>
      </c>
      <c r="G3246" t="s">
        <v>2023</v>
      </c>
      <c r="H3246" t="s">
        <v>52</v>
      </c>
      <c r="I3246" t="s">
        <v>2187</v>
      </c>
      <c r="J3246" t="s">
        <v>55</v>
      </c>
      <c r="K3246" t="s">
        <v>119</v>
      </c>
      <c r="M3246" t="s">
        <v>6</v>
      </c>
    </row>
    <row r="3247" spans="2:13" hidden="1">
      <c r="B3247">
        <v>3245</v>
      </c>
      <c r="C3247">
        <v>264</v>
      </c>
      <c r="D3247">
        <v>43</v>
      </c>
      <c r="E3247">
        <v>33</v>
      </c>
      <c r="F3247">
        <v>0</v>
      </c>
      <c r="G3247" t="s">
        <v>2023</v>
      </c>
      <c r="H3247" t="s">
        <v>52</v>
      </c>
      <c r="I3247" t="s">
        <v>2187</v>
      </c>
      <c r="J3247" t="s">
        <v>55</v>
      </c>
      <c r="K3247" t="s">
        <v>122</v>
      </c>
      <c r="M3247" t="s">
        <v>6</v>
      </c>
    </row>
    <row r="3248" spans="2:13" hidden="1">
      <c r="B3248">
        <v>3246</v>
      </c>
      <c r="C3248">
        <v>264</v>
      </c>
      <c r="D3248">
        <v>43</v>
      </c>
      <c r="E3248">
        <v>34</v>
      </c>
      <c r="F3248">
        <v>0</v>
      </c>
      <c r="G3248" t="s">
        <v>2023</v>
      </c>
      <c r="H3248" t="s">
        <v>52</v>
      </c>
      <c r="I3248" t="s">
        <v>2187</v>
      </c>
      <c r="J3248" t="s">
        <v>55</v>
      </c>
      <c r="K3248" t="s">
        <v>123</v>
      </c>
      <c r="M3248" t="s">
        <v>6</v>
      </c>
    </row>
    <row r="3249" spans="2:13" hidden="1">
      <c r="B3249">
        <v>3247</v>
      </c>
      <c r="C3249">
        <v>264</v>
      </c>
      <c r="D3249">
        <v>43</v>
      </c>
      <c r="E3249">
        <v>35</v>
      </c>
      <c r="F3249">
        <v>0</v>
      </c>
      <c r="G3249" t="s">
        <v>2023</v>
      </c>
      <c r="H3249" t="s">
        <v>52</v>
      </c>
      <c r="I3249" t="s">
        <v>2187</v>
      </c>
      <c r="J3249" t="s">
        <v>55</v>
      </c>
      <c r="K3249" t="s">
        <v>124</v>
      </c>
      <c r="M3249" t="s">
        <v>6</v>
      </c>
    </row>
    <row r="3250" spans="2:13" hidden="1">
      <c r="B3250">
        <v>3248</v>
      </c>
      <c r="C3250">
        <v>264</v>
      </c>
      <c r="D3250">
        <v>43</v>
      </c>
      <c r="E3250">
        <v>36</v>
      </c>
      <c r="F3250">
        <v>0</v>
      </c>
      <c r="G3250" t="s">
        <v>2023</v>
      </c>
      <c r="H3250" t="s">
        <v>52</v>
      </c>
      <c r="I3250" t="s">
        <v>2187</v>
      </c>
      <c r="J3250" t="s">
        <v>55</v>
      </c>
      <c r="K3250" t="s">
        <v>436</v>
      </c>
      <c r="M3250" t="s">
        <v>6</v>
      </c>
    </row>
    <row r="3251" spans="2:13" hidden="1">
      <c r="B3251">
        <v>3249</v>
      </c>
      <c r="C3251">
        <v>264</v>
      </c>
      <c r="D3251">
        <v>43</v>
      </c>
      <c r="E3251">
        <v>37</v>
      </c>
      <c r="F3251">
        <v>0</v>
      </c>
      <c r="G3251" t="s">
        <v>2023</v>
      </c>
      <c r="H3251" t="s">
        <v>52</v>
      </c>
      <c r="I3251" t="s">
        <v>2187</v>
      </c>
      <c r="J3251" t="s">
        <v>437</v>
      </c>
      <c r="K3251" t="s">
        <v>438</v>
      </c>
      <c r="L3251" t="s">
        <v>439</v>
      </c>
      <c r="M3251" t="s">
        <v>6</v>
      </c>
    </row>
    <row r="3252" spans="2:13" hidden="1">
      <c r="B3252">
        <v>3250</v>
      </c>
      <c r="C3252">
        <v>264</v>
      </c>
      <c r="D3252">
        <v>43</v>
      </c>
      <c r="E3252">
        <v>38</v>
      </c>
      <c r="F3252">
        <v>0</v>
      </c>
      <c r="G3252" t="s">
        <v>2023</v>
      </c>
      <c r="H3252" t="s">
        <v>52</v>
      </c>
      <c r="I3252" t="s">
        <v>2187</v>
      </c>
      <c r="J3252" t="s">
        <v>64</v>
      </c>
      <c r="K3252" t="s">
        <v>440</v>
      </c>
      <c r="M3252" t="s">
        <v>6</v>
      </c>
    </row>
    <row r="3253" spans="2:13" hidden="1">
      <c r="B3253">
        <v>3251</v>
      </c>
      <c r="C3253">
        <v>264</v>
      </c>
      <c r="D3253">
        <v>43</v>
      </c>
      <c r="E3253">
        <v>39</v>
      </c>
      <c r="F3253">
        <v>0</v>
      </c>
      <c r="G3253" t="s">
        <v>2023</v>
      </c>
      <c r="H3253" t="s">
        <v>52</v>
      </c>
      <c r="I3253" t="s">
        <v>2187</v>
      </c>
      <c r="J3253" t="s">
        <v>55</v>
      </c>
      <c r="K3253" t="s">
        <v>441</v>
      </c>
      <c r="M3253" t="s">
        <v>6</v>
      </c>
    </row>
    <row r="3254" spans="2:13" hidden="1">
      <c r="B3254">
        <v>3252</v>
      </c>
      <c r="C3254">
        <v>264</v>
      </c>
      <c r="D3254">
        <v>43</v>
      </c>
      <c r="E3254">
        <v>40</v>
      </c>
      <c r="F3254">
        <v>0</v>
      </c>
      <c r="G3254" t="s">
        <v>2023</v>
      </c>
      <c r="H3254" t="s">
        <v>52</v>
      </c>
      <c r="I3254" t="s">
        <v>2187</v>
      </c>
      <c r="J3254" t="s">
        <v>437</v>
      </c>
      <c r="K3254" t="s">
        <v>438</v>
      </c>
      <c r="L3254" t="s">
        <v>439</v>
      </c>
      <c r="M3254" t="s">
        <v>6</v>
      </c>
    </row>
    <row r="3255" spans="2:13" hidden="1">
      <c r="B3255">
        <v>3253</v>
      </c>
      <c r="C3255">
        <v>264</v>
      </c>
      <c r="D3255">
        <v>43</v>
      </c>
      <c r="E3255">
        <v>41</v>
      </c>
      <c r="F3255">
        <v>0</v>
      </c>
      <c r="G3255" t="s">
        <v>2023</v>
      </c>
      <c r="H3255" t="s">
        <v>52</v>
      </c>
      <c r="I3255" t="s">
        <v>2187</v>
      </c>
      <c r="J3255" t="s">
        <v>64</v>
      </c>
      <c r="K3255" t="s">
        <v>440</v>
      </c>
      <c r="M3255" t="s">
        <v>6</v>
      </c>
    </row>
    <row r="3256" spans="2:13" hidden="1">
      <c r="B3256">
        <v>3254</v>
      </c>
      <c r="C3256">
        <v>264</v>
      </c>
      <c r="D3256">
        <v>43</v>
      </c>
      <c r="E3256">
        <v>42</v>
      </c>
      <c r="F3256">
        <v>0</v>
      </c>
      <c r="G3256" t="s">
        <v>2023</v>
      </c>
      <c r="H3256" t="s">
        <v>52</v>
      </c>
      <c r="I3256" t="s">
        <v>2187</v>
      </c>
      <c r="J3256" t="s">
        <v>55</v>
      </c>
      <c r="K3256" t="s">
        <v>442</v>
      </c>
      <c r="M3256" t="s">
        <v>6</v>
      </c>
    </row>
    <row r="3257" spans="2:13" hidden="1">
      <c r="B3257">
        <v>3255</v>
      </c>
      <c r="C3257">
        <v>264</v>
      </c>
      <c r="D3257">
        <v>43</v>
      </c>
      <c r="E3257">
        <v>43</v>
      </c>
      <c r="F3257">
        <v>0</v>
      </c>
      <c r="G3257" t="s">
        <v>2023</v>
      </c>
      <c r="H3257" t="s">
        <v>52</v>
      </c>
      <c r="I3257" t="s">
        <v>2187</v>
      </c>
      <c r="J3257" t="s">
        <v>214</v>
      </c>
      <c r="K3257" t="s">
        <v>443</v>
      </c>
      <c r="M3257" t="s">
        <v>6</v>
      </c>
    </row>
    <row r="3258" spans="2:13" hidden="1">
      <c r="B3258">
        <v>3256</v>
      </c>
      <c r="C3258">
        <v>265</v>
      </c>
      <c r="D3258">
        <v>58</v>
      </c>
      <c r="E3258">
        <v>0</v>
      </c>
      <c r="F3258">
        <v>0</v>
      </c>
      <c r="G3258" t="s">
        <v>2023</v>
      </c>
      <c r="H3258" t="s">
        <v>52</v>
      </c>
      <c r="I3258" t="s">
        <v>2192</v>
      </c>
      <c r="J3258" t="s">
        <v>478</v>
      </c>
      <c r="K3258" t="s">
        <v>2192</v>
      </c>
      <c r="M3258" t="s">
        <v>6</v>
      </c>
    </row>
    <row r="3259" spans="2:13" hidden="1">
      <c r="B3259">
        <v>3257</v>
      </c>
      <c r="C3259">
        <v>265</v>
      </c>
      <c r="D3259">
        <v>58</v>
      </c>
      <c r="E3259">
        <v>1</v>
      </c>
      <c r="F3259">
        <v>0</v>
      </c>
      <c r="G3259" t="s">
        <v>2023</v>
      </c>
      <c r="H3259" t="s">
        <v>52</v>
      </c>
      <c r="I3259" t="s">
        <v>2192</v>
      </c>
      <c r="J3259" t="s">
        <v>479</v>
      </c>
      <c r="K3259" t="s">
        <v>2193</v>
      </c>
      <c r="M3259" t="s">
        <v>6</v>
      </c>
    </row>
    <row r="3260" spans="2:13" hidden="1">
      <c r="B3260">
        <v>3258</v>
      </c>
      <c r="C3260">
        <v>265</v>
      </c>
      <c r="D3260">
        <v>58</v>
      </c>
      <c r="E3260">
        <v>2</v>
      </c>
      <c r="F3260">
        <v>0</v>
      </c>
      <c r="G3260" t="s">
        <v>2023</v>
      </c>
      <c r="H3260" t="s">
        <v>52</v>
      </c>
      <c r="I3260" t="s">
        <v>2192</v>
      </c>
      <c r="J3260" t="s">
        <v>55</v>
      </c>
      <c r="K3260" t="s">
        <v>2025</v>
      </c>
      <c r="M3260" t="s">
        <v>6</v>
      </c>
    </row>
    <row r="3261" spans="2:13" hidden="1">
      <c r="B3261">
        <v>3259</v>
      </c>
      <c r="C3261">
        <v>265</v>
      </c>
      <c r="D3261">
        <v>58</v>
      </c>
      <c r="E3261">
        <v>3</v>
      </c>
      <c r="F3261">
        <v>0</v>
      </c>
      <c r="G3261" t="s">
        <v>2023</v>
      </c>
      <c r="H3261" t="s">
        <v>52</v>
      </c>
      <c r="I3261" t="s">
        <v>2192</v>
      </c>
      <c r="J3261" t="s">
        <v>55</v>
      </c>
      <c r="K3261" t="s">
        <v>429</v>
      </c>
      <c r="M3261" t="s">
        <v>6</v>
      </c>
    </row>
    <row r="3262" spans="2:13" hidden="1">
      <c r="B3262">
        <v>3260</v>
      </c>
      <c r="C3262">
        <v>265</v>
      </c>
      <c r="D3262">
        <v>58</v>
      </c>
      <c r="E3262">
        <v>4</v>
      </c>
      <c r="F3262">
        <v>0</v>
      </c>
      <c r="G3262" t="s">
        <v>2023</v>
      </c>
      <c r="H3262" t="s">
        <v>52</v>
      </c>
      <c r="I3262" t="s">
        <v>2192</v>
      </c>
      <c r="J3262" t="s">
        <v>55</v>
      </c>
      <c r="K3262" t="s">
        <v>430</v>
      </c>
      <c r="M3262" t="s">
        <v>6</v>
      </c>
    </row>
    <row r="3263" spans="2:13" hidden="1">
      <c r="B3263">
        <v>3261</v>
      </c>
      <c r="C3263">
        <v>265</v>
      </c>
      <c r="D3263">
        <v>58</v>
      </c>
      <c r="E3263">
        <v>5</v>
      </c>
      <c r="F3263">
        <v>0</v>
      </c>
      <c r="G3263" t="s">
        <v>2023</v>
      </c>
      <c r="H3263" t="s">
        <v>52</v>
      </c>
      <c r="I3263" t="s">
        <v>2192</v>
      </c>
      <c r="J3263" t="s">
        <v>55</v>
      </c>
      <c r="K3263" t="s">
        <v>2194</v>
      </c>
      <c r="M3263" t="s">
        <v>6</v>
      </c>
    </row>
    <row r="3264" spans="2:13" hidden="1">
      <c r="B3264">
        <v>3262</v>
      </c>
      <c r="C3264">
        <v>265</v>
      </c>
      <c r="D3264">
        <v>58</v>
      </c>
      <c r="E3264">
        <v>6</v>
      </c>
      <c r="F3264">
        <v>0</v>
      </c>
      <c r="G3264" t="s">
        <v>2023</v>
      </c>
      <c r="H3264" t="s">
        <v>52</v>
      </c>
      <c r="I3264" t="s">
        <v>2192</v>
      </c>
      <c r="J3264" t="s">
        <v>55</v>
      </c>
      <c r="K3264" t="s">
        <v>2195</v>
      </c>
      <c r="M3264" t="s">
        <v>6</v>
      </c>
    </row>
    <row r="3265" spans="2:13" hidden="1">
      <c r="B3265">
        <v>3263</v>
      </c>
      <c r="C3265">
        <v>265</v>
      </c>
      <c r="D3265">
        <v>58</v>
      </c>
      <c r="E3265">
        <v>7</v>
      </c>
      <c r="F3265">
        <v>0</v>
      </c>
      <c r="G3265" t="s">
        <v>2023</v>
      </c>
      <c r="H3265" t="s">
        <v>52</v>
      </c>
      <c r="I3265" t="s">
        <v>2192</v>
      </c>
      <c r="J3265" t="s">
        <v>55</v>
      </c>
      <c r="K3265" t="s">
        <v>2196</v>
      </c>
      <c r="M3265" t="s">
        <v>6</v>
      </c>
    </row>
    <row r="3266" spans="2:13" hidden="1">
      <c r="B3266">
        <v>3264</v>
      </c>
      <c r="C3266">
        <v>265</v>
      </c>
      <c r="D3266">
        <v>58</v>
      </c>
      <c r="E3266">
        <v>8</v>
      </c>
      <c r="F3266">
        <v>0</v>
      </c>
      <c r="G3266" t="s">
        <v>2023</v>
      </c>
      <c r="H3266" t="s">
        <v>52</v>
      </c>
      <c r="I3266" t="s">
        <v>2192</v>
      </c>
      <c r="J3266" t="s">
        <v>55</v>
      </c>
      <c r="K3266" t="s">
        <v>2197</v>
      </c>
      <c r="M3266" t="s">
        <v>6</v>
      </c>
    </row>
    <row r="3267" spans="2:13" hidden="1">
      <c r="B3267">
        <v>3265</v>
      </c>
      <c r="C3267">
        <v>265</v>
      </c>
      <c r="D3267">
        <v>58</v>
      </c>
      <c r="E3267">
        <v>9</v>
      </c>
      <c r="F3267">
        <v>0</v>
      </c>
      <c r="G3267" t="s">
        <v>2023</v>
      </c>
      <c r="H3267" t="s">
        <v>52</v>
      </c>
      <c r="I3267" t="s">
        <v>2192</v>
      </c>
      <c r="J3267" t="s">
        <v>55</v>
      </c>
      <c r="K3267" t="s">
        <v>2198</v>
      </c>
      <c r="M3267" t="s">
        <v>6</v>
      </c>
    </row>
    <row r="3268" spans="2:13" hidden="1">
      <c r="B3268">
        <v>3266</v>
      </c>
      <c r="C3268">
        <v>265</v>
      </c>
      <c r="D3268">
        <v>58</v>
      </c>
      <c r="E3268">
        <v>10</v>
      </c>
      <c r="F3268">
        <v>0</v>
      </c>
      <c r="G3268" t="s">
        <v>2023</v>
      </c>
      <c r="H3268" t="s">
        <v>52</v>
      </c>
      <c r="I3268" t="s">
        <v>2192</v>
      </c>
      <c r="J3268" t="s">
        <v>55</v>
      </c>
      <c r="K3268" t="s">
        <v>2199</v>
      </c>
      <c r="M3268" t="s">
        <v>6</v>
      </c>
    </row>
    <row r="3269" spans="2:13" hidden="1">
      <c r="B3269">
        <v>3267</v>
      </c>
      <c r="C3269">
        <v>265</v>
      </c>
      <c r="D3269">
        <v>58</v>
      </c>
      <c r="E3269">
        <v>11</v>
      </c>
      <c r="F3269">
        <v>0</v>
      </c>
      <c r="G3269" t="s">
        <v>2023</v>
      </c>
      <c r="H3269" t="s">
        <v>52</v>
      </c>
      <c r="I3269" t="s">
        <v>2192</v>
      </c>
      <c r="J3269" t="s">
        <v>55</v>
      </c>
      <c r="K3269" t="s">
        <v>2200</v>
      </c>
      <c r="M3269" t="s">
        <v>6</v>
      </c>
    </row>
    <row r="3270" spans="2:13" hidden="1">
      <c r="B3270">
        <v>3268</v>
      </c>
      <c r="C3270">
        <v>265</v>
      </c>
      <c r="D3270">
        <v>58</v>
      </c>
      <c r="E3270">
        <v>12</v>
      </c>
      <c r="F3270">
        <v>0</v>
      </c>
      <c r="G3270" t="s">
        <v>2023</v>
      </c>
      <c r="H3270" t="s">
        <v>52</v>
      </c>
      <c r="I3270" t="s">
        <v>2192</v>
      </c>
      <c r="J3270" t="s">
        <v>55</v>
      </c>
      <c r="K3270" t="s">
        <v>436</v>
      </c>
      <c r="M3270" t="s">
        <v>6</v>
      </c>
    </row>
    <row r="3271" spans="2:13" hidden="1">
      <c r="B3271">
        <v>3269</v>
      </c>
      <c r="C3271">
        <v>265</v>
      </c>
      <c r="D3271">
        <v>58</v>
      </c>
      <c r="E3271">
        <v>13</v>
      </c>
      <c r="F3271">
        <v>0</v>
      </c>
      <c r="G3271" t="s">
        <v>2023</v>
      </c>
      <c r="H3271" t="s">
        <v>52</v>
      </c>
      <c r="I3271" t="s">
        <v>2192</v>
      </c>
      <c r="J3271" t="s">
        <v>437</v>
      </c>
      <c r="K3271" t="s">
        <v>438</v>
      </c>
      <c r="L3271" t="s">
        <v>439</v>
      </c>
      <c r="M3271" t="s">
        <v>6</v>
      </c>
    </row>
    <row r="3272" spans="2:13" hidden="1">
      <c r="B3272">
        <v>3270</v>
      </c>
      <c r="C3272">
        <v>265</v>
      </c>
      <c r="D3272">
        <v>58</v>
      </c>
      <c r="E3272">
        <v>14</v>
      </c>
      <c r="F3272">
        <v>0</v>
      </c>
      <c r="G3272" t="s">
        <v>2023</v>
      </c>
      <c r="H3272" t="s">
        <v>52</v>
      </c>
      <c r="I3272" t="s">
        <v>2192</v>
      </c>
      <c r="J3272" t="s">
        <v>64</v>
      </c>
      <c r="K3272" t="s">
        <v>440</v>
      </c>
      <c r="M3272" t="s">
        <v>6</v>
      </c>
    </row>
    <row r="3273" spans="2:13" hidden="1">
      <c r="B3273">
        <v>3271</v>
      </c>
      <c r="C3273">
        <v>265</v>
      </c>
      <c r="D3273">
        <v>58</v>
      </c>
      <c r="E3273">
        <v>15</v>
      </c>
      <c r="F3273">
        <v>0</v>
      </c>
      <c r="G3273" t="s">
        <v>2023</v>
      </c>
      <c r="H3273" t="s">
        <v>52</v>
      </c>
      <c r="I3273" t="s">
        <v>2192</v>
      </c>
      <c r="J3273" t="s">
        <v>55</v>
      </c>
      <c r="K3273" t="s">
        <v>441</v>
      </c>
      <c r="M3273" t="s">
        <v>6</v>
      </c>
    </row>
    <row r="3274" spans="2:13" hidden="1">
      <c r="B3274">
        <v>3272</v>
      </c>
      <c r="C3274">
        <v>265</v>
      </c>
      <c r="D3274">
        <v>58</v>
      </c>
      <c r="E3274">
        <v>16</v>
      </c>
      <c r="F3274">
        <v>0</v>
      </c>
      <c r="G3274" t="s">
        <v>2023</v>
      </c>
      <c r="H3274" t="s">
        <v>52</v>
      </c>
      <c r="I3274" t="s">
        <v>2192</v>
      </c>
      <c r="J3274" t="s">
        <v>437</v>
      </c>
      <c r="K3274" t="s">
        <v>438</v>
      </c>
      <c r="L3274" t="s">
        <v>439</v>
      </c>
      <c r="M3274" t="s">
        <v>6</v>
      </c>
    </row>
    <row r="3275" spans="2:13" hidden="1">
      <c r="B3275">
        <v>3273</v>
      </c>
      <c r="C3275">
        <v>265</v>
      </c>
      <c r="D3275">
        <v>58</v>
      </c>
      <c r="E3275">
        <v>17</v>
      </c>
      <c r="F3275">
        <v>0</v>
      </c>
      <c r="G3275" t="s">
        <v>2023</v>
      </c>
      <c r="H3275" t="s">
        <v>52</v>
      </c>
      <c r="I3275" t="s">
        <v>2192</v>
      </c>
      <c r="J3275" t="s">
        <v>64</v>
      </c>
      <c r="K3275" t="s">
        <v>440</v>
      </c>
      <c r="M3275" t="s">
        <v>6</v>
      </c>
    </row>
    <row r="3276" spans="2:13" hidden="1">
      <c r="B3276">
        <v>3274</v>
      </c>
      <c r="C3276">
        <v>265</v>
      </c>
      <c r="D3276">
        <v>58</v>
      </c>
      <c r="E3276">
        <v>18</v>
      </c>
      <c r="F3276">
        <v>0</v>
      </c>
      <c r="G3276" t="s">
        <v>2023</v>
      </c>
      <c r="H3276" t="s">
        <v>52</v>
      </c>
      <c r="I3276" t="s">
        <v>2192</v>
      </c>
      <c r="J3276" t="s">
        <v>55</v>
      </c>
      <c r="K3276" t="s">
        <v>442</v>
      </c>
      <c r="M3276" t="s">
        <v>6</v>
      </c>
    </row>
    <row r="3277" spans="2:13" hidden="1">
      <c r="B3277">
        <v>3275</v>
      </c>
      <c r="C3277">
        <v>265</v>
      </c>
      <c r="D3277">
        <v>58</v>
      </c>
      <c r="E3277">
        <v>19</v>
      </c>
      <c r="F3277">
        <v>0</v>
      </c>
      <c r="G3277" t="s">
        <v>2023</v>
      </c>
      <c r="H3277" t="s">
        <v>52</v>
      </c>
      <c r="I3277" t="s">
        <v>2192</v>
      </c>
      <c r="J3277" t="s">
        <v>214</v>
      </c>
      <c r="K3277" t="s">
        <v>443</v>
      </c>
      <c r="M3277" t="s">
        <v>6</v>
      </c>
    </row>
    <row r="3278" spans="2:13" hidden="1">
      <c r="B3278">
        <v>3276</v>
      </c>
      <c r="C3278">
        <v>265</v>
      </c>
      <c r="D3278">
        <v>58</v>
      </c>
      <c r="E3278">
        <v>20</v>
      </c>
      <c r="F3278">
        <v>0</v>
      </c>
      <c r="G3278" t="s">
        <v>2023</v>
      </c>
      <c r="H3278" t="s">
        <v>52</v>
      </c>
      <c r="I3278" t="s">
        <v>2192</v>
      </c>
      <c r="J3278" t="s">
        <v>479</v>
      </c>
      <c r="K3278" t="s">
        <v>2201</v>
      </c>
      <c r="M3278" t="s">
        <v>6</v>
      </c>
    </row>
    <row r="3279" spans="2:13" hidden="1">
      <c r="B3279">
        <v>3277</v>
      </c>
      <c r="C3279">
        <v>265</v>
      </c>
      <c r="D3279">
        <v>58</v>
      </c>
      <c r="E3279">
        <v>21</v>
      </c>
      <c r="F3279">
        <v>0</v>
      </c>
      <c r="G3279" t="s">
        <v>2023</v>
      </c>
      <c r="H3279" t="s">
        <v>52</v>
      </c>
      <c r="I3279" t="s">
        <v>2192</v>
      </c>
      <c r="J3279" t="s">
        <v>55</v>
      </c>
      <c r="K3279" t="s">
        <v>2025</v>
      </c>
      <c r="M3279" t="s">
        <v>6</v>
      </c>
    </row>
    <row r="3280" spans="2:13" hidden="1">
      <c r="B3280">
        <v>3278</v>
      </c>
      <c r="C3280">
        <v>265</v>
      </c>
      <c r="D3280">
        <v>58</v>
      </c>
      <c r="E3280">
        <v>22</v>
      </c>
      <c r="F3280">
        <v>0</v>
      </c>
      <c r="G3280" t="s">
        <v>2023</v>
      </c>
      <c r="H3280" t="s">
        <v>52</v>
      </c>
      <c r="I3280" t="s">
        <v>2192</v>
      </c>
      <c r="J3280" t="s">
        <v>55</v>
      </c>
      <c r="K3280" t="s">
        <v>429</v>
      </c>
      <c r="M3280" t="s">
        <v>6</v>
      </c>
    </row>
    <row r="3281" spans="2:13" hidden="1">
      <c r="B3281">
        <v>3279</v>
      </c>
      <c r="C3281">
        <v>265</v>
      </c>
      <c r="D3281">
        <v>58</v>
      </c>
      <c r="E3281">
        <v>23</v>
      </c>
      <c r="F3281">
        <v>0</v>
      </c>
      <c r="G3281" t="s">
        <v>2023</v>
      </c>
      <c r="H3281" t="s">
        <v>52</v>
      </c>
      <c r="I3281" t="s">
        <v>2192</v>
      </c>
      <c r="J3281" t="s">
        <v>55</v>
      </c>
      <c r="K3281" t="s">
        <v>430</v>
      </c>
      <c r="M3281" t="s">
        <v>6</v>
      </c>
    </row>
    <row r="3282" spans="2:13" hidden="1">
      <c r="B3282">
        <v>3280</v>
      </c>
      <c r="C3282">
        <v>265</v>
      </c>
      <c r="D3282">
        <v>58</v>
      </c>
      <c r="E3282">
        <v>24</v>
      </c>
      <c r="F3282">
        <v>0</v>
      </c>
      <c r="G3282" t="s">
        <v>2023</v>
      </c>
      <c r="H3282" t="s">
        <v>52</v>
      </c>
      <c r="I3282" t="s">
        <v>2192</v>
      </c>
      <c r="J3282" t="s">
        <v>55</v>
      </c>
      <c r="K3282" t="s">
        <v>2194</v>
      </c>
      <c r="M3282" t="s">
        <v>6</v>
      </c>
    </row>
    <row r="3283" spans="2:13" hidden="1">
      <c r="B3283">
        <v>3281</v>
      </c>
      <c r="C3283">
        <v>265</v>
      </c>
      <c r="D3283">
        <v>58</v>
      </c>
      <c r="E3283">
        <v>25</v>
      </c>
      <c r="F3283">
        <v>0</v>
      </c>
      <c r="G3283" t="s">
        <v>2023</v>
      </c>
      <c r="H3283" t="s">
        <v>52</v>
      </c>
      <c r="I3283" t="s">
        <v>2192</v>
      </c>
      <c r="J3283" t="s">
        <v>55</v>
      </c>
      <c r="K3283" t="s">
        <v>2195</v>
      </c>
      <c r="M3283" t="s">
        <v>6</v>
      </c>
    </row>
    <row r="3284" spans="2:13" hidden="1">
      <c r="B3284">
        <v>3282</v>
      </c>
      <c r="C3284">
        <v>265</v>
      </c>
      <c r="D3284">
        <v>58</v>
      </c>
      <c r="E3284">
        <v>26</v>
      </c>
      <c r="F3284">
        <v>0</v>
      </c>
      <c r="G3284" t="s">
        <v>2023</v>
      </c>
      <c r="H3284" t="s">
        <v>52</v>
      </c>
      <c r="I3284" t="s">
        <v>2192</v>
      </c>
      <c r="J3284" t="s">
        <v>55</v>
      </c>
      <c r="K3284" t="s">
        <v>2196</v>
      </c>
      <c r="M3284" t="s">
        <v>6</v>
      </c>
    </row>
    <row r="3285" spans="2:13" hidden="1">
      <c r="B3285">
        <v>3283</v>
      </c>
      <c r="C3285">
        <v>265</v>
      </c>
      <c r="D3285">
        <v>58</v>
      </c>
      <c r="E3285">
        <v>27</v>
      </c>
      <c r="F3285">
        <v>0</v>
      </c>
      <c r="G3285" t="s">
        <v>2023</v>
      </c>
      <c r="H3285" t="s">
        <v>52</v>
      </c>
      <c r="I3285" t="s">
        <v>2192</v>
      </c>
      <c r="J3285" t="s">
        <v>55</v>
      </c>
      <c r="K3285" t="s">
        <v>2197</v>
      </c>
      <c r="M3285" t="s">
        <v>6</v>
      </c>
    </row>
    <row r="3286" spans="2:13" hidden="1">
      <c r="B3286">
        <v>3284</v>
      </c>
      <c r="C3286">
        <v>265</v>
      </c>
      <c r="D3286">
        <v>58</v>
      </c>
      <c r="E3286">
        <v>28</v>
      </c>
      <c r="F3286">
        <v>0</v>
      </c>
      <c r="G3286" t="s">
        <v>2023</v>
      </c>
      <c r="H3286" t="s">
        <v>52</v>
      </c>
      <c r="I3286" t="s">
        <v>2192</v>
      </c>
      <c r="J3286" t="s">
        <v>55</v>
      </c>
      <c r="K3286" t="s">
        <v>2198</v>
      </c>
      <c r="M3286" t="s">
        <v>6</v>
      </c>
    </row>
    <row r="3287" spans="2:13" hidden="1">
      <c r="B3287">
        <v>3285</v>
      </c>
      <c r="C3287">
        <v>265</v>
      </c>
      <c r="D3287">
        <v>58</v>
      </c>
      <c r="E3287">
        <v>29</v>
      </c>
      <c r="F3287">
        <v>0</v>
      </c>
      <c r="G3287" t="s">
        <v>2023</v>
      </c>
      <c r="H3287" t="s">
        <v>52</v>
      </c>
      <c r="I3287" t="s">
        <v>2192</v>
      </c>
      <c r="J3287" t="s">
        <v>55</v>
      </c>
      <c r="K3287" t="s">
        <v>2199</v>
      </c>
      <c r="M3287" t="s">
        <v>6</v>
      </c>
    </row>
    <row r="3288" spans="2:13" hidden="1">
      <c r="B3288">
        <v>3286</v>
      </c>
      <c r="C3288">
        <v>265</v>
      </c>
      <c r="D3288">
        <v>58</v>
      </c>
      <c r="E3288">
        <v>30</v>
      </c>
      <c r="F3288">
        <v>0</v>
      </c>
      <c r="G3288" t="s">
        <v>2023</v>
      </c>
      <c r="H3288" t="s">
        <v>52</v>
      </c>
      <c r="I3288" t="s">
        <v>2192</v>
      </c>
      <c r="J3288" t="s">
        <v>55</v>
      </c>
      <c r="K3288" t="s">
        <v>2200</v>
      </c>
      <c r="M3288" t="s">
        <v>6</v>
      </c>
    </row>
    <row r="3289" spans="2:13" hidden="1">
      <c r="B3289">
        <v>3287</v>
      </c>
      <c r="C3289">
        <v>265</v>
      </c>
      <c r="D3289">
        <v>58</v>
      </c>
      <c r="E3289">
        <v>31</v>
      </c>
      <c r="F3289">
        <v>0</v>
      </c>
      <c r="G3289" t="s">
        <v>2023</v>
      </c>
      <c r="H3289" t="s">
        <v>52</v>
      </c>
      <c r="I3289" t="s">
        <v>2192</v>
      </c>
      <c r="J3289" t="s">
        <v>55</v>
      </c>
      <c r="K3289" t="s">
        <v>436</v>
      </c>
      <c r="M3289" t="s">
        <v>6</v>
      </c>
    </row>
    <row r="3290" spans="2:13" hidden="1">
      <c r="B3290">
        <v>3288</v>
      </c>
      <c r="C3290">
        <v>265</v>
      </c>
      <c r="D3290">
        <v>58</v>
      </c>
      <c r="E3290">
        <v>32</v>
      </c>
      <c r="F3290">
        <v>0</v>
      </c>
      <c r="G3290" t="s">
        <v>2023</v>
      </c>
      <c r="H3290" t="s">
        <v>52</v>
      </c>
      <c r="I3290" t="s">
        <v>2192</v>
      </c>
      <c r="J3290" t="s">
        <v>437</v>
      </c>
      <c r="K3290" t="s">
        <v>438</v>
      </c>
      <c r="L3290" t="s">
        <v>439</v>
      </c>
      <c r="M3290" t="s">
        <v>6</v>
      </c>
    </row>
    <row r="3291" spans="2:13" hidden="1">
      <c r="B3291">
        <v>3289</v>
      </c>
      <c r="C3291">
        <v>265</v>
      </c>
      <c r="D3291">
        <v>58</v>
      </c>
      <c r="E3291">
        <v>33</v>
      </c>
      <c r="F3291">
        <v>0</v>
      </c>
      <c r="G3291" t="s">
        <v>2023</v>
      </c>
      <c r="H3291" t="s">
        <v>52</v>
      </c>
      <c r="I3291" t="s">
        <v>2192</v>
      </c>
      <c r="J3291" t="s">
        <v>64</v>
      </c>
      <c r="K3291" t="s">
        <v>440</v>
      </c>
      <c r="M3291" t="s">
        <v>6</v>
      </c>
    </row>
    <row r="3292" spans="2:13" hidden="1">
      <c r="B3292">
        <v>3290</v>
      </c>
      <c r="C3292">
        <v>265</v>
      </c>
      <c r="D3292">
        <v>58</v>
      </c>
      <c r="E3292">
        <v>34</v>
      </c>
      <c r="F3292">
        <v>0</v>
      </c>
      <c r="G3292" t="s">
        <v>2023</v>
      </c>
      <c r="H3292" t="s">
        <v>52</v>
      </c>
      <c r="I3292" t="s">
        <v>2192</v>
      </c>
      <c r="J3292" t="s">
        <v>55</v>
      </c>
      <c r="K3292" t="s">
        <v>441</v>
      </c>
      <c r="M3292" t="s">
        <v>6</v>
      </c>
    </row>
    <row r="3293" spans="2:13" hidden="1">
      <c r="B3293">
        <v>3291</v>
      </c>
      <c r="C3293">
        <v>265</v>
      </c>
      <c r="D3293">
        <v>58</v>
      </c>
      <c r="E3293">
        <v>35</v>
      </c>
      <c r="F3293">
        <v>0</v>
      </c>
      <c r="G3293" t="s">
        <v>2023</v>
      </c>
      <c r="H3293" t="s">
        <v>52</v>
      </c>
      <c r="I3293" t="s">
        <v>2192</v>
      </c>
      <c r="J3293" t="s">
        <v>437</v>
      </c>
      <c r="K3293" t="s">
        <v>438</v>
      </c>
      <c r="L3293" t="s">
        <v>439</v>
      </c>
      <c r="M3293" t="s">
        <v>6</v>
      </c>
    </row>
    <row r="3294" spans="2:13" hidden="1">
      <c r="B3294">
        <v>3292</v>
      </c>
      <c r="C3294">
        <v>265</v>
      </c>
      <c r="D3294">
        <v>58</v>
      </c>
      <c r="E3294">
        <v>36</v>
      </c>
      <c r="F3294">
        <v>0</v>
      </c>
      <c r="G3294" t="s">
        <v>2023</v>
      </c>
      <c r="H3294" t="s">
        <v>52</v>
      </c>
      <c r="I3294" t="s">
        <v>2192</v>
      </c>
      <c r="J3294" t="s">
        <v>64</v>
      </c>
      <c r="K3294" t="s">
        <v>440</v>
      </c>
      <c r="M3294" t="s">
        <v>6</v>
      </c>
    </row>
    <row r="3295" spans="2:13" hidden="1">
      <c r="B3295">
        <v>3293</v>
      </c>
      <c r="C3295">
        <v>265</v>
      </c>
      <c r="D3295">
        <v>58</v>
      </c>
      <c r="E3295">
        <v>37</v>
      </c>
      <c r="F3295">
        <v>0</v>
      </c>
      <c r="G3295" t="s">
        <v>2023</v>
      </c>
      <c r="H3295" t="s">
        <v>52</v>
      </c>
      <c r="I3295" t="s">
        <v>2192</v>
      </c>
      <c r="J3295" t="s">
        <v>55</v>
      </c>
      <c r="K3295" t="s">
        <v>442</v>
      </c>
      <c r="M3295" t="s">
        <v>6</v>
      </c>
    </row>
    <row r="3296" spans="2:13" hidden="1">
      <c r="B3296">
        <v>3294</v>
      </c>
      <c r="C3296">
        <v>265</v>
      </c>
      <c r="D3296">
        <v>58</v>
      </c>
      <c r="E3296">
        <v>38</v>
      </c>
      <c r="F3296">
        <v>0</v>
      </c>
      <c r="G3296" t="s">
        <v>2023</v>
      </c>
      <c r="H3296" t="s">
        <v>52</v>
      </c>
      <c r="I3296" t="s">
        <v>2192</v>
      </c>
      <c r="J3296" t="s">
        <v>214</v>
      </c>
      <c r="K3296" t="s">
        <v>443</v>
      </c>
      <c r="M3296" t="s">
        <v>6</v>
      </c>
    </row>
    <row r="3297" spans="2:13" hidden="1">
      <c r="B3297">
        <v>3295</v>
      </c>
      <c r="C3297">
        <v>265</v>
      </c>
      <c r="D3297">
        <v>58</v>
      </c>
      <c r="E3297">
        <v>39</v>
      </c>
      <c r="F3297">
        <v>0</v>
      </c>
      <c r="G3297" t="s">
        <v>2023</v>
      </c>
      <c r="H3297" t="s">
        <v>52</v>
      </c>
      <c r="I3297" t="s">
        <v>2192</v>
      </c>
      <c r="J3297" t="s">
        <v>479</v>
      </c>
      <c r="K3297" t="s">
        <v>2202</v>
      </c>
      <c r="M3297" t="s">
        <v>6</v>
      </c>
    </row>
    <row r="3298" spans="2:13" hidden="1">
      <c r="B3298">
        <v>3296</v>
      </c>
      <c r="C3298">
        <v>265</v>
      </c>
      <c r="D3298">
        <v>58</v>
      </c>
      <c r="E3298">
        <v>40</v>
      </c>
      <c r="F3298">
        <v>0</v>
      </c>
      <c r="G3298" t="s">
        <v>2023</v>
      </c>
      <c r="H3298" t="s">
        <v>52</v>
      </c>
      <c r="I3298" t="s">
        <v>2192</v>
      </c>
      <c r="J3298" t="s">
        <v>55</v>
      </c>
      <c r="K3298" t="s">
        <v>2025</v>
      </c>
      <c r="M3298" t="s">
        <v>6</v>
      </c>
    </row>
    <row r="3299" spans="2:13" hidden="1">
      <c r="B3299">
        <v>3297</v>
      </c>
      <c r="C3299">
        <v>265</v>
      </c>
      <c r="D3299">
        <v>58</v>
      </c>
      <c r="E3299">
        <v>41</v>
      </c>
      <c r="F3299">
        <v>0</v>
      </c>
      <c r="G3299" t="s">
        <v>2023</v>
      </c>
      <c r="H3299" t="s">
        <v>52</v>
      </c>
      <c r="I3299" t="s">
        <v>2192</v>
      </c>
      <c r="J3299" t="s">
        <v>55</v>
      </c>
      <c r="K3299" t="s">
        <v>429</v>
      </c>
      <c r="M3299" t="s">
        <v>6</v>
      </c>
    </row>
    <row r="3300" spans="2:13" hidden="1">
      <c r="B3300">
        <v>3298</v>
      </c>
      <c r="C3300">
        <v>265</v>
      </c>
      <c r="D3300">
        <v>58</v>
      </c>
      <c r="E3300">
        <v>42</v>
      </c>
      <c r="F3300">
        <v>0</v>
      </c>
      <c r="G3300" t="s">
        <v>2023</v>
      </c>
      <c r="H3300" t="s">
        <v>52</v>
      </c>
      <c r="I3300" t="s">
        <v>2192</v>
      </c>
      <c r="J3300" t="s">
        <v>55</v>
      </c>
      <c r="K3300" t="s">
        <v>430</v>
      </c>
      <c r="M3300" t="s">
        <v>6</v>
      </c>
    </row>
    <row r="3301" spans="2:13" hidden="1">
      <c r="B3301">
        <v>3299</v>
      </c>
      <c r="C3301">
        <v>265</v>
      </c>
      <c r="D3301">
        <v>58</v>
      </c>
      <c r="E3301">
        <v>43</v>
      </c>
      <c r="F3301">
        <v>0</v>
      </c>
      <c r="G3301" t="s">
        <v>2023</v>
      </c>
      <c r="H3301" t="s">
        <v>52</v>
      </c>
      <c r="I3301" t="s">
        <v>2192</v>
      </c>
      <c r="J3301" t="s">
        <v>55</v>
      </c>
      <c r="K3301" t="s">
        <v>2194</v>
      </c>
      <c r="M3301" t="s">
        <v>6</v>
      </c>
    </row>
    <row r="3302" spans="2:13" hidden="1">
      <c r="B3302">
        <v>3300</v>
      </c>
      <c r="C3302">
        <v>265</v>
      </c>
      <c r="D3302">
        <v>58</v>
      </c>
      <c r="E3302">
        <v>44</v>
      </c>
      <c r="F3302">
        <v>0</v>
      </c>
      <c r="G3302" t="s">
        <v>2023</v>
      </c>
      <c r="H3302" t="s">
        <v>52</v>
      </c>
      <c r="I3302" t="s">
        <v>2192</v>
      </c>
      <c r="J3302" t="s">
        <v>55</v>
      </c>
      <c r="K3302" t="s">
        <v>2195</v>
      </c>
      <c r="M3302" t="s">
        <v>6</v>
      </c>
    </row>
    <row r="3303" spans="2:13" hidden="1">
      <c r="B3303">
        <v>3301</v>
      </c>
      <c r="C3303">
        <v>265</v>
      </c>
      <c r="D3303">
        <v>58</v>
      </c>
      <c r="E3303">
        <v>45</v>
      </c>
      <c r="F3303">
        <v>0</v>
      </c>
      <c r="G3303" t="s">
        <v>2023</v>
      </c>
      <c r="H3303" t="s">
        <v>52</v>
      </c>
      <c r="I3303" t="s">
        <v>2192</v>
      </c>
      <c r="J3303" t="s">
        <v>55</v>
      </c>
      <c r="K3303" t="s">
        <v>2196</v>
      </c>
      <c r="M3303" t="s">
        <v>6</v>
      </c>
    </row>
    <row r="3304" spans="2:13" hidden="1">
      <c r="B3304">
        <v>3302</v>
      </c>
      <c r="C3304">
        <v>265</v>
      </c>
      <c r="D3304">
        <v>58</v>
      </c>
      <c r="E3304">
        <v>46</v>
      </c>
      <c r="F3304">
        <v>0</v>
      </c>
      <c r="G3304" t="s">
        <v>2023</v>
      </c>
      <c r="H3304" t="s">
        <v>52</v>
      </c>
      <c r="I3304" t="s">
        <v>2192</v>
      </c>
      <c r="J3304" t="s">
        <v>55</v>
      </c>
      <c r="K3304" t="s">
        <v>2197</v>
      </c>
      <c r="M3304" t="s">
        <v>6</v>
      </c>
    </row>
    <row r="3305" spans="2:13" hidden="1">
      <c r="B3305">
        <v>3303</v>
      </c>
      <c r="C3305">
        <v>265</v>
      </c>
      <c r="D3305">
        <v>58</v>
      </c>
      <c r="E3305">
        <v>47</v>
      </c>
      <c r="F3305">
        <v>0</v>
      </c>
      <c r="G3305" t="s">
        <v>2023</v>
      </c>
      <c r="H3305" t="s">
        <v>52</v>
      </c>
      <c r="I3305" t="s">
        <v>2192</v>
      </c>
      <c r="J3305" t="s">
        <v>55</v>
      </c>
      <c r="K3305" t="s">
        <v>2198</v>
      </c>
      <c r="M3305" t="s">
        <v>6</v>
      </c>
    </row>
    <row r="3306" spans="2:13" hidden="1">
      <c r="B3306">
        <v>3304</v>
      </c>
      <c r="C3306">
        <v>265</v>
      </c>
      <c r="D3306">
        <v>58</v>
      </c>
      <c r="E3306">
        <v>48</v>
      </c>
      <c r="F3306">
        <v>0</v>
      </c>
      <c r="G3306" t="s">
        <v>2023</v>
      </c>
      <c r="H3306" t="s">
        <v>52</v>
      </c>
      <c r="I3306" t="s">
        <v>2192</v>
      </c>
      <c r="J3306" t="s">
        <v>55</v>
      </c>
      <c r="K3306" t="s">
        <v>2199</v>
      </c>
      <c r="M3306" t="s">
        <v>6</v>
      </c>
    </row>
    <row r="3307" spans="2:13" hidden="1">
      <c r="B3307">
        <v>3305</v>
      </c>
      <c r="C3307">
        <v>265</v>
      </c>
      <c r="D3307">
        <v>58</v>
      </c>
      <c r="E3307">
        <v>49</v>
      </c>
      <c r="F3307">
        <v>0</v>
      </c>
      <c r="G3307" t="s">
        <v>2023</v>
      </c>
      <c r="H3307" t="s">
        <v>52</v>
      </c>
      <c r="I3307" t="s">
        <v>2192</v>
      </c>
      <c r="J3307" t="s">
        <v>55</v>
      </c>
      <c r="K3307" t="s">
        <v>2200</v>
      </c>
      <c r="M3307" t="s">
        <v>6</v>
      </c>
    </row>
    <row r="3308" spans="2:13" hidden="1">
      <c r="B3308">
        <v>3306</v>
      </c>
      <c r="C3308">
        <v>265</v>
      </c>
      <c r="D3308">
        <v>58</v>
      </c>
      <c r="E3308">
        <v>50</v>
      </c>
      <c r="F3308">
        <v>0</v>
      </c>
      <c r="G3308" t="s">
        <v>2023</v>
      </c>
      <c r="H3308" t="s">
        <v>52</v>
      </c>
      <c r="I3308" t="s">
        <v>2192</v>
      </c>
      <c r="J3308" t="s">
        <v>55</v>
      </c>
      <c r="K3308" t="s">
        <v>2203</v>
      </c>
      <c r="M3308" t="s">
        <v>6</v>
      </c>
    </row>
    <row r="3309" spans="2:13" hidden="1">
      <c r="B3309">
        <v>3307</v>
      </c>
      <c r="C3309">
        <v>265</v>
      </c>
      <c r="D3309">
        <v>58</v>
      </c>
      <c r="E3309">
        <v>51</v>
      </c>
      <c r="F3309">
        <v>0</v>
      </c>
      <c r="G3309" t="s">
        <v>2023</v>
      </c>
      <c r="H3309" t="s">
        <v>52</v>
      </c>
      <c r="I3309" t="s">
        <v>2192</v>
      </c>
      <c r="J3309" t="s">
        <v>55</v>
      </c>
      <c r="K3309" t="s">
        <v>436</v>
      </c>
      <c r="M3309" t="s">
        <v>6</v>
      </c>
    </row>
    <row r="3310" spans="2:13" hidden="1">
      <c r="B3310">
        <v>3308</v>
      </c>
      <c r="C3310">
        <v>265</v>
      </c>
      <c r="D3310">
        <v>58</v>
      </c>
      <c r="E3310">
        <v>52</v>
      </c>
      <c r="F3310">
        <v>0</v>
      </c>
      <c r="G3310" t="s">
        <v>2023</v>
      </c>
      <c r="H3310" t="s">
        <v>52</v>
      </c>
      <c r="I3310" t="s">
        <v>2192</v>
      </c>
      <c r="J3310" t="s">
        <v>437</v>
      </c>
      <c r="K3310" t="s">
        <v>438</v>
      </c>
      <c r="L3310" t="s">
        <v>439</v>
      </c>
      <c r="M3310" t="s">
        <v>6</v>
      </c>
    </row>
    <row r="3311" spans="2:13" hidden="1">
      <c r="B3311">
        <v>3309</v>
      </c>
      <c r="C3311">
        <v>265</v>
      </c>
      <c r="D3311">
        <v>58</v>
      </c>
      <c r="E3311">
        <v>53</v>
      </c>
      <c r="F3311">
        <v>0</v>
      </c>
      <c r="G3311" t="s">
        <v>2023</v>
      </c>
      <c r="H3311" t="s">
        <v>52</v>
      </c>
      <c r="I3311" t="s">
        <v>2192</v>
      </c>
      <c r="J3311" t="s">
        <v>64</v>
      </c>
      <c r="K3311" t="s">
        <v>440</v>
      </c>
      <c r="M3311" t="s">
        <v>6</v>
      </c>
    </row>
    <row r="3312" spans="2:13" hidden="1">
      <c r="B3312">
        <v>3310</v>
      </c>
      <c r="C3312">
        <v>265</v>
      </c>
      <c r="D3312">
        <v>58</v>
      </c>
      <c r="E3312">
        <v>54</v>
      </c>
      <c r="F3312">
        <v>0</v>
      </c>
      <c r="G3312" t="s">
        <v>2023</v>
      </c>
      <c r="H3312" t="s">
        <v>52</v>
      </c>
      <c r="I3312" t="s">
        <v>2192</v>
      </c>
      <c r="J3312" t="s">
        <v>55</v>
      </c>
      <c r="K3312" t="s">
        <v>441</v>
      </c>
      <c r="M3312" t="s">
        <v>6</v>
      </c>
    </row>
    <row r="3313" spans="2:13" hidden="1">
      <c r="B3313">
        <v>3311</v>
      </c>
      <c r="C3313">
        <v>265</v>
      </c>
      <c r="D3313">
        <v>58</v>
      </c>
      <c r="E3313">
        <v>55</v>
      </c>
      <c r="F3313">
        <v>0</v>
      </c>
      <c r="G3313" t="s">
        <v>2023</v>
      </c>
      <c r="H3313" t="s">
        <v>52</v>
      </c>
      <c r="I3313" t="s">
        <v>2192</v>
      </c>
      <c r="J3313" t="s">
        <v>437</v>
      </c>
      <c r="K3313" t="s">
        <v>438</v>
      </c>
      <c r="L3313" t="s">
        <v>439</v>
      </c>
      <c r="M3313" t="s">
        <v>6</v>
      </c>
    </row>
    <row r="3314" spans="2:13" hidden="1">
      <c r="B3314">
        <v>3312</v>
      </c>
      <c r="C3314">
        <v>265</v>
      </c>
      <c r="D3314">
        <v>58</v>
      </c>
      <c r="E3314">
        <v>56</v>
      </c>
      <c r="F3314">
        <v>0</v>
      </c>
      <c r="G3314" t="s">
        <v>2023</v>
      </c>
      <c r="H3314" t="s">
        <v>52</v>
      </c>
      <c r="I3314" t="s">
        <v>2192</v>
      </c>
      <c r="J3314" t="s">
        <v>64</v>
      </c>
      <c r="K3314" t="s">
        <v>440</v>
      </c>
      <c r="M3314" t="s">
        <v>6</v>
      </c>
    </row>
    <row r="3315" spans="2:13" hidden="1">
      <c r="B3315">
        <v>3313</v>
      </c>
      <c r="C3315">
        <v>265</v>
      </c>
      <c r="D3315">
        <v>58</v>
      </c>
      <c r="E3315">
        <v>57</v>
      </c>
      <c r="F3315">
        <v>0</v>
      </c>
      <c r="G3315" t="s">
        <v>2023</v>
      </c>
      <c r="H3315" t="s">
        <v>52</v>
      </c>
      <c r="I3315" t="s">
        <v>2192</v>
      </c>
      <c r="J3315" t="s">
        <v>55</v>
      </c>
      <c r="K3315" t="s">
        <v>442</v>
      </c>
      <c r="M3315" t="s">
        <v>6</v>
      </c>
    </row>
    <row r="3316" spans="2:13" hidden="1">
      <c r="B3316">
        <v>3314</v>
      </c>
      <c r="C3316">
        <v>265</v>
      </c>
      <c r="D3316">
        <v>58</v>
      </c>
      <c r="E3316">
        <v>58</v>
      </c>
      <c r="F3316">
        <v>0</v>
      </c>
      <c r="G3316" t="s">
        <v>2023</v>
      </c>
      <c r="H3316" t="s">
        <v>52</v>
      </c>
      <c r="I3316" t="s">
        <v>2192</v>
      </c>
      <c r="J3316" t="s">
        <v>214</v>
      </c>
      <c r="K3316" t="s">
        <v>443</v>
      </c>
      <c r="M3316" t="s">
        <v>6</v>
      </c>
    </row>
    <row r="3317" spans="2:13" hidden="1">
      <c r="B3317">
        <v>3315</v>
      </c>
      <c r="C3317">
        <v>266</v>
      </c>
      <c r="D3317">
        <v>34</v>
      </c>
      <c r="E3317">
        <v>0</v>
      </c>
      <c r="F3317">
        <v>0</v>
      </c>
      <c r="G3317" t="s">
        <v>2023</v>
      </c>
      <c r="H3317" t="s">
        <v>52</v>
      </c>
      <c r="I3317" t="s">
        <v>2204</v>
      </c>
      <c r="J3317" t="s">
        <v>478</v>
      </c>
      <c r="K3317" t="s">
        <v>2204</v>
      </c>
      <c r="M3317" t="s">
        <v>6</v>
      </c>
    </row>
    <row r="3318" spans="2:13" hidden="1">
      <c r="B3318">
        <v>3316</v>
      </c>
      <c r="C3318">
        <v>266</v>
      </c>
      <c r="D3318">
        <v>34</v>
      </c>
      <c r="E3318">
        <v>1</v>
      </c>
      <c r="F3318">
        <v>0</v>
      </c>
      <c r="G3318" t="s">
        <v>2023</v>
      </c>
      <c r="H3318" t="s">
        <v>52</v>
      </c>
      <c r="I3318" t="s">
        <v>2204</v>
      </c>
      <c r="J3318" t="s">
        <v>479</v>
      </c>
      <c r="K3318" t="s">
        <v>2205</v>
      </c>
      <c r="M3318" t="s">
        <v>6</v>
      </c>
    </row>
    <row r="3319" spans="2:13" hidden="1">
      <c r="B3319">
        <v>3317</v>
      </c>
      <c r="C3319">
        <v>266</v>
      </c>
      <c r="D3319">
        <v>34</v>
      </c>
      <c r="E3319">
        <v>2</v>
      </c>
      <c r="F3319">
        <v>0</v>
      </c>
      <c r="G3319" t="s">
        <v>2023</v>
      </c>
      <c r="H3319" t="s">
        <v>52</v>
      </c>
      <c r="I3319" t="s">
        <v>2204</v>
      </c>
      <c r="J3319" t="s">
        <v>55</v>
      </c>
      <c r="K3319" t="s">
        <v>2025</v>
      </c>
      <c r="M3319" t="s">
        <v>6</v>
      </c>
    </row>
    <row r="3320" spans="2:13" hidden="1">
      <c r="B3320">
        <v>3318</v>
      </c>
      <c r="C3320">
        <v>266</v>
      </c>
      <c r="D3320">
        <v>34</v>
      </c>
      <c r="E3320">
        <v>3</v>
      </c>
      <c r="F3320">
        <v>0</v>
      </c>
      <c r="G3320" t="s">
        <v>2023</v>
      </c>
      <c r="H3320" t="s">
        <v>52</v>
      </c>
      <c r="I3320" t="s">
        <v>2204</v>
      </c>
      <c r="J3320" t="s">
        <v>55</v>
      </c>
      <c r="K3320" t="s">
        <v>429</v>
      </c>
      <c r="M3320" t="s">
        <v>6</v>
      </c>
    </row>
    <row r="3321" spans="2:13" hidden="1">
      <c r="B3321">
        <v>3319</v>
      </c>
      <c r="C3321">
        <v>266</v>
      </c>
      <c r="D3321">
        <v>34</v>
      </c>
      <c r="E3321">
        <v>4</v>
      </c>
      <c r="F3321">
        <v>0</v>
      </c>
      <c r="G3321" t="s">
        <v>2023</v>
      </c>
      <c r="H3321" t="s">
        <v>52</v>
      </c>
      <c r="I3321" t="s">
        <v>2204</v>
      </c>
      <c r="J3321" t="s">
        <v>55</v>
      </c>
      <c r="K3321" t="s">
        <v>430</v>
      </c>
      <c r="M3321" t="s">
        <v>6</v>
      </c>
    </row>
    <row r="3322" spans="2:13" hidden="1">
      <c r="B3322">
        <v>3320</v>
      </c>
      <c r="C3322">
        <v>266</v>
      </c>
      <c r="D3322">
        <v>34</v>
      </c>
      <c r="E3322">
        <v>5</v>
      </c>
      <c r="F3322">
        <v>0</v>
      </c>
      <c r="G3322" t="s">
        <v>2023</v>
      </c>
      <c r="H3322" t="s">
        <v>52</v>
      </c>
      <c r="I3322" t="s">
        <v>2204</v>
      </c>
      <c r="J3322" t="s">
        <v>55</v>
      </c>
      <c r="K3322" t="s">
        <v>2195</v>
      </c>
      <c r="M3322" t="s">
        <v>6</v>
      </c>
    </row>
    <row r="3323" spans="2:13" hidden="1">
      <c r="B3323">
        <v>3321</v>
      </c>
      <c r="C3323">
        <v>266</v>
      </c>
      <c r="D3323">
        <v>34</v>
      </c>
      <c r="E3323">
        <v>6</v>
      </c>
      <c r="F3323">
        <v>0</v>
      </c>
      <c r="G3323" t="s">
        <v>2023</v>
      </c>
      <c r="H3323" t="s">
        <v>52</v>
      </c>
      <c r="I3323" t="s">
        <v>2204</v>
      </c>
      <c r="J3323" t="s">
        <v>55</v>
      </c>
      <c r="K3323" t="s">
        <v>2197</v>
      </c>
      <c r="M3323" t="s">
        <v>6</v>
      </c>
    </row>
    <row r="3324" spans="2:13" hidden="1">
      <c r="B3324">
        <v>3322</v>
      </c>
      <c r="C3324">
        <v>266</v>
      </c>
      <c r="D3324">
        <v>34</v>
      </c>
      <c r="E3324">
        <v>7</v>
      </c>
      <c r="F3324">
        <v>0</v>
      </c>
      <c r="G3324" t="s">
        <v>2023</v>
      </c>
      <c r="H3324" t="s">
        <v>52</v>
      </c>
      <c r="I3324" t="s">
        <v>2204</v>
      </c>
      <c r="J3324" t="s">
        <v>55</v>
      </c>
      <c r="K3324" t="s">
        <v>2206</v>
      </c>
      <c r="M3324" t="s">
        <v>6</v>
      </c>
    </row>
    <row r="3325" spans="2:13" hidden="1">
      <c r="B3325">
        <v>3323</v>
      </c>
      <c r="C3325">
        <v>266</v>
      </c>
      <c r="D3325">
        <v>34</v>
      </c>
      <c r="E3325">
        <v>8</v>
      </c>
      <c r="F3325">
        <v>0</v>
      </c>
      <c r="G3325" t="s">
        <v>2023</v>
      </c>
      <c r="H3325" t="s">
        <v>52</v>
      </c>
      <c r="I3325" t="s">
        <v>2204</v>
      </c>
      <c r="J3325" t="s">
        <v>55</v>
      </c>
      <c r="K3325" t="s">
        <v>2207</v>
      </c>
      <c r="M3325" t="s">
        <v>6</v>
      </c>
    </row>
    <row r="3326" spans="2:13" hidden="1">
      <c r="B3326">
        <v>3324</v>
      </c>
      <c r="C3326">
        <v>266</v>
      </c>
      <c r="D3326">
        <v>34</v>
      </c>
      <c r="E3326">
        <v>9</v>
      </c>
      <c r="F3326">
        <v>0</v>
      </c>
      <c r="G3326" t="s">
        <v>2023</v>
      </c>
      <c r="H3326" t="s">
        <v>52</v>
      </c>
      <c r="I3326" t="s">
        <v>2204</v>
      </c>
      <c r="J3326" t="s">
        <v>55</v>
      </c>
      <c r="K3326" t="s">
        <v>2200</v>
      </c>
      <c r="M3326" t="s">
        <v>6</v>
      </c>
    </row>
    <row r="3327" spans="2:13" hidden="1">
      <c r="B3327">
        <v>3325</v>
      </c>
      <c r="C3327">
        <v>266</v>
      </c>
      <c r="D3327">
        <v>34</v>
      </c>
      <c r="E3327">
        <v>10</v>
      </c>
      <c r="F3327">
        <v>0</v>
      </c>
      <c r="G3327" t="s">
        <v>2023</v>
      </c>
      <c r="H3327" t="s">
        <v>52</v>
      </c>
      <c r="I3327" t="s">
        <v>2204</v>
      </c>
      <c r="J3327" t="s">
        <v>55</v>
      </c>
      <c r="K3327" t="s">
        <v>436</v>
      </c>
      <c r="M3327" t="s">
        <v>6</v>
      </c>
    </row>
    <row r="3328" spans="2:13" hidden="1">
      <c r="B3328">
        <v>3326</v>
      </c>
      <c r="C3328">
        <v>266</v>
      </c>
      <c r="D3328">
        <v>34</v>
      </c>
      <c r="E3328">
        <v>11</v>
      </c>
      <c r="F3328">
        <v>0</v>
      </c>
      <c r="G3328" t="s">
        <v>2023</v>
      </c>
      <c r="H3328" t="s">
        <v>52</v>
      </c>
      <c r="I3328" t="s">
        <v>2204</v>
      </c>
      <c r="J3328" t="s">
        <v>437</v>
      </c>
      <c r="K3328" t="s">
        <v>438</v>
      </c>
      <c r="L3328" t="s">
        <v>439</v>
      </c>
      <c r="M3328" t="s">
        <v>6</v>
      </c>
    </row>
    <row r="3329" spans="2:13" hidden="1">
      <c r="B3329">
        <v>3327</v>
      </c>
      <c r="C3329">
        <v>266</v>
      </c>
      <c r="D3329">
        <v>34</v>
      </c>
      <c r="E3329">
        <v>12</v>
      </c>
      <c r="F3329">
        <v>0</v>
      </c>
      <c r="G3329" t="s">
        <v>2023</v>
      </c>
      <c r="H3329" t="s">
        <v>52</v>
      </c>
      <c r="I3329" t="s">
        <v>2204</v>
      </c>
      <c r="J3329" t="s">
        <v>64</v>
      </c>
      <c r="K3329" t="s">
        <v>440</v>
      </c>
      <c r="M3329" t="s">
        <v>6</v>
      </c>
    </row>
    <row r="3330" spans="2:13" hidden="1">
      <c r="B3330">
        <v>3328</v>
      </c>
      <c r="C3330">
        <v>266</v>
      </c>
      <c r="D3330">
        <v>34</v>
      </c>
      <c r="E3330">
        <v>13</v>
      </c>
      <c r="F3330">
        <v>0</v>
      </c>
      <c r="G3330" t="s">
        <v>2023</v>
      </c>
      <c r="H3330" t="s">
        <v>52</v>
      </c>
      <c r="I3330" t="s">
        <v>2204</v>
      </c>
      <c r="J3330" t="s">
        <v>55</v>
      </c>
      <c r="K3330" t="s">
        <v>441</v>
      </c>
      <c r="M3330" t="s">
        <v>6</v>
      </c>
    </row>
    <row r="3331" spans="2:13" hidden="1">
      <c r="B3331">
        <v>3329</v>
      </c>
      <c r="C3331">
        <v>266</v>
      </c>
      <c r="D3331">
        <v>34</v>
      </c>
      <c r="E3331">
        <v>14</v>
      </c>
      <c r="F3331">
        <v>0</v>
      </c>
      <c r="G3331" t="s">
        <v>2023</v>
      </c>
      <c r="H3331" t="s">
        <v>52</v>
      </c>
      <c r="I3331" t="s">
        <v>2204</v>
      </c>
      <c r="J3331" t="s">
        <v>437</v>
      </c>
      <c r="K3331" t="s">
        <v>438</v>
      </c>
      <c r="L3331" t="s">
        <v>439</v>
      </c>
      <c r="M3331" t="s">
        <v>6</v>
      </c>
    </row>
    <row r="3332" spans="2:13" hidden="1">
      <c r="B3332">
        <v>3330</v>
      </c>
      <c r="C3332">
        <v>266</v>
      </c>
      <c r="D3332">
        <v>34</v>
      </c>
      <c r="E3332">
        <v>15</v>
      </c>
      <c r="F3332">
        <v>0</v>
      </c>
      <c r="G3332" t="s">
        <v>2023</v>
      </c>
      <c r="H3332" t="s">
        <v>52</v>
      </c>
      <c r="I3332" t="s">
        <v>2204</v>
      </c>
      <c r="J3332" t="s">
        <v>64</v>
      </c>
      <c r="K3332" t="s">
        <v>440</v>
      </c>
      <c r="M3332" t="s">
        <v>6</v>
      </c>
    </row>
    <row r="3333" spans="2:13" hidden="1">
      <c r="B3333">
        <v>3331</v>
      </c>
      <c r="C3333">
        <v>266</v>
      </c>
      <c r="D3333">
        <v>34</v>
      </c>
      <c r="E3333">
        <v>16</v>
      </c>
      <c r="F3333">
        <v>0</v>
      </c>
      <c r="G3333" t="s">
        <v>2023</v>
      </c>
      <c r="H3333" t="s">
        <v>52</v>
      </c>
      <c r="I3333" t="s">
        <v>2204</v>
      </c>
      <c r="J3333" t="s">
        <v>55</v>
      </c>
      <c r="K3333" t="s">
        <v>442</v>
      </c>
      <c r="M3333" t="s">
        <v>6</v>
      </c>
    </row>
    <row r="3334" spans="2:13" hidden="1">
      <c r="B3334">
        <v>3332</v>
      </c>
      <c r="C3334">
        <v>266</v>
      </c>
      <c r="D3334">
        <v>34</v>
      </c>
      <c r="E3334">
        <v>17</v>
      </c>
      <c r="F3334">
        <v>0</v>
      </c>
      <c r="G3334" t="s">
        <v>2023</v>
      </c>
      <c r="H3334" t="s">
        <v>52</v>
      </c>
      <c r="I3334" t="s">
        <v>2204</v>
      </c>
      <c r="J3334" t="s">
        <v>214</v>
      </c>
      <c r="K3334" t="s">
        <v>443</v>
      </c>
      <c r="M3334" t="s">
        <v>6</v>
      </c>
    </row>
    <row r="3335" spans="2:13" hidden="1">
      <c r="B3335">
        <v>3333</v>
      </c>
      <c r="C3335">
        <v>266</v>
      </c>
      <c r="D3335">
        <v>34</v>
      </c>
      <c r="E3335">
        <v>18</v>
      </c>
      <c r="F3335">
        <v>0</v>
      </c>
      <c r="G3335" t="s">
        <v>2023</v>
      </c>
      <c r="H3335" t="s">
        <v>52</v>
      </c>
      <c r="I3335" t="s">
        <v>2204</v>
      </c>
      <c r="J3335" t="s">
        <v>479</v>
      </c>
      <c r="K3335" t="s">
        <v>2208</v>
      </c>
      <c r="M3335" t="s">
        <v>6</v>
      </c>
    </row>
    <row r="3336" spans="2:13" hidden="1">
      <c r="B3336">
        <v>3334</v>
      </c>
      <c r="C3336">
        <v>266</v>
      </c>
      <c r="D3336">
        <v>34</v>
      </c>
      <c r="E3336">
        <v>19</v>
      </c>
      <c r="F3336">
        <v>0</v>
      </c>
      <c r="G3336" t="s">
        <v>2023</v>
      </c>
      <c r="H3336" t="s">
        <v>52</v>
      </c>
      <c r="I3336" t="s">
        <v>2204</v>
      </c>
      <c r="J3336" t="s">
        <v>55</v>
      </c>
      <c r="K3336" t="s">
        <v>2025</v>
      </c>
      <c r="M3336" t="s">
        <v>6</v>
      </c>
    </row>
    <row r="3337" spans="2:13" hidden="1">
      <c r="B3337">
        <v>3335</v>
      </c>
      <c r="C3337">
        <v>266</v>
      </c>
      <c r="D3337">
        <v>34</v>
      </c>
      <c r="E3337">
        <v>20</v>
      </c>
      <c r="F3337">
        <v>0</v>
      </c>
      <c r="G3337" t="s">
        <v>2023</v>
      </c>
      <c r="H3337" t="s">
        <v>52</v>
      </c>
      <c r="I3337" t="s">
        <v>2204</v>
      </c>
      <c r="J3337" t="s">
        <v>55</v>
      </c>
      <c r="K3337" t="s">
        <v>429</v>
      </c>
      <c r="M3337" t="s">
        <v>6</v>
      </c>
    </row>
    <row r="3338" spans="2:13" hidden="1">
      <c r="B3338">
        <v>3336</v>
      </c>
      <c r="C3338">
        <v>266</v>
      </c>
      <c r="D3338">
        <v>34</v>
      </c>
      <c r="E3338">
        <v>21</v>
      </c>
      <c r="F3338">
        <v>0</v>
      </c>
      <c r="G3338" t="s">
        <v>2023</v>
      </c>
      <c r="H3338" t="s">
        <v>52</v>
      </c>
      <c r="I3338" t="s">
        <v>2204</v>
      </c>
      <c r="J3338" t="s">
        <v>55</v>
      </c>
      <c r="K3338" t="s">
        <v>430</v>
      </c>
      <c r="M3338" t="s">
        <v>6</v>
      </c>
    </row>
    <row r="3339" spans="2:13" hidden="1">
      <c r="B3339">
        <v>3337</v>
      </c>
      <c r="C3339">
        <v>266</v>
      </c>
      <c r="D3339">
        <v>34</v>
      </c>
      <c r="E3339">
        <v>22</v>
      </c>
      <c r="F3339">
        <v>0</v>
      </c>
      <c r="G3339" t="s">
        <v>2023</v>
      </c>
      <c r="H3339" t="s">
        <v>52</v>
      </c>
      <c r="I3339" t="s">
        <v>2204</v>
      </c>
      <c r="J3339" t="s">
        <v>55</v>
      </c>
      <c r="K3339" t="s">
        <v>2195</v>
      </c>
      <c r="M3339" t="s">
        <v>6</v>
      </c>
    </row>
    <row r="3340" spans="2:13" hidden="1">
      <c r="B3340">
        <v>3338</v>
      </c>
      <c r="C3340">
        <v>266</v>
      </c>
      <c r="D3340">
        <v>34</v>
      </c>
      <c r="E3340">
        <v>23</v>
      </c>
      <c r="F3340">
        <v>0</v>
      </c>
      <c r="G3340" t="s">
        <v>2023</v>
      </c>
      <c r="H3340" t="s">
        <v>52</v>
      </c>
      <c r="I3340" t="s">
        <v>2204</v>
      </c>
      <c r="J3340" t="s">
        <v>55</v>
      </c>
      <c r="K3340" t="s">
        <v>2197</v>
      </c>
      <c r="M3340" t="s">
        <v>6</v>
      </c>
    </row>
    <row r="3341" spans="2:13" hidden="1">
      <c r="B3341">
        <v>3339</v>
      </c>
      <c r="C3341">
        <v>266</v>
      </c>
      <c r="D3341">
        <v>34</v>
      </c>
      <c r="E3341">
        <v>24</v>
      </c>
      <c r="F3341">
        <v>0</v>
      </c>
      <c r="G3341" t="s">
        <v>2023</v>
      </c>
      <c r="H3341" t="s">
        <v>52</v>
      </c>
      <c r="I3341" t="s">
        <v>2204</v>
      </c>
      <c r="J3341" t="s">
        <v>55</v>
      </c>
      <c r="K3341" t="s">
        <v>2206</v>
      </c>
      <c r="M3341" t="s">
        <v>6</v>
      </c>
    </row>
    <row r="3342" spans="2:13" hidden="1">
      <c r="B3342">
        <v>3340</v>
      </c>
      <c r="C3342">
        <v>266</v>
      </c>
      <c r="D3342">
        <v>34</v>
      </c>
      <c r="E3342">
        <v>25</v>
      </c>
      <c r="F3342">
        <v>0</v>
      </c>
      <c r="G3342" t="s">
        <v>2023</v>
      </c>
      <c r="H3342" t="s">
        <v>52</v>
      </c>
      <c r="I3342" t="s">
        <v>2204</v>
      </c>
      <c r="J3342" t="s">
        <v>55</v>
      </c>
      <c r="K3342" t="s">
        <v>2209</v>
      </c>
      <c r="M3342" t="s">
        <v>6</v>
      </c>
    </row>
    <row r="3343" spans="2:13" hidden="1">
      <c r="B3343">
        <v>3341</v>
      </c>
      <c r="C3343">
        <v>266</v>
      </c>
      <c r="D3343">
        <v>34</v>
      </c>
      <c r="E3343">
        <v>26</v>
      </c>
      <c r="F3343">
        <v>0</v>
      </c>
      <c r="G3343" t="s">
        <v>2023</v>
      </c>
      <c r="H3343" t="s">
        <v>52</v>
      </c>
      <c r="I3343" t="s">
        <v>2204</v>
      </c>
      <c r="J3343" t="s">
        <v>55</v>
      </c>
      <c r="K3343" t="s">
        <v>2200</v>
      </c>
      <c r="M3343" t="s">
        <v>6</v>
      </c>
    </row>
    <row r="3344" spans="2:13" hidden="1">
      <c r="B3344">
        <v>3342</v>
      </c>
      <c r="C3344">
        <v>266</v>
      </c>
      <c r="D3344">
        <v>34</v>
      </c>
      <c r="E3344">
        <v>27</v>
      </c>
      <c r="F3344">
        <v>0</v>
      </c>
      <c r="G3344" t="s">
        <v>2023</v>
      </c>
      <c r="H3344" t="s">
        <v>52</v>
      </c>
      <c r="I3344" t="s">
        <v>2204</v>
      </c>
      <c r="J3344" t="s">
        <v>55</v>
      </c>
      <c r="K3344" t="s">
        <v>436</v>
      </c>
      <c r="M3344" t="s">
        <v>6</v>
      </c>
    </row>
    <row r="3345" spans="2:13" hidden="1">
      <c r="B3345">
        <v>3343</v>
      </c>
      <c r="C3345">
        <v>266</v>
      </c>
      <c r="D3345">
        <v>34</v>
      </c>
      <c r="E3345">
        <v>28</v>
      </c>
      <c r="F3345">
        <v>0</v>
      </c>
      <c r="G3345" t="s">
        <v>2023</v>
      </c>
      <c r="H3345" t="s">
        <v>52</v>
      </c>
      <c r="I3345" t="s">
        <v>2204</v>
      </c>
      <c r="J3345" t="s">
        <v>437</v>
      </c>
      <c r="K3345" t="s">
        <v>438</v>
      </c>
      <c r="L3345" t="s">
        <v>439</v>
      </c>
      <c r="M3345" t="s">
        <v>6</v>
      </c>
    </row>
    <row r="3346" spans="2:13" hidden="1">
      <c r="B3346">
        <v>3344</v>
      </c>
      <c r="C3346">
        <v>266</v>
      </c>
      <c r="D3346">
        <v>34</v>
      </c>
      <c r="E3346">
        <v>29</v>
      </c>
      <c r="F3346">
        <v>0</v>
      </c>
      <c r="G3346" t="s">
        <v>2023</v>
      </c>
      <c r="H3346" t="s">
        <v>52</v>
      </c>
      <c r="I3346" t="s">
        <v>2204</v>
      </c>
      <c r="J3346" t="s">
        <v>64</v>
      </c>
      <c r="K3346" t="s">
        <v>440</v>
      </c>
      <c r="M3346" t="s">
        <v>6</v>
      </c>
    </row>
    <row r="3347" spans="2:13" hidden="1">
      <c r="B3347">
        <v>3345</v>
      </c>
      <c r="C3347">
        <v>266</v>
      </c>
      <c r="D3347">
        <v>34</v>
      </c>
      <c r="E3347">
        <v>30</v>
      </c>
      <c r="F3347">
        <v>0</v>
      </c>
      <c r="G3347" t="s">
        <v>2023</v>
      </c>
      <c r="H3347" t="s">
        <v>52</v>
      </c>
      <c r="I3347" t="s">
        <v>2204</v>
      </c>
      <c r="J3347" t="s">
        <v>55</v>
      </c>
      <c r="K3347" t="s">
        <v>441</v>
      </c>
      <c r="M3347" t="s">
        <v>6</v>
      </c>
    </row>
    <row r="3348" spans="2:13" hidden="1">
      <c r="B3348">
        <v>3346</v>
      </c>
      <c r="C3348">
        <v>266</v>
      </c>
      <c r="D3348">
        <v>34</v>
      </c>
      <c r="E3348">
        <v>31</v>
      </c>
      <c r="F3348">
        <v>0</v>
      </c>
      <c r="G3348" t="s">
        <v>2023</v>
      </c>
      <c r="H3348" t="s">
        <v>52</v>
      </c>
      <c r="I3348" t="s">
        <v>2204</v>
      </c>
      <c r="J3348" t="s">
        <v>437</v>
      </c>
      <c r="K3348" t="s">
        <v>438</v>
      </c>
      <c r="L3348" t="s">
        <v>439</v>
      </c>
      <c r="M3348" t="s">
        <v>6</v>
      </c>
    </row>
    <row r="3349" spans="2:13" hidden="1">
      <c r="B3349">
        <v>3347</v>
      </c>
      <c r="C3349">
        <v>266</v>
      </c>
      <c r="D3349">
        <v>34</v>
      </c>
      <c r="E3349">
        <v>32</v>
      </c>
      <c r="F3349">
        <v>0</v>
      </c>
      <c r="G3349" t="s">
        <v>2023</v>
      </c>
      <c r="H3349" t="s">
        <v>52</v>
      </c>
      <c r="I3349" t="s">
        <v>2204</v>
      </c>
      <c r="J3349" t="s">
        <v>64</v>
      </c>
      <c r="K3349" t="s">
        <v>440</v>
      </c>
      <c r="M3349" t="s">
        <v>6</v>
      </c>
    </row>
    <row r="3350" spans="2:13" hidden="1">
      <c r="B3350">
        <v>3348</v>
      </c>
      <c r="C3350">
        <v>266</v>
      </c>
      <c r="D3350">
        <v>34</v>
      </c>
      <c r="E3350">
        <v>33</v>
      </c>
      <c r="F3350">
        <v>0</v>
      </c>
      <c r="G3350" t="s">
        <v>2023</v>
      </c>
      <c r="H3350" t="s">
        <v>52</v>
      </c>
      <c r="I3350" t="s">
        <v>2204</v>
      </c>
      <c r="J3350" t="s">
        <v>55</v>
      </c>
      <c r="K3350" t="s">
        <v>442</v>
      </c>
      <c r="M3350" t="s">
        <v>6</v>
      </c>
    </row>
    <row r="3351" spans="2:13" hidden="1">
      <c r="B3351">
        <v>3349</v>
      </c>
      <c r="C3351">
        <v>266</v>
      </c>
      <c r="D3351">
        <v>34</v>
      </c>
      <c r="E3351">
        <v>34</v>
      </c>
      <c r="F3351">
        <v>0</v>
      </c>
      <c r="G3351" t="s">
        <v>2023</v>
      </c>
      <c r="H3351" t="s">
        <v>52</v>
      </c>
      <c r="I3351" t="s">
        <v>2204</v>
      </c>
      <c r="J3351" t="s">
        <v>214</v>
      </c>
      <c r="K3351" t="s">
        <v>443</v>
      </c>
      <c r="M3351" t="s">
        <v>6</v>
      </c>
    </row>
    <row r="3352" spans="2:13" hidden="1">
      <c r="B3352">
        <v>3350</v>
      </c>
      <c r="C3352">
        <v>267</v>
      </c>
      <c r="D3352">
        <v>77</v>
      </c>
      <c r="E3352">
        <v>0</v>
      </c>
      <c r="F3352">
        <v>0</v>
      </c>
      <c r="G3352" t="s">
        <v>2023</v>
      </c>
      <c r="H3352" t="s">
        <v>52</v>
      </c>
      <c r="I3352" t="s">
        <v>2210</v>
      </c>
      <c r="J3352" t="s">
        <v>478</v>
      </c>
      <c r="K3352" t="s">
        <v>2210</v>
      </c>
      <c r="M3352" t="s">
        <v>6</v>
      </c>
    </row>
    <row r="3353" spans="2:13" hidden="1">
      <c r="B3353">
        <v>3351</v>
      </c>
      <c r="C3353">
        <v>267</v>
      </c>
      <c r="D3353">
        <v>77</v>
      </c>
      <c r="E3353">
        <v>1</v>
      </c>
      <c r="F3353">
        <v>0</v>
      </c>
      <c r="G3353" t="s">
        <v>2023</v>
      </c>
      <c r="H3353" t="s">
        <v>52</v>
      </c>
      <c r="I3353" t="s">
        <v>2210</v>
      </c>
      <c r="J3353" t="s">
        <v>479</v>
      </c>
      <c r="K3353" t="s">
        <v>2211</v>
      </c>
      <c r="M3353" t="s">
        <v>6</v>
      </c>
    </row>
    <row r="3354" spans="2:13" hidden="1">
      <c r="B3354">
        <v>3352</v>
      </c>
      <c r="C3354">
        <v>267</v>
      </c>
      <c r="D3354">
        <v>77</v>
      </c>
      <c r="E3354">
        <v>2</v>
      </c>
      <c r="F3354">
        <v>0</v>
      </c>
      <c r="G3354" t="s">
        <v>2023</v>
      </c>
      <c r="H3354" t="s">
        <v>52</v>
      </c>
      <c r="I3354" t="s">
        <v>2210</v>
      </c>
      <c r="J3354" t="s">
        <v>55</v>
      </c>
      <c r="K3354" t="s">
        <v>2025</v>
      </c>
      <c r="M3354" t="s">
        <v>6</v>
      </c>
    </row>
    <row r="3355" spans="2:13" hidden="1">
      <c r="B3355">
        <v>3353</v>
      </c>
      <c r="C3355">
        <v>267</v>
      </c>
      <c r="D3355">
        <v>77</v>
      </c>
      <c r="E3355">
        <v>3</v>
      </c>
      <c r="F3355">
        <v>0</v>
      </c>
      <c r="G3355" t="s">
        <v>2023</v>
      </c>
      <c r="H3355" t="s">
        <v>52</v>
      </c>
      <c r="I3355" t="s">
        <v>2210</v>
      </c>
      <c r="J3355" t="s">
        <v>55</v>
      </c>
      <c r="K3355" t="s">
        <v>429</v>
      </c>
      <c r="M3355" t="s">
        <v>6</v>
      </c>
    </row>
    <row r="3356" spans="2:13" hidden="1">
      <c r="B3356">
        <v>3354</v>
      </c>
      <c r="C3356">
        <v>267</v>
      </c>
      <c r="D3356">
        <v>77</v>
      </c>
      <c r="E3356">
        <v>4</v>
      </c>
      <c r="F3356">
        <v>0</v>
      </c>
      <c r="G3356" t="s">
        <v>2023</v>
      </c>
      <c r="H3356" t="s">
        <v>52</v>
      </c>
      <c r="I3356" t="s">
        <v>2210</v>
      </c>
      <c r="J3356" t="s">
        <v>55</v>
      </c>
      <c r="K3356" t="s">
        <v>430</v>
      </c>
      <c r="M3356" t="s">
        <v>6</v>
      </c>
    </row>
    <row r="3357" spans="2:13" hidden="1">
      <c r="B3357">
        <v>3355</v>
      </c>
      <c r="C3357">
        <v>267</v>
      </c>
      <c r="D3357">
        <v>77</v>
      </c>
      <c r="E3357">
        <v>5</v>
      </c>
      <c r="F3357">
        <v>0</v>
      </c>
      <c r="G3357" t="s">
        <v>2023</v>
      </c>
      <c r="H3357" t="s">
        <v>52</v>
      </c>
      <c r="I3357" t="s">
        <v>2210</v>
      </c>
      <c r="J3357" t="s">
        <v>55</v>
      </c>
      <c r="K3357" t="s">
        <v>2212</v>
      </c>
      <c r="M3357" t="s">
        <v>6</v>
      </c>
    </row>
    <row r="3358" spans="2:13" hidden="1">
      <c r="B3358">
        <v>3356</v>
      </c>
      <c r="C3358">
        <v>267</v>
      </c>
      <c r="D3358">
        <v>77</v>
      </c>
      <c r="E3358">
        <v>6</v>
      </c>
      <c r="F3358">
        <v>0</v>
      </c>
      <c r="G3358" t="s">
        <v>2023</v>
      </c>
      <c r="H3358" t="s">
        <v>52</v>
      </c>
      <c r="I3358" t="s">
        <v>2210</v>
      </c>
      <c r="J3358" t="s">
        <v>55</v>
      </c>
      <c r="K3358" t="s">
        <v>2213</v>
      </c>
      <c r="M3358" t="s">
        <v>6</v>
      </c>
    </row>
    <row r="3359" spans="2:13" hidden="1">
      <c r="B3359">
        <v>3357</v>
      </c>
      <c r="C3359">
        <v>267</v>
      </c>
      <c r="D3359">
        <v>77</v>
      </c>
      <c r="E3359">
        <v>7</v>
      </c>
      <c r="F3359">
        <v>0</v>
      </c>
      <c r="G3359" t="s">
        <v>2023</v>
      </c>
      <c r="H3359" t="s">
        <v>52</v>
      </c>
      <c r="I3359" t="s">
        <v>2210</v>
      </c>
      <c r="J3359" t="s">
        <v>55</v>
      </c>
      <c r="K3359" t="s">
        <v>2214</v>
      </c>
      <c r="M3359" t="s">
        <v>6</v>
      </c>
    </row>
    <row r="3360" spans="2:13" hidden="1">
      <c r="B3360">
        <v>3358</v>
      </c>
      <c r="C3360">
        <v>267</v>
      </c>
      <c r="D3360">
        <v>77</v>
      </c>
      <c r="E3360">
        <v>8</v>
      </c>
      <c r="F3360">
        <v>0</v>
      </c>
      <c r="G3360" t="s">
        <v>2023</v>
      </c>
      <c r="H3360" t="s">
        <v>52</v>
      </c>
      <c r="I3360" t="s">
        <v>2210</v>
      </c>
      <c r="J3360" t="s">
        <v>55</v>
      </c>
      <c r="K3360" t="s">
        <v>2215</v>
      </c>
      <c r="M3360" t="s">
        <v>6</v>
      </c>
    </row>
    <row r="3361" spans="2:13" hidden="1">
      <c r="B3361">
        <v>3359</v>
      </c>
      <c r="C3361">
        <v>267</v>
      </c>
      <c r="D3361">
        <v>77</v>
      </c>
      <c r="E3361">
        <v>9</v>
      </c>
      <c r="F3361">
        <v>0</v>
      </c>
      <c r="G3361" t="s">
        <v>2023</v>
      </c>
      <c r="H3361" t="s">
        <v>52</v>
      </c>
      <c r="I3361" t="s">
        <v>2210</v>
      </c>
      <c r="J3361" t="s">
        <v>55</v>
      </c>
      <c r="K3361" t="s">
        <v>2216</v>
      </c>
      <c r="M3361" t="s">
        <v>6</v>
      </c>
    </row>
    <row r="3362" spans="2:13" hidden="1">
      <c r="B3362">
        <v>3360</v>
      </c>
      <c r="C3362">
        <v>267</v>
      </c>
      <c r="D3362">
        <v>77</v>
      </c>
      <c r="E3362">
        <v>10</v>
      </c>
      <c r="F3362">
        <v>0</v>
      </c>
      <c r="G3362" t="s">
        <v>2023</v>
      </c>
      <c r="H3362" t="s">
        <v>52</v>
      </c>
      <c r="I3362" t="s">
        <v>2210</v>
      </c>
      <c r="J3362" t="s">
        <v>55</v>
      </c>
      <c r="K3362" t="s">
        <v>2217</v>
      </c>
      <c r="M3362" t="s">
        <v>6</v>
      </c>
    </row>
    <row r="3363" spans="2:13" hidden="1">
      <c r="B3363">
        <v>3361</v>
      </c>
      <c r="C3363">
        <v>267</v>
      </c>
      <c r="D3363">
        <v>77</v>
      </c>
      <c r="E3363">
        <v>11</v>
      </c>
      <c r="F3363">
        <v>0</v>
      </c>
      <c r="G3363" t="s">
        <v>2023</v>
      </c>
      <c r="H3363" t="s">
        <v>52</v>
      </c>
      <c r="I3363" t="s">
        <v>2210</v>
      </c>
      <c r="J3363" t="s">
        <v>55</v>
      </c>
      <c r="K3363" t="s">
        <v>2218</v>
      </c>
      <c r="M3363" t="s">
        <v>6</v>
      </c>
    </row>
    <row r="3364" spans="2:13" hidden="1">
      <c r="B3364">
        <v>3362</v>
      </c>
      <c r="C3364">
        <v>267</v>
      </c>
      <c r="D3364">
        <v>77</v>
      </c>
      <c r="E3364">
        <v>12</v>
      </c>
      <c r="F3364">
        <v>0</v>
      </c>
      <c r="G3364" t="s">
        <v>2023</v>
      </c>
      <c r="H3364" t="s">
        <v>52</v>
      </c>
      <c r="I3364" t="s">
        <v>2210</v>
      </c>
      <c r="J3364" t="s">
        <v>55</v>
      </c>
      <c r="K3364" t="s">
        <v>436</v>
      </c>
      <c r="M3364" t="s">
        <v>6</v>
      </c>
    </row>
    <row r="3365" spans="2:13" hidden="1">
      <c r="B3365">
        <v>3363</v>
      </c>
      <c r="C3365">
        <v>267</v>
      </c>
      <c r="D3365">
        <v>77</v>
      </c>
      <c r="E3365">
        <v>13</v>
      </c>
      <c r="F3365">
        <v>0</v>
      </c>
      <c r="G3365" t="s">
        <v>2023</v>
      </c>
      <c r="H3365" t="s">
        <v>52</v>
      </c>
      <c r="I3365" t="s">
        <v>2210</v>
      </c>
      <c r="J3365" t="s">
        <v>437</v>
      </c>
      <c r="K3365" t="s">
        <v>438</v>
      </c>
      <c r="L3365" t="s">
        <v>439</v>
      </c>
      <c r="M3365" t="s">
        <v>6</v>
      </c>
    </row>
    <row r="3366" spans="2:13" hidden="1">
      <c r="B3366">
        <v>3364</v>
      </c>
      <c r="C3366">
        <v>267</v>
      </c>
      <c r="D3366">
        <v>77</v>
      </c>
      <c r="E3366">
        <v>14</v>
      </c>
      <c r="F3366">
        <v>0</v>
      </c>
      <c r="G3366" t="s">
        <v>2023</v>
      </c>
      <c r="H3366" t="s">
        <v>52</v>
      </c>
      <c r="I3366" t="s">
        <v>2210</v>
      </c>
      <c r="J3366" t="s">
        <v>64</v>
      </c>
      <c r="K3366" t="s">
        <v>440</v>
      </c>
      <c r="M3366" t="s">
        <v>6</v>
      </c>
    </row>
    <row r="3367" spans="2:13" hidden="1">
      <c r="B3367">
        <v>3365</v>
      </c>
      <c r="C3367">
        <v>267</v>
      </c>
      <c r="D3367">
        <v>77</v>
      </c>
      <c r="E3367">
        <v>15</v>
      </c>
      <c r="F3367">
        <v>0</v>
      </c>
      <c r="G3367" t="s">
        <v>2023</v>
      </c>
      <c r="H3367" t="s">
        <v>52</v>
      </c>
      <c r="I3367" t="s">
        <v>2210</v>
      </c>
      <c r="J3367" t="s">
        <v>55</v>
      </c>
      <c r="K3367" t="s">
        <v>441</v>
      </c>
      <c r="M3367" t="s">
        <v>6</v>
      </c>
    </row>
    <row r="3368" spans="2:13" hidden="1">
      <c r="B3368">
        <v>3366</v>
      </c>
      <c r="C3368">
        <v>267</v>
      </c>
      <c r="D3368">
        <v>77</v>
      </c>
      <c r="E3368">
        <v>16</v>
      </c>
      <c r="F3368">
        <v>0</v>
      </c>
      <c r="G3368" t="s">
        <v>2023</v>
      </c>
      <c r="H3368" t="s">
        <v>52</v>
      </c>
      <c r="I3368" t="s">
        <v>2210</v>
      </c>
      <c r="J3368" t="s">
        <v>437</v>
      </c>
      <c r="K3368" t="s">
        <v>438</v>
      </c>
      <c r="L3368" t="s">
        <v>439</v>
      </c>
      <c r="M3368" t="s">
        <v>6</v>
      </c>
    </row>
    <row r="3369" spans="2:13" hidden="1">
      <c r="B3369">
        <v>3367</v>
      </c>
      <c r="C3369">
        <v>267</v>
      </c>
      <c r="D3369">
        <v>77</v>
      </c>
      <c r="E3369">
        <v>17</v>
      </c>
      <c r="F3369">
        <v>0</v>
      </c>
      <c r="G3369" t="s">
        <v>2023</v>
      </c>
      <c r="H3369" t="s">
        <v>52</v>
      </c>
      <c r="I3369" t="s">
        <v>2210</v>
      </c>
      <c r="J3369" t="s">
        <v>64</v>
      </c>
      <c r="K3369" t="s">
        <v>440</v>
      </c>
      <c r="M3369" t="s">
        <v>6</v>
      </c>
    </row>
    <row r="3370" spans="2:13" hidden="1">
      <c r="B3370">
        <v>3368</v>
      </c>
      <c r="C3370">
        <v>267</v>
      </c>
      <c r="D3370">
        <v>77</v>
      </c>
      <c r="E3370">
        <v>18</v>
      </c>
      <c r="F3370">
        <v>0</v>
      </c>
      <c r="G3370" t="s">
        <v>2023</v>
      </c>
      <c r="H3370" t="s">
        <v>52</v>
      </c>
      <c r="I3370" t="s">
        <v>2210</v>
      </c>
      <c r="J3370" t="s">
        <v>55</v>
      </c>
      <c r="K3370" t="s">
        <v>442</v>
      </c>
      <c r="M3370" t="s">
        <v>6</v>
      </c>
    </row>
    <row r="3371" spans="2:13" hidden="1">
      <c r="B3371">
        <v>3369</v>
      </c>
      <c r="C3371">
        <v>267</v>
      </c>
      <c r="D3371">
        <v>77</v>
      </c>
      <c r="E3371">
        <v>19</v>
      </c>
      <c r="F3371">
        <v>0</v>
      </c>
      <c r="G3371" t="s">
        <v>2023</v>
      </c>
      <c r="H3371" t="s">
        <v>52</v>
      </c>
      <c r="I3371" t="s">
        <v>2210</v>
      </c>
      <c r="J3371" t="s">
        <v>214</v>
      </c>
      <c r="K3371" t="s">
        <v>443</v>
      </c>
      <c r="M3371" t="s">
        <v>6</v>
      </c>
    </row>
    <row r="3372" spans="2:13" hidden="1">
      <c r="B3372">
        <v>3370</v>
      </c>
      <c r="C3372">
        <v>267</v>
      </c>
      <c r="D3372">
        <v>77</v>
      </c>
      <c r="E3372">
        <v>20</v>
      </c>
      <c r="F3372">
        <v>0</v>
      </c>
      <c r="G3372" t="s">
        <v>2023</v>
      </c>
      <c r="H3372" t="s">
        <v>52</v>
      </c>
      <c r="I3372" t="s">
        <v>2210</v>
      </c>
      <c r="J3372" t="s">
        <v>479</v>
      </c>
      <c r="K3372" t="s">
        <v>2219</v>
      </c>
      <c r="M3372" t="s">
        <v>6</v>
      </c>
    </row>
    <row r="3373" spans="2:13" hidden="1">
      <c r="B3373">
        <v>3371</v>
      </c>
      <c r="C3373">
        <v>267</v>
      </c>
      <c r="D3373">
        <v>77</v>
      </c>
      <c r="E3373">
        <v>21</v>
      </c>
      <c r="F3373">
        <v>0</v>
      </c>
      <c r="G3373" t="s">
        <v>2023</v>
      </c>
      <c r="H3373" t="s">
        <v>52</v>
      </c>
      <c r="I3373" t="s">
        <v>2210</v>
      </c>
      <c r="J3373" t="s">
        <v>55</v>
      </c>
      <c r="K3373" t="s">
        <v>2025</v>
      </c>
      <c r="M3373" t="s">
        <v>6</v>
      </c>
    </row>
    <row r="3374" spans="2:13" hidden="1">
      <c r="B3374">
        <v>3372</v>
      </c>
      <c r="C3374">
        <v>267</v>
      </c>
      <c r="D3374">
        <v>77</v>
      </c>
      <c r="E3374">
        <v>22</v>
      </c>
      <c r="F3374">
        <v>0</v>
      </c>
      <c r="G3374" t="s">
        <v>2023</v>
      </c>
      <c r="H3374" t="s">
        <v>52</v>
      </c>
      <c r="I3374" t="s">
        <v>2210</v>
      </c>
      <c r="J3374" t="s">
        <v>55</v>
      </c>
      <c r="K3374" t="s">
        <v>429</v>
      </c>
      <c r="M3374" t="s">
        <v>6</v>
      </c>
    </row>
    <row r="3375" spans="2:13" hidden="1">
      <c r="B3375">
        <v>3373</v>
      </c>
      <c r="C3375">
        <v>267</v>
      </c>
      <c r="D3375">
        <v>77</v>
      </c>
      <c r="E3375">
        <v>23</v>
      </c>
      <c r="F3375">
        <v>0</v>
      </c>
      <c r="G3375" t="s">
        <v>2023</v>
      </c>
      <c r="H3375" t="s">
        <v>52</v>
      </c>
      <c r="I3375" t="s">
        <v>2210</v>
      </c>
      <c r="J3375" t="s">
        <v>55</v>
      </c>
      <c r="K3375" t="s">
        <v>430</v>
      </c>
      <c r="M3375" t="s">
        <v>6</v>
      </c>
    </row>
    <row r="3376" spans="2:13" hidden="1">
      <c r="B3376">
        <v>3374</v>
      </c>
      <c r="C3376">
        <v>267</v>
      </c>
      <c r="D3376">
        <v>77</v>
      </c>
      <c r="E3376">
        <v>24</v>
      </c>
      <c r="F3376">
        <v>0</v>
      </c>
      <c r="G3376" t="s">
        <v>2023</v>
      </c>
      <c r="H3376" t="s">
        <v>52</v>
      </c>
      <c r="I3376" t="s">
        <v>2210</v>
      </c>
      <c r="J3376" t="s">
        <v>55</v>
      </c>
      <c r="K3376" t="s">
        <v>2050</v>
      </c>
      <c r="M3376" t="s">
        <v>6</v>
      </c>
    </row>
    <row r="3377" spans="2:13" hidden="1">
      <c r="B3377">
        <v>3375</v>
      </c>
      <c r="C3377">
        <v>267</v>
      </c>
      <c r="D3377">
        <v>77</v>
      </c>
      <c r="E3377">
        <v>25</v>
      </c>
      <c r="F3377">
        <v>0</v>
      </c>
      <c r="G3377" t="s">
        <v>2023</v>
      </c>
      <c r="H3377" t="s">
        <v>52</v>
      </c>
      <c r="I3377" t="s">
        <v>2210</v>
      </c>
      <c r="J3377" t="s">
        <v>437</v>
      </c>
      <c r="K3377" t="s">
        <v>438</v>
      </c>
      <c r="L3377" t="s">
        <v>439</v>
      </c>
      <c r="M3377" t="s">
        <v>6</v>
      </c>
    </row>
    <row r="3378" spans="2:13" hidden="1">
      <c r="B3378">
        <v>3376</v>
      </c>
      <c r="C3378">
        <v>267</v>
      </c>
      <c r="D3378">
        <v>77</v>
      </c>
      <c r="E3378">
        <v>26</v>
      </c>
      <c r="F3378">
        <v>0</v>
      </c>
      <c r="G3378" t="s">
        <v>2023</v>
      </c>
      <c r="H3378" t="s">
        <v>52</v>
      </c>
      <c r="I3378" t="s">
        <v>2210</v>
      </c>
      <c r="J3378" t="s">
        <v>55</v>
      </c>
      <c r="K3378" t="s">
        <v>436</v>
      </c>
      <c r="M3378" t="s">
        <v>6</v>
      </c>
    </row>
    <row r="3379" spans="2:13" hidden="1">
      <c r="B3379">
        <v>3377</v>
      </c>
      <c r="C3379">
        <v>267</v>
      </c>
      <c r="D3379">
        <v>77</v>
      </c>
      <c r="E3379">
        <v>27</v>
      </c>
      <c r="F3379">
        <v>0</v>
      </c>
      <c r="G3379" t="s">
        <v>2023</v>
      </c>
      <c r="H3379" t="s">
        <v>52</v>
      </c>
      <c r="I3379" t="s">
        <v>2210</v>
      </c>
      <c r="J3379" t="s">
        <v>437</v>
      </c>
      <c r="K3379" t="s">
        <v>438</v>
      </c>
      <c r="L3379" t="s">
        <v>439</v>
      </c>
      <c r="M3379" t="s">
        <v>6</v>
      </c>
    </row>
    <row r="3380" spans="2:13" hidden="1">
      <c r="B3380">
        <v>3378</v>
      </c>
      <c r="C3380">
        <v>267</v>
      </c>
      <c r="D3380">
        <v>77</v>
      </c>
      <c r="E3380">
        <v>28</v>
      </c>
      <c r="F3380">
        <v>0</v>
      </c>
      <c r="G3380" t="s">
        <v>2023</v>
      </c>
      <c r="H3380" t="s">
        <v>52</v>
      </c>
      <c r="I3380" t="s">
        <v>2210</v>
      </c>
      <c r="J3380" t="s">
        <v>64</v>
      </c>
      <c r="K3380" t="s">
        <v>440</v>
      </c>
      <c r="M3380" t="s">
        <v>6</v>
      </c>
    </row>
    <row r="3381" spans="2:13" hidden="1">
      <c r="B3381">
        <v>3379</v>
      </c>
      <c r="C3381">
        <v>267</v>
      </c>
      <c r="D3381">
        <v>77</v>
      </c>
      <c r="E3381">
        <v>29</v>
      </c>
      <c r="F3381">
        <v>0</v>
      </c>
      <c r="G3381" t="s">
        <v>2023</v>
      </c>
      <c r="H3381" t="s">
        <v>52</v>
      </c>
      <c r="I3381" t="s">
        <v>2210</v>
      </c>
      <c r="J3381" t="s">
        <v>55</v>
      </c>
      <c r="K3381" t="s">
        <v>441</v>
      </c>
      <c r="M3381" t="s">
        <v>6</v>
      </c>
    </row>
    <row r="3382" spans="2:13" hidden="1">
      <c r="B3382">
        <v>3380</v>
      </c>
      <c r="C3382">
        <v>267</v>
      </c>
      <c r="D3382">
        <v>77</v>
      </c>
      <c r="E3382">
        <v>30</v>
      </c>
      <c r="F3382">
        <v>0</v>
      </c>
      <c r="G3382" t="s">
        <v>2023</v>
      </c>
      <c r="H3382" t="s">
        <v>52</v>
      </c>
      <c r="I3382" t="s">
        <v>2210</v>
      </c>
      <c r="J3382" t="s">
        <v>437</v>
      </c>
      <c r="K3382" t="s">
        <v>438</v>
      </c>
      <c r="L3382" t="s">
        <v>439</v>
      </c>
      <c r="M3382" t="s">
        <v>6</v>
      </c>
    </row>
    <row r="3383" spans="2:13" hidden="1">
      <c r="B3383">
        <v>3381</v>
      </c>
      <c r="C3383">
        <v>267</v>
      </c>
      <c r="D3383">
        <v>77</v>
      </c>
      <c r="E3383">
        <v>31</v>
      </c>
      <c r="F3383">
        <v>0</v>
      </c>
      <c r="G3383" t="s">
        <v>2023</v>
      </c>
      <c r="H3383" t="s">
        <v>52</v>
      </c>
      <c r="I3383" t="s">
        <v>2210</v>
      </c>
      <c r="J3383" t="s">
        <v>64</v>
      </c>
      <c r="K3383" t="s">
        <v>440</v>
      </c>
      <c r="M3383" t="s">
        <v>6</v>
      </c>
    </row>
    <row r="3384" spans="2:13" hidden="1">
      <c r="B3384">
        <v>3382</v>
      </c>
      <c r="C3384">
        <v>267</v>
      </c>
      <c r="D3384">
        <v>77</v>
      </c>
      <c r="E3384">
        <v>32</v>
      </c>
      <c r="F3384">
        <v>0</v>
      </c>
      <c r="G3384" t="s">
        <v>2023</v>
      </c>
      <c r="H3384" t="s">
        <v>52</v>
      </c>
      <c r="I3384" t="s">
        <v>2210</v>
      </c>
      <c r="J3384" t="s">
        <v>55</v>
      </c>
      <c r="K3384" t="s">
        <v>442</v>
      </c>
      <c r="M3384" t="s">
        <v>6</v>
      </c>
    </row>
    <row r="3385" spans="2:13" hidden="1">
      <c r="B3385">
        <v>3383</v>
      </c>
      <c r="C3385">
        <v>267</v>
      </c>
      <c r="D3385">
        <v>77</v>
      </c>
      <c r="E3385">
        <v>33</v>
      </c>
      <c r="F3385">
        <v>0</v>
      </c>
      <c r="G3385" t="s">
        <v>2023</v>
      </c>
      <c r="H3385" t="s">
        <v>52</v>
      </c>
      <c r="I3385" t="s">
        <v>2210</v>
      </c>
      <c r="J3385" t="s">
        <v>214</v>
      </c>
      <c r="K3385" t="s">
        <v>443</v>
      </c>
      <c r="M3385" t="s">
        <v>6</v>
      </c>
    </row>
    <row r="3386" spans="2:13" hidden="1">
      <c r="B3386">
        <v>3384</v>
      </c>
      <c r="C3386">
        <v>267</v>
      </c>
      <c r="D3386">
        <v>77</v>
      </c>
      <c r="E3386">
        <v>34</v>
      </c>
      <c r="F3386">
        <v>0</v>
      </c>
      <c r="G3386" t="s">
        <v>2023</v>
      </c>
      <c r="H3386" t="s">
        <v>52</v>
      </c>
      <c r="I3386" t="s">
        <v>2210</v>
      </c>
      <c r="J3386" t="s">
        <v>479</v>
      </c>
      <c r="K3386" t="s">
        <v>2220</v>
      </c>
      <c r="M3386" t="s">
        <v>6</v>
      </c>
    </row>
    <row r="3387" spans="2:13" hidden="1">
      <c r="B3387">
        <v>3385</v>
      </c>
      <c r="C3387">
        <v>267</v>
      </c>
      <c r="D3387">
        <v>77</v>
      </c>
      <c r="E3387">
        <v>35</v>
      </c>
      <c r="F3387">
        <v>0</v>
      </c>
      <c r="G3387" t="s">
        <v>2023</v>
      </c>
      <c r="H3387" t="s">
        <v>52</v>
      </c>
      <c r="I3387" t="s">
        <v>2210</v>
      </c>
      <c r="J3387" t="s">
        <v>55</v>
      </c>
      <c r="K3387" t="s">
        <v>2025</v>
      </c>
      <c r="M3387" t="s">
        <v>6</v>
      </c>
    </row>
    <row r="3388" spans="2:13" hidden="1">
      <c r="B3388">
        <v>3386</v>
      </c>
      <c r="C3388">
        <v>267</v>
      </c>
      <c r="D3388">
        <v>77</v>
      </c>
      <c r="E3388">
        <v>36</v>
      </c>
      <c r="F3388">
        <v>0</v>
      </c>
      <c r="G3388" t="s">
        <v>2023</v>
      </c>
      <c r="H3388" t="s">
        <v>52</v>
      </c>
      <c r="I3388" t="s">
        <v>2210</v>
      </c>
      <c r="J3388" t="s">
        <v>55</v>
      </c>
      <c r="K3388" t="s">
        <v>429</v>
      </c>
      <c r="M3388" t="s">
        <v>6</v>
      </c>
    </row>
    <row r="3389" spans="2:13" hidden="1">
      <c r="B3389">
        <v>3387</v>
      </c>
      <c r="C3389">
        <v>267</v>
      </c>
      <c r="D3389">
        <v>77</v>
      </c>
      <c r="E3389">
        <v>37</v>
      </c>
      <c r="F3389">
        <v>0</v>
      </c>
      <c r="G3389" t="s">
        <v>2023</v>
      </c>
      <c r="H3389" t="s">
        <v>52</v>
      </c>
      <c r="I3389" t="s">
        <v>2210</v>
      </c>
      <c r="J3389" t="s">
        <v>55</v>
      </c>
      <c r="K3389" t="s">
        <v>430</v>
      </c>
      <c r="M3389" t="s">
        <v>6</v>
      </c>
    </row>
    <row r="3390" spans="2:13" hidden="1">
      <c r="B3390">
        <v>3388</v>
      </c>
      <c r="C3390">
        <v>267</v>
      </c>
      <c r="D3390">
        <v>77</v>
      </c>
      <c r="E3390">
        <v>38</v>
      </c>
      <c r="F3390">
        <v>0</v>
      </c>
      <c r="G3390" t="s">
        <v>2023</v>
      </c>
      <c r="H3390" t="s">
        <v>52</v>
      </c>
      <c r="I3390" t="s">
        <v>2210</v>
      </c>
      <c r="J3390" t="s">
        <v>55</v>
      </c>
      <c r="K3390" t="s">
        <v>2221</v>
      </c>
      <c r="M3390" t="s">
        <v>6</v>
      </c>
    </row>
    <row r="3391" spans="2:13" hidden="1">
      <c r="B3391">
        <v>3389</v>
      </c>
      <c r="C3391">
        <v>267</v>
      </c>
      <c r="D3391">
        <v>77</v>
      </c>
      <c r="E3391">
        <v>39</v>
      </c>
      <c r="F3391">
        <v>0</v>
      </c>
      <c r="G3391" t="s">
        <v>2023</v>
      </c>
      <c r="H3391" t="s">
        <v>52</v>
      </c>
      <c r="I3391" t="s">
        <v>2210</v>
      </c>
      <c r="J3391" t="s">
        <v>55</v>
      </c>
      <c r="K3391" t="s">
        <v>2222</v>
      </c>
      <c r="M3391" t="s">
        <v>6</v>
      </c>
    </row>
    <row r="3392" spans="2:13" hidden="1">
      <c r="B3392">
        <v>3390</v>
      </c>
      <c r="C3392">
        <v>267</v>
      </c>
      <c r="D3392">
        <v>77</v>
      </c>
      <c r="E3392">
        <v>40</v>
      </c>
      <c r="F3392">
        <v>0</v>
      </c>
      <c r="G3392" t="s">
        <v>2023</v>
      </c>
      <c r="H3392" t="s">
        <v>52</v>
      </c>
      <c r="I3392" t="s">
        <v>2210</v>
      </c>
      <c r="J3392" t="s">
        <v>55</v>
      </c>
      <c r="K3392" t="s">
        <v>2223</v>
      </c>
      <c r="M3392" t="s">
        <v>6</v>
      </c>
    </row>
    <row r="3393" spans="2:13" hidden="1">
      <c r="B3393">
        <v>3391</v>
      </c>
      <c r="C3393">
        <v>267</v>
      </c>
      <c r="D3393">
        <v>77</v>
      </c>
      <c r="E3393">
        <v>41</v>
      </c>
      <c r="F3393">
        <v>0</v>
      </c>
      <c r="G3393" t="s">
        <v>2023</v>
      </c>
      <c r="H3393" t="s">
        <v>52</v>
      </c>
      <c r="I3393" t="s">
        <v>2210</v>
      </c>
      <c r="J3393" t="s">
        <v>55</v>
      </c>
      <c r="K3393" t="s">
        <v>2224</v>
      </c>
      <c r="M3393" t="s">
        <v>6</v>
      </c>
    </row>
    <row r="3394" spans="2:13" hidden="1">
      <c r="B3394">
        <v>3392</v>
      </c>
      <c r="C3394">
        <v>267</v>
      </c>
      <c r="D3394">
        <v>77</v>
      </c>
      <c r="E3394">
        <v>42</v>
      </c>
      <c r="F3394">
        <v>0</v>
      </c>
      <c r="G3394" t="s">
        <v>2023</v>
      </c>
      <c r="H3394" t="s">
        <v>52</v>
      </c>
      <c r="I3394" t="s">
        <v>2210</v>
      </c>
      <c r="J3394" t="s">
        <v>55</v>
      </c>
      <c r="K3394" t="s">
        <v>436</v>
      </c>
      <c r="M3394" t="s">
        <v>6</v>
      </c>
    </row>
    <row r="3395" spans="2:13" hidden="1">
      <c r="B3395">
        <v>3393</v>
      </c>
      <c r="C3395">
        <v>267</v>
      </c>
      <c r="D3395">
        <v>77</v>
      </c>
      <c r="E3395">
        <v>43</v>
      </c>
      <c r="F3395">
        <v>0</v>
      </c>
      <c r="G3395" t="s">
        <v>2023</v>
      </c>
      <c r="H3395" t="s">
        <v>52</v>
      </c>
      <c r="I3395" t="s">
        <v>2210</v>
      </c>
      <c r="J3395" t="s">
        <v>437</v>
      </c>
      <c r="K3395" t="s">
        <v>438</v>
      </c>
      <c r="L3395" t="s">
        <v>439</v>
      </c>
      <c r="M3395" t="s">
        <v>6</v>
      </c>
    </row>
    <row r="3396" spans="2:13" hidden="1">
      <c r="B3396">
        <v>3394</v>
      </c>
      <c r="C3396">
        <v>267</v>
      </c>
      <c r="D3396">
        <v>77</v>
      </c>
      <c r="E3396">
        <v>44</v>
      </c>
      <c r="F3396">
        <v>0</v>
      </c>
      <c r="G3396" t="s">
        <v>2023</v>
      </c>
      <c r="H3396" t="s">
        <v>52</v>
      </c>
      <c r="I3396" t="s">
        <v>2210</v>
      </c>
      <c r="J3396" t="s">
        <v>64</v>
      </c>
      <c r="K3396" t="s">
        <v>440</v>
      </c>
      <c r="M3396" t="s">
        <v>6</v>
      </c>
    </row>
    <row r="3397" spans="2:13" hidden="1">
      <c r="B3397">
        <v>3395</v>
      </c>
      <c r="C3397">
        <v>267</v>
      </c>
      <c r="D3397">
        <v>77</v>
      </c>
      <c r="E3397">
        <v>45</v>
      </c>
      <c r="F3397">
        <v>0</v>
      </c>
      <c r="G3397" t="s">
        <v>2023</v>
      </c>
      <c r="H3397" t="s">
        <v>52</v>
      </c>
      <c r="I3397" t="s">
        <v>2210</v>
      </c>
      <c r="J3397" t="s">
        <v>55</v>
      </c>
      <c r="K3397" t="s">
        <v>441</v>
      </c>
      <c r="M3397" t="s">
        <v>6</v>
      </c>
    </row>
    <row r="3398" spans="2:13" hidden="1">
      <c r="B3398">
        <v>3396</v>
      </c>
      <c r="C3398">
        <v>267</v>
      </c>
      <c r="D3398">
        <v>77</v>
      </c>
      <c r="E3398">
        <v>46</v>
      </c>
      <c r="F3398">
        <v>0</v>
      </c>
      <c r="G3398" t="s">
        <v>2023</v>
      </c>
      <c r="H3398" t="s">
        <v>52</v>
      </c>
      <c r="I3398" t="s">
        <v>2210</v>
      </c>
      <c r="J3398" t="s">
        <v>437</v>
      </c>
      <c r="K3398" t="s">
        <v>438</v>
      </c>
      <c r="L3398" t="s">
        <v>439</v>
      </c>
      <c r="M3398" t="s">
        <v>6</v>
      </c>
    </row>
    <row r="3399" spans="2:13" hidden="1">
      <c r="B3399">
        <v>3397</v>
      </c>
      <c r="C3399">
        <v>267</v>
      </c>
      <c r="D3399">
        <v>77</v>
      </c>
      <c r="E3399">
        <v>47</v>
      </c>
      <c r="F3399">
        <v>0</v>
      </c>
      <c r="G3399" t="s">
        <v>2023</v>
      </c>
      <c r="H3399" t="s">
        <v>52</v>
      </c>
      <c r="I3399" t="s">
        <v>2210</v>
      </c>
      <c r="J3399" t="s">
        <v>64</v>
      </c>
      <c r="K3399" t="s">
        <v>440</v>
      </c>
      <c r="M3399" t="s">
        <v>6</v>
      </c>
    </row>
    <row r="3400" spans="2:13" hidden="1">
      <c r="B3400">
        <v>3398</v>
      </c>
      <c r="C3400">
        <v>267</v>
      </c>
      <c r="D3400">
        <v>77</v>
      </c>
      <c r="E3400">
        <v>48</v>
      </c>
      <c r="F3400">
        <v>0</v>
      </c>
      <c r="G3400" t="s">
        <v>2023</v>
      </c>
      <c r="H3400" t="s">
        <v>52</v>
      </c>
      <c r="I3400" t="s">
        <v>2210</v>
      </c>
      <c r="J3400" t="s">
        <v>55</v>
      </c>
      <c r="K3400" t="s">
        <v>442</v>
      </c>
      <c r="M3400" t="s">
        <v>6</v>
      </c>
    </row>
    <row r="3401" spans="2:13" hidden="1">
      <c r="B3401">
        <v>3399</v>
      </c>
      <c r="C3401">
        <v>267</v>
      </c>
      <c r="D3401">
        <v>77</v>
      </c>
      <c r="E3401">
        <v>49</v>
      </c>
      <c r="F3401">
        <v>0</v>
      </c>
      <c r="G3401" t="s">
        <v>2023</v>
      </c>
      <c r="H3401" t="s">
        <v>52</v>
      </c>
      <c r="I3401" t="s">
        <v>2210</v>
      </c>
      <c r="J3401" t="s">
        <v>214</v>
      </c>
      <c r="K3401" t="s">
        <v>443</v>
      </c>
      <c r="M3401" t="s">
        <v>6</v>
      </c>
    </row>
    <row r="3402" spans="2:13" hidden="1">
      <c r="B3402">
        <v>3400</v>
      </c>
      <c r="C3402">
        <v>267</v>
      </c>
      <c r="D3402">
        <v>77</v>
      </c>
      <c r="E3402">
        <v>50</v>
      </c>
      <c r="F3402">
        <v>0</v>
      </c>
      <c r="G3402" t="s">
        <v>2023</v>
      </c>
      <c r="H3402" t="s">
        <v>52</v>
      </c>
      <c r="I3402" t="s">
        <v>2210</v>
      </c>
      <c r="J3402" t="s">
        <v>479</v>
      </c>
      <c r="K3402" t="s">
        <v>2225</v>
      </c>
      <c r="M3402" t="s">
        <v>6</v>
      </c>
    </row>
    <row r="3403" spans="2:13" hidden="1">
      <c r="B3403">
        <v>3401</v>
      </c>
      <c r="C3403">
        <v>267</v>
      </c>
      <c r="D3403">
        <v>77</v>
      </c>
      <c r="E3403">
        <v>51</v>
      </c>
      <c r="F3403">
        <v>0</v>
      </c>
      <c r="G3403" t="s">
        <v>2023</v>
      </c>
      <c r="H3403" t="s">
        <v>52</v>
      </c>
      <c r="I3403" t="s">
        <v>2210</v>
      </c>
      <c r="J3403" t="s">
        <v>55</v>
      </c>
      <c r="K3403" t="s">
        <v>2025</v>
      </c>
      <c r="M3403" t="s">
        <v>6</v>
      </c>
    </row>
    <row r="3404" spans="2:13" hidden="1">
      <c r="B3404">
        <v>3402</v>
      </c>
      <c r="C3404">
        <v>267</v>
      </c>
      <c r="D3404">
        <v>77</v>
      </c>
      <c r="E3404">
        <v>52</v>
      </c>
      <c r="F3404">
        <v>0</v>
      </c>
      <c r="G3404" t="s">
        <v>2023</v>
      </c>
      <c r="H3404" t="s">
        <v>52</v>
      </c>
      <c r="I3404" t="s">
        <v>2210</v>
      </c>
      <c r="J3404" t="s">
        <v>55</v>
      </c>
      <c r="K3404" t="s">
        <v>429</v>
      </c>
      <c r="M3404" t="s">
        <v>6</v>
      </c>
    </row>
    <row r="3405" spans="2:13" hidden="1">
      <c r="B3405">
        <v>3403</v>
      </c>
      <c r="C3405">
        <v>267</v>
      </c>
      <c r="D3405">
        <v>77</v>
      </c>
      <c r="E3405">
        <v>53</v>
      </c>
      <c r="F3405">
        <v>0</v>
      </c>
      <c r="G3405" t="s">
        <v>2023</v>
      </c>
      <c r="H3405" t="s">
        <v>52</v>
      </c>
      <c r="I3405" t="s">
        <v>2210</v>
      </c>
      <c r="J3405" t="s">
        <v>55</v>
      </c>
      <c r="K3405" t="s">
        <v>430</v>
      </c>
      <c r="M3405" t="s">
        <v>6</v>
      </c>
    </row>
    <row r="3406" spans="2:13" hidden="1">
      <c r="B3406">
        <v>3404</v>
      </c>
      <c r="C3406">
        <v>267</v>
      </c>
      <c r="D3406">
        <v>77</v>
      </c>
      <c r="E3406">
        <v>54</v>
      </c>
      <c r="F3406">
        <v>0</v>
      </c>
      <c r="G3406" t="s">
        <v>2023</v>
      </c>
      <c r="H3406" t="s">
        <v>52</v>
      </c>
      <c r="I3406" t="s">
        <v>2210</v>
      </c>
      <c r="J3406" t="s">
        <v>55</v>
      </c>
      <c r="K3406" t="s">
        <v>2226</v>
      </c>
      <c r="M3406" t="s">
        <v>6</v>
      </c>
    </row>
    <row r="3407" spans="2:13" hidden="1">
      <c r="B3407">
        <v>3405</v>
      </c>
      <c r="C3407">
        <v>267</v>
      </c>
      <c r="D3407">
        <v>77</v>
      </c>
      <c r="E3407">
        <v>55</v>
      </c>
      <c r="F3407">
        <v>0</v>
      </c>
      <c r="G3407" t="s">
        <v>2023</v>
      </c>
      <c r="H3407" t="s">
        <v>52</v>
      </c>
      <c r="I3407" t="s">
        <v>2210</v>
      </c>
      <c r="J3407" t="s">
        <v>55</v>
      </c>
      <c r="K3407" t="s">
        <v>2227</v>
      </c>
      <c r="M3407" t="s">
        <v>6</v>
      </c>
    </row>
    <row r="3408" spans="2:13" hidden="1">
      <c r="B3408">
        <v>3406</v>
      </c>
      <c r="C3408">
        <v>267</v>
      </c>
      <c r="D3408">
        <v>77</v>
      </c>
      <c r="E3408">
        <v>56</v>
      </c>
      <c r="F3408">
        <v>0</v>
      </c>
      <c r="G3408" t="s">
        <v>2023</v>
      </c>
      <c r="H3408" t="s">
        <v>52</v>
      </c>
      <c r="I3408" t="s">
        <v>2210</v>
      </c>
      <c r="J3408" t="s">
        <v>55</v>
      </c>
      <c r="K3408" t="s">
        <v>436</v>
      </c>
      <c r="M3408" t="s">
        <v>6</v>
      </c>
    </row>
    <row r="3409" spans="2:13" hidden="1">
      <c r="B3409">
        <v>3407</v>
      </c>
      <c r="C3409">
        <v>267</v>
      </c>
      <c r="D3409">
        <v>77</v>
      </c>
      <c r="E3409">
        <v>57</v>
      </c>
      <c r="F3409">
        <v>0</v>
      </c>
      <c r="G3409" t="s">
        <v>2023</v>
      </c>
      <c r="H3409" t="s">
        <v>52</v>
      </c>
      <c r="I3409" t="s">
        <v>2210</v>
      </c>
      <c r="J3409" t="s">
        <v>437</v>
      </c>
      <c r="K3409" t="s">
        <v>438</v>
      </c>
      <c r="L3409" t="s">
        <v>439</v>
      </c>
      <c r="M3409" t="s">
        <v>6</v>
      </c>
    </row>
    <row r="3410" spans="2:13" hidden="1">
      <c r="B3410">
        <v>3408</v>
      </c>
      <c r="C3410">
        <v>267</v>
      </c>
      <c r="D3410">
        <v>77</v>
      </c>
      <c r="E3410">
        <v>58</v>
      </c>
      <c r="F3410">
        <v>0</v>
      </c>
      <c r="G3410" t="s">
        <v>2023</v>
      </c>
      <c r="H3410" t="s">
        <v>52</v>
      </c>
      <c r="I3410" t="s">
        <v>2210</v>
      </c>
      <c r="J3410" t="s">
        <v>64</v>
      </c>
      <c r="K3410" t="s">
        <v>440</v>
      </c>
      <c r="M3410" t="s">
        <v>6</v>
      </c>
    </row>
    <row r="3411" spans="2:13" hidden="1">
      <c r="B3411">
        <v>3409</v>
      </c>
      <c r="C3411">
        <v>267</v>
      </c>
      <c r="D3411">
        <v>77</v>
      </c>
      <c r="E3411">
        <v>59</v>
      </c>
      <c r="F3411">
        <v>0</v>
      </c>
      <c r="G3411" t="s">
        <v>2023</v>
      </c>
      <c r="H3411" t="s">
        <v>52</v>
      </c>
      <c r="I3411" t="s">
        <v>2210</v>
      </c>
      <c r="J3411" t="s">
        <v>55</v>
      </c>
      <c r="K3411" t="s">
        <v>441</v>
      </c>
      <c r="M3411" t="s">
        <v>6</v>
      </c>
    </row>
    <row r="3412" spans="2:13" hidden="1">
      <c r="B3412">
        <v>3410</v>
      </c>
      <c r="C3412">
        <v>267</v>
      </c>
      <c r="D3412">
        <v>77</v>
      </c>
      <c r="E3412">
        <v>60</v>
      </c>
      <c r="F3412">
        <v>0</v>
      </c>
      <c r="G3412" t="s">
        <v>2023</v>
      </c>
      <c r="H3412" t="s">
        <v>52</v>
      </c>
      <c r="I3412" t="s">
        <v>2210</v>
      </c>
      <c r="J3412" t="s">
        <v>437</v>
      </c>
      <c r="K3412" t="s">
        <v>438</v>
      </c>
      <c r="L3412" t="s">
        <v>439</v>
      </c>
      <c r="M3412" t="s">
        <v>6</v>
      </c>
    </row>
    <row r="3413" spans="2:13" hidden="1">
      <c r="B3413">
        <v>3411</v>
      </c>
      <c r="C3413">
        <v>267</v>
      </c>
      <c r="D3413">
        <v>77</v>
      </c>
      <c r="E3413">
        <v>61</v>
      </c>
      <c r="F3413">
        <v>0</v>
      </c>
      <c r="G3413" t="s">
        <v>2023</v>
      </c>
      <c r="H3413" t="s">
        <v>52</v>
      </c>
      <c r="I3413" t="s">
        <v>2210</v>
      </c>
      <c r="J3413" t="s">
        <v>64</v>
      </c>
      <c r="K3413" t="s">
        <v>440</v>
      </c>
      <c r="M3413" t="s">
        <v>6</v>
      </c>
    </row>
    <row r="3414" spans="2:13" hidden="1">
      <c r="B3414">
        <v>3412</v>
      </c>
      <c r="C3414">
        <v>267</v>
      </c>
      <c r="D3414">
        <v>77</v>
      </c>
      <c r="E3414">
        <v>62</v>
      </c>
      <c r="F3414">
        <v>0</v>
      </c>
      <c r="G3414" t="s">
        <v>2023</v>
      </c>
      <c r="H3414" t="s">
        <v>52</v>
      </c>
      <c r="I3414" t="s">
        <v>2210</v>
      </c>
      <c r="J3414" t="s">
        <v>55</v>
      </c>
      <c r="K3414" t="s">
        <v>442</v>
      </c>
      <c r="M3414" t="s">
        <v>6</v>
      </c>
    </row>
    <row r="3415" spans="2:13" hidden="1">
      <c r="B3415">
        <v>3413</v>
      </c>
      <c r="C3415">
        <v>267</v>
      </c>
      <c r="D3415">
        <v>77</v>
      </c>
      <c r="E3415">
        <v>63</v>
      </c>
      <c r="F3415">
        <v>0</v>
      </c>
      <c r="G3415" t="s">
        <v>2023</v>
      </c>
      <c r="H3415" t="s">
        <v>52</v>
      </c>
      <c r="I3415" t="s">
        <v>2210</v>
      </c>
      <c r="J3415" t="s">
        <v>214</v>
      </c>
      <c r="K3415" t="s">
        <v>443</v>
      </c>
      <c r="M3415" t="s">
        <v>6</v>
      </c>
    </row>
    <row r="3416" spans="2:13" hidden="1">
      <c r="B3416">
        <v>3414</v>
      </c>
      <c r="C3416">
        <v>267</v>
      </c>
      <c r="D3416">
        <v>77</v>
      </c>
      <c r="E3416">
        <v>64</v>
      </c>
      <c r="F3416">
        <v>0</v>
      </c>
      <c r="G3416" t="s">
        <v>2023</v>
      </c>
      <c r="H3416" t="s">
        <v>52</v>
      </c>
      <c r="I3416" t="s">
        <v>2210</v>
      </c>
      <c r="J3416" t="s">
        <v>479</v>
      </c>
      <c r="K3416" t="s">
        <v>2228</v>
      </c>
      <c r="M3416" t="s">
        <v>6</v>
      </c>
    </row>
    <row r="3417" spans="2:13" hidden="1">
      <c r="B3417">
        <v>3415</v>
      </c>
      <c r="C3417">
        <v>267</v>
      </c>
      <c r="D3417">
        <v>77</v>
      </c>
      <c r="E3417">
        <v>65</v>
      </c>
      <c r="F3417">
        <v>0</v>
      </c>
      <c r="G3417" t="s">
        <v>2023</v>
      </c>
      <c r="H3417" t="s">
        <v>52</v>
      </c>
      <c r="I3417" t="s">
        <v>2210</v>
      </c>
      <c r="J3417" t="s">
        <v>55</v>
      </c>
      <c r="K3417" t="s">
        <v>2229</v>
      </c>
      <c r="M3417" t="s">
        <v>6</v>
      </c>
    </row>
    <row r="3418" spans="2:13" hidden="1">
      <c r="B3418">
        <v>3416</v>
      </c>
      <c r="C3418">
        <v>267</v>
      </c>
      <c r="D3418">
        <v>77</v>
      </c>
      <c r="E3418">
        <v>66</v>
      </c>
      <c r="F3418">
        <v>0</v>
      </c>
      <c r="G3418" t="s">
        <v>2023</v>
      </c>
      <c r="H3418" t="s">
        <v>52</v>
      </c>
      <c r="I3418" t="s">
        <v>2210</v>
      </c>
      <c r="J3418" t="s">
        <v>55</v>
      </c>
      <c r="K3418" t="s">
        <v>436</v>
      </c>
      <c r="M3418" t="s">
        <v>6</v>
      </c>
    </row>
    <row r="3419" spans="2:13" hidden="1">
      <c r="B3419">
        <v>3417</v>
      </c>
      <c r="C3419">
        <v>267</v>
      </c>
      <c r="D3419">
        <v>77</v>
      </c>
      <c r="E3419">
        <v>67</v>
      </c>
      <c r="F3419">
        <v>0</v>
      </c>
      <c r="G3419" t="s">
        <v>2023</v>
      </c>
      <c r="H3419" t="s">
        <v>52</v>
      </c>
      <c r="I3419" t="s">
        <v>2210</v>
      </c>
      <c r="J3419" t="s">
        <v>214</v>
      </c>
      <c r="K3419" t="s">
        <v>2230</v>
      </c>
      <c r="M3419" t="s">
        <v>6</v>
      </c>
    </row>
    <row r="3420" spans="2:13" hidden="1">
      <c r="B3420">
        <v>3418</v>
      </c>
      <c r="C3420">
        <v>267</v>
      </c>
      <c r="D3420">
        <v>77</v>
      </c>
      <c r="E3420">
        <v>68</v>
      </c>
      <c r="F3420">
        <v>0</v>
      </c>
      <c r="G3420" t="s">
        <v>2023</v>
      </c>
      <c r="H3420" t="s">
        <v>52</v>
      </c>
      <c r="I3420" t="s">
        <v>2210</v>
      </c>
      <c r="J3420" t="s">
        <v>64</v>
      </c>
      <c r="K3420" t="s">
        <v>440</v>
      </c>
      <c r="M3420" t="s">
        <v>6</v>
      </c>
    </row>
    <row r="3421" spans="2:13" hidden="1">
      <c r="B3421">
        <v>3419</v>
      </c>
      <c r="C3421">
        <v>267</v>
      </c>
      <c r="D3421">
        <v>77</v>
      </c>
      <c r="E3421">
        <v>69</v>
      </c>
      <c r="F3421">
        <v>0</v>
      </c>
      <c r="G3421" t="s">
        <v>2023</v>
      </c>
      <c r="H3421" t="s">
        <v>52</v>
      </c>
      <c r="I3421" t="s">
        <v>2210</v>
      </c>
      <c r="J3421" t="s">
        <v>479</v>
      </c>
      <c r="K3421" t="s">
        <v>2231</v>
      </c>
      <c r="M3421" t="s">
        <v>6</v>
      </c>
    </row>
    <row r="3422" spans="2:13" hidden="1">
      <c r="B3422">
        <v>3420</v>
      </c>
      <c r="C3422">
        <v>267</v>
      </c>
      <c r="D3422">
        <v>77</v>
      </c>
      <c r="E3422">
        <v>70</v>
      </c>
      <c r="F3422">
        <v>0</v>
      </c>
      <c r="G3422" t="s">
        <v>2023</v>
      </c>
      <c r="H3422" t="s">
        <v>52</v>
      </c>
      <c r="I3422" t="s">
        <v>2210</v>
      </c>
      <c r="J3422" t="s">
        <v>55</v>
      </c>
      <c r="K3422" t="s">
        <v>2035</v>
      </c>
      <c r="M3422" t="s">
        <v>6</v>
      </c>
    </row>
    <row r="3423" spans="2:13" hidden="1">
      <c r="B3423">
        <v>3421</v>
      </c>
      <c r="C3423">
        <v>267</v>
      </c>
      <c r="D3423">
        <v>77</v>
      </c>
      <c r="E3423">
        <v>71</v>
      </c>
      <c r="F3423">
        <v>0</v>
      </c>
      <c r="G3423" t="s">
        <v>2023</v>
      </c>
      <c r="H3423" t="s">
        <v>52</v>
      </c>
      <c r="I3423" t="s">
        <v>2210</v>
      </c>
      <c r="J3423" t="s">
        <v>214</v>
      </c>
      <c r="K3423" t="s">
        <v>2036</v>
      </c>
      <c r="M3423" t="s">
        <v>6</v>
      </c>
    </row>
    <row r="3424" spans="2:13" hidden="1">
      <c r="B3424">
        <v>3422</v>
      </c>
      <c r="C3424">
        <v>267</v>
      </c>
      <c r="D3424">
        <v>77</v>
      </c>
      <c r="E3424">
        <v>72</v>
      </c>
      <c r="F3424">
        <v>0</v>
      </c>
      <c r="G3424" t="s">
        <v>2023</v>
      </c>
      <c r="H3424" t="s">
        <v>52</v>
      </c>
      <c r="I3424" t="s">
        <v>2210</v>
      </c>
      <c r="J3424" t="s">
        <v>214</v>
      </c>
      <c r="K3424" t="s">
        <v>1618</v>
      </c>
      <c r="M3424" t="s">
        <v>6</v>
      </c>
    </row>
    <row r="3425" spans="2:13" hidden="1">
      <c r="B3425">
        <v>3423</v>
      </c>
      <c r="C3425">
        <v>267</v>
      </c>
      <c r="D3425">
        <v>77</v>
      </c>
      <c r="E3425">
        <v>73</v>
      </c>
      <c r="F3425">
        <v>0</v>
      </c>
      <c r="G3425" t="s">
        <v>2023</v>
      </c>
      <c r="H3425" t="s">
        <v>52</v>
      </c>
      <c r="I3425" t="s">
        <v>2210</v>
      </c>
      <c r="J3425" t="s">
        <v>214</v>
      </c>
      <c r="K3425" t="s">
        <v>1619</v>
      </c>
      <c r="M3425" t="s">
        <v>6</v>
      </c>
    </row>
    <row r="3426" spans="2:13" hidden="1">
      <c r="B3426">
        <v>3424</v>
      </c>
      <c r="C3426">
        <v>267</v>
      </c>
      <c r="D3426">
        <v>77</v>
      </c>
      <c r="E3426">
        <v>74</v>
      </c>
      <c r="F3426">
        <v>0</v>
      </c>
      <c r="G3426" t="s">
        <v>2023</v>
      </c>
      <c r="H3426" t="s">
        <v>52</v>
      </c>
      <c r="I3426" t="s">
        <v>2210</v>
      </c>
      <c r="J3426" t="s">
        <v>214</v>
      </c>
      <c r="K3426" t="s">
        <v>1620</v>
      </c>
      <c r="M3426" t="s">
        <v>6</v>
      </c>
    </row>
    <row r="3427" spans="2:13" hidden="1">
      <c r="B3427">
        <v>3425</v>
      </c>
      <c r="C3427">
        <v>267</v>
      </c>
      <c r="D3427">
        <v>77</v>
      </c>
      <c r="E3427">
        <v>75</v>
      </c>
      <c r="F3427">
        <v>0</v>
      </c>
      <c r="G3427" t="s">
        <v>2023</v>
      </c>
      <c r="H3427" t="s">
        <v>52</v>
      </c>
      <c r="I3427" t="s">
        <v>2210</v>
      </c>
      <c r="J3427" t="s">
        <v>55</v>
      </c>
      <c r="K3427" t="s">
        <v>1581</v>
      </c>
      <c r="M3427" t="s">
        <v>6</v>
      </c>
    </row>
    <row r="3428" spans="2:13" hidden="1">
      <c r="B3428">
        <v>3426</v>
      </c>
      <c r="C3428">
        <v>267</v>
      </c>
      <c r="D3428">
        <v>77</v>
      </c>
      <c r="E3428">
        <v>76</v>
      </c>
      <c r="F3428">
        <v>0</v>
      </c>
      <c r="G3428" t="s">
        <v>2023</v>
      </c>
      <c r="H3428" t="s">
        <v>52</v>
      </c>
      <c r="I3428" t="s">
        <v>2210</v>
      </c>
      <c r="J3428" t="s">
        <v>55</v>
      </c>
      <c r="K3428" t="s">
        <v>1582</v>
      </c>
      <c r="M3428" t="s">
        <v>6</v>
      </c>
    </row>
    <row r="3429" spans="2:13" hidden="1">
      <c r="B3429">
        <v>3427</v>
      </c>
      <c r="C3429">
        <v>267</v>
      </c>
      <c r="D3429">
        <v>77</v>
      </c>
      <c r="E3429">
        <v>77</v>
      </c>
      <c r="F3429">
        <v>0</v>
      </c>
      <c r="G3429" t="s">
        <v>2023</v>
      </c>
      <c r="H3429" t="s">
        <v>52</v>
      </c>
      <c r="I3429" t="s">
        <v>2210</v>
      </c>
      <c r="J3429" t="s">
        <v>55</v>
      </c>
      <c r="K3429" t="s">
        <v>1583</v>
      </c>
      <c r="M3429" t="s">
        <v>6</v>
      </c>
    </row>
    <row r="3430" spans="2:13" hidden="1">
      <c r="B3430">
        <v>3428</v>
      </c>
      <c r="C3430">
        <v>268</v>
      </c>
      <c r="D3430">
        <v>48</v>
      </c>
      <c r="E3430">
        <v>0</v>
      </c>
      <c r="F3430">
        <v>0</v>
      </c>
      <c r="G3430" t="s">
        <v>2023</v>
      </c>
      <c r="H3430" t="s">
        <v>52</v>
      </c>
      <c r="I3430" t="s">
        <v>2232</v>
      </c>
      <c r="J3430" t="s">
        <v>478</v>
      </c>
      <c r="K3430" t="s">
        <v>2232</v>
      </c>
      <c r="M3430" t="s">
        <v>6</v>
      </c>
    </row>
    <row r="3431" spans="2:13" hidden="1">
      <c r="B3431">
        <v>3429</v>
      </c>
      <c r="C3431">
        <v>268</v>
      </c>
      <c r="D3431">
        <v>48</v>
      </c>
      <c r="E3431">
        <v>1</v>
      </c>
      <c r="F3431">
        <v>0</v>
      </c>
      <c r="G3431" t="s">
        <v>2023</v>
      </c>
      <c r="H3431" t="s">
        <v>52</v>
      </c>
      <c r="I3431" t="s">
        <v>2232</v>
      </c>
      <c r="J3431" t="s">
        <v>479</v>
      </c>
      <c r="K3431" t="s">
        <v>2233</v>
      </c>
      <c r="M3431" t="s">
        <v>6</v>
      </c>
    </row>
    <row r="3432" spans="2:13" hidden="1">
      <c r="B3432">
        <v>3430</v>
      </c>
      <c r="C3432">
        <v>268</v>
      </c>
      <c r="D3432">
        <v>48</v>
      </c>
      <c r="E3432">
        <v>2</v>
      </c>
      <c r="F3432">
        <v>0</v>
      </c>
      <c r="G3432" t="s">
        <v>2023</v>
      </c>
      <c r="H3432" t="s">
        <v>52</v>
      </c>
      <c r="I3432" t="s">
        <v>2232</v>
      </c>
      <c r="J3432" t="s">
        <v>55</v>
      </c>
      <c r="K3432" t="s">
        <v>2025</v>
      </c>
      <c r="M3432" t="s">
        <v>6</v>
      </c>
    </row>
    <row r="3433" spans="2:13" hidden="1">
      <c r="B3433">
        <v>3431</v>
      </c>
      <c r="C3433">
        <v>268</v>
      </c>
      <c r="D3433">
        <v>48</v>
      </c>
      <c r="E3433">
        <v>3</v>
      </c>
      <c r="F3433">
        <v>0</v>
      </c>
      <c r="G3433" t="s">
        <v>2023</v>
      </c>
      <c r="H3433" t="s">
        <v>52</v>
      </c>
      <c r="I3433" t="s">
        <v>2232</v>
      </c>
      <c r="J3433" t="s">
        <v>55</v>
      </c>
      <c r="K3433" t="s">
        <v>429</v>
      </c>
      <c r="M3433" t="s">
        <v>6</v>
      </c>
    </row>
    <row r="3434" spans="2:13" hidden="1">
      <c r="B3434">
        <v>3432</v>
      </c>
      <c r="C3434">
        <v>268</v>
      </c>
      <c r="D3434">
        <v>48</v>
      </c>
      <c r="E3434">
        <v>4</v>
      </c>
      <c r="F3434">
        <v>0</v>
      </c>
      <c r="G3434" t="s">
        <v>2023</v>
      </c>
      <c r="H3434" t="s">
        <v>52</v>
      </c>
      <c r="I3434" t="s">
        <v>2232</v>
      </c>
      <c r="J3434" t="s">
        <v>55</v>
      </c>
      <c r="K3434" t="s">
        <v>430</v>
      </c>
      <c r="M3434" t="s">
        <v>6</v>
      </c>
    </row>
    <row r="3435" spans="2:13" hidden="1">
      <c r="B3435">
        <v>3433</v>
      </c>
      <c r="C3435">
        <v>268</v>
      </c>
      <c r="D3435">
        <v>48</v>
      </c>
      <c r="E3435">
        <v>5</v>
      </c>
      <c r="F3435">
        <v>0</v>
      </c>
      <c r="G3435" t="s">
        <v>2023</v>
      </c>
      <c r="H3435" t="s">
        <v>52</v>
      </c>
      <c r="I3435" t="s">
        <v>2232</v>
      </c>
      <c r="J3435" t="s">
        <v>437</v>
      </c>
      <c r="K3435" t="s">
        <v>2234</v>
      </c>
      <c r="L3435" t="s">
        <v>2235</v>
      </c>
      <c r="M3435" t="s">
        <v>6</v>
      </c>
    </row>
    <row r="3436" spans="2:13" hidden="1">
      <c r="B3436">
        <v>3434</v>
      </c>
      <c r="C3436">
        <v>268</v>
      </c>
      <c r="D3436">
        <v>48</v>
      </c>
      <c r="E3436">
        <v>6</v>
      </c>
      <c r="F3436">
        <v>0</v>
      </c>
      <c r="G3436" t="s">
        <v>2023</v>
      </c>
      <c r="H3436" t="s">
        <v>52</v>
      </c>
      <c r="I3436" t="s">
        <v>2232</v>
      </c>
      <c r="J3436" t="s">
        <v>214</v>
      </c>
      <c r="K3436" t="s">
        <v>2236</v>
      </c>
      <c r="M3436" t="s">
        <v>6</v>
      </c>
    </row>
    <row r="3437" spans="2:13" hidden="1">
      <c r="B3437">
        <v>3435</v>
      </c>
      <c r="C3437">
        <v>268</v>
      </c>
      <c r="D3437">
        <v>48</v>
      </c>
      <c r="E3437">
        <v>7</v>
      </c>
      <c r="F3437">
        <v>0</v>
      </c>
      <c r="G3437" t="s">
        <v>2023</v>
      </c>
      <c r="H3437" t="s">
        <v>52</v>
      </c>
      <c r="I3437" t="s">
        <v>2232</v>
      </c>
      <c r="J3437" t="s">
        <v>55</v>
      </c>
      <c r="K3437" t="s">
        <v>2237</v>
      </c>
      <c r="M3437" t="s">
        <v>6</v>
      </c>
    </row>
    <row r="3438" spans="2:13" hidden="1">
      <c r="B3438">
        <v>3436</v>
      </c>
      <c r="C3438">
        <v>268</v>
      </c>
      <c r="D3438">
        <v>48</v>
      </c>
      <c r="E3438">
        <v>8</v>
      </c>
      <c r="F3438">
        <v>0</v>
      </c>
      <c r="G3438" t="s">
        <v>2023</v>
      </c>
      <c r="H3438" t="s">
        <v>52</v>
      </c>
      <c r="I3438" t="s">
        <v>2232</v>
      </c>
      <c r="J3438" t="s">
        <v>437</v>
      </c>
      <c r="K3438" t="s">
        <v>2238</v>
      </c>
      <c r="L3438" t="s">
        <v>2239</v>
      </c>
      <c r="M3438" t="s">
        <v>6</v>
      </c>
    </row>
    <row r="3439" spans="2:13" hidden="1">
      <c r="B3439">
        <v>3437</v>
      </c>
      <c r="C3439">
        <v>268</v>
      </c>
      <c r="D3439">
        <v>48</v>
      </c>
      <c r="E3439">
        <v>9</v>
      </c>
      <c r="F3439">
        <v>0</v>
      </c>
      <c r="G3439" t="s">
        <v>2023</v>
      </c>
      <c r="H3439" t="s">
        <v>52</v>
      </c>
      <c r="I3439" t="s">
        <v>2232</v>
      </c>
      <c r="J3439" t="s">
        <v>437</v>
      </c>
      <c r="K3439" t="s">
        <v>2240</v>
      </c>
      <c r="L3439" t="s">
        <v>2239</v>
      </c>
      <c r="M3439" t="s">
        <v>6</v>
      </c>
    </row>
    <row r="3440" spans="2:13" hidden="1">
      <c r="B3440">
        <v>3438</v>
      </c>
      <c r="C3440">
        <v>268</v>
      </c>
      <c r="D3440">
        <v>48</v>
      </c>
      <c r="E3440">
        <v>10</v>
      </c>
      <c r="F3440">
        <v>0</v>
      </c>
      <c r="G3440" t="s">
        <v>2023</v>
      </c>
      <c r="H3440" t="s">
        <v>52</v>
      </c>
      <c r="I3440" t="s">
        <v>2232</v>
      </c>
      <c r="J3440" t="s">
        <v>55</v>
      </c>
      <c r="K3440" t="s">
        <v>2241</v>
      </c>
      <c r="M3440" t="s">
        <v>6</v>
      </c>
    </row>
    <row r="3441" spans="2:13" hidden="1">
      <c r="B3441">
        <v>3439</v>
      </c>
      <c r="C3441">
        <v>268</v>
      </c>
      <c r="D3441">
        <v>48</v>
      </c>
      <c r="E3441">
        <v>11</v>
      </c>
      <c r="F3441">
        <v>0</v>
      </c>
      <c r="G3441" t="s">
        <v>2023</v>
      </c>
      <c r="H3441" t="s">
        <v>52</v>
      </c>
      <c r="I3441" t="s">
        <v>2232</v>
      </c>
      <c r="J3441" t="s">
        <v>55</v>
      </c>
      <c r="K3441" t="s">
        <v>2242</v>
      </c>
      <c r="M3441" t="s">
        <v>6</v>
      </c>
    </row>
    <row r="3442" spans="2:13" hidden="1">
      <c r="B3442">
        <v>3440</v>
      </c>
      <c r="C3442">
        <v>268</v>
      </c>
      <c r="D3442">
        <v>48</v>
      </c>
      <c r="E3442">
        <v>12</v>
      </c>
      <c r="F3442">
        <v>0</v>
      </c>
      <c r="G3442" t="s">
        <v>2023</v>
      </c>
      <c r="H3442" t="s">
        <v>52</v>
      </c>
      <c r="I3442" t="s">
        <v>2232</v>
      </c>
      <c r="J3442" t="s">
        <v>479</v>
      </c>
      <c r="K3442" t="s">
        <v>2243</v>
      </c>
      <c r="M3442" t="s">
        <v>6</v>
      </c>
    </row>
    <row r="3443" spans="2:13" hidden="1">
      <c r="B3443">
        <v>3441</v>
      </c>
      <c r="C3443">
        <v>268</v>
      </c>
      <c r="D3443">
        <v>48</v>
      </c>
      <c r="E3443">
        <v>13</v>
      </c>
      <c r="F3443">
        <v>0</v>
      </c>
      <c r="G3443" t="s">
        <v>2023</v>
      </c>
      <c r="H3443" t="s">
        <v>52</v>
      </c>
      <c r="I3443" t="s">
        <v>2232</v>
      </c>
      <c r="J3443" t="s">
        <v>55</v>
      </c>
      <c r="K3443" t="s">
        <v>2025</v>
      </c>
      <c r="M3443" t="s">
        <v>6</v>
      </c>
    </row>
    <row r="3444" spans="2:13" hidden="1">
      <c r="B3444">
        <v>3442</v>
      </c>
      <c r="C3444">
        <v>268</v>
      </c>
      <c r="D3444">
        <v>48</v>
      </c>
      <c r="E3444">
        <v>14</v>
      </c>
      <c r="F3444">
        <v>0</v>
      </c>
      <c r="G3444" t="s">
        <v>2023</v>
      </c>
      <c r="H3444" t="s">
        <v>52</v>
      </c>
      <c r="I3444" t="s">
        <v>2232</v>
      </c>
      <c r="J3444" t="s">
        <v>55</v>
      </c>
      <c r="K3444" t="s">
        <v>429</v>
      </c>
      <c r="M3444" t="s">
        <v>6</v>
      </c>
    </row>
    <row r="3445" spans="2:13" hidden="1">
      <c r="B3445">
        <v>3443</v>
      </c>
      <c r="C3445">
        <v>268</v>
      </c>
      <c r="D3445">
        <v>48</v>
      </c>
      <c r="E3445">
        <v>15</v>
      </c>
      <c r="F3445">
        <v>0</v>
      </c>
      <c r="G3445" t="s">
        <v>2023</v>
      </c>
      <c r="H3445" t="s">
        <v>52</v>
      </c>
      <c r="I3445" t="s">
        <v>2232</v>
      </c>
      <c r="J3445" t="s">
        <v>55</v>
      </c>
      <c r="K3445" t="s">
        <v>430</v>
      </c>
      <c r="M3445" t="s">
        <v>6</v>
      </c>
    </row>
    <row r="3446" spans="2:13" hidden="1">
      <c r="B3446">
        <v>3444</v>
      </c>
      <c r="C3446">
        <v>268</v>
      </c>
      <c r="D3446">
        <v>48</v>
      </c>
      <c r="E3446">
        <v>16</v>
      </c>
      <c r="F3446">
        <v>0</v>
      </c>
      <c r="G3446" t="s">
        <v>2023</v>
      </c>
      <c r="H3446" t="s">
        <v>52</v>
      </c>
      <c r="I3446" t="s">
        <v>2232</v>
      </c>
      <c r="J3446" t="s">
        <v>55</v>
      </c>
      <c r="K3446" t="s">
        <v>2212</v>
      </c>
      <c r="M3446" t="s">
        <v>6</v>
      </c>
    </row>
    <row r="3447" spans="2:13" hidden="1">
      <c r="B3447">
        <v>3445</v>
      </c>
      <c r="C3447">
        <v>268</v>
      </c>
      <c r="D3447">
        <v>48</v>
      </c>
      <c r="E3447">
        <v>17</v>
      </c>
      <c r="F3447">
        <v>0</v>
      </c>
      <c r="G3447" t="s">
        <v>2023</v>
      </c>
      <c r="H3447" t="s">
        <v>52</v>
      </c>
      <c r="I3447" t="s">
        <v>2232</v>
      </c>
      <c r="J3447" t="s">
        <v>55</v>
      </c>
      <c r="K3447" t="s">
        <v>2244</v>
      </c>
      <c r="M3447" t="s">
        <v>6</v>
      </c>
    </row>
    <row r="3448" spans="2:13" hidden="1">
      <c r="B3448">
        <v>3446</v>
      </c>
      <c r="C3448">
        <v>268</v>
      </c>
      <c r="D3448">
        <v>48</v>
      </c>
      <c r="E3448">
        <v>18</v>
      </c>
      <c r="F3448">
        <v>0</v>
      </c>
      <c r="G3448" t="s">
        <v>2023</v>
      </c>
      <c r="H3448" t="s">
        <v>52</v>
      </c>
      <c r="I3448" t="s">
        <v>2232</v>
      </c>
      <c r="J3448" t="s">
        <v>55</v>
      </c>
      <c r="K3448" t="s">
        <v>2245</v>
      </c>
      <c r="M3448" t="s">
        <v>6</v>
      </c>
    </row>
    <row r="3449" spans="2:13" hidden="1">
      <c r="B3449">
        <v>3447</v>
      </c>
      <c r="C3449">
        <v>268</v>
      </c>
      <c r="D3449">
        <v>48</v>
      </c>
      <c r="E3449">
        <v>19</v>
      </c>
      <c r="F3449">
        <v>0</v>
      </c>
      <c r="G3449" t="s">
        <v>2023</v>
      </c>
      <c r="H3449" t="s">
        <v>52</v>
      </c>
      <c r="I3449" t="s">
        <v>2232</v>
      </c>
      <c r="J3449" t="s">
        <v>55</v>
      </c>
      <c r="K3449" t="s">
        <v>2246</v>
      </c>
      <c r="M3449" t="s">
        <v>6</v>
      </c>
    </row>
    <row r="3450" spans="2:13" hidden="1">
      <c r="B3450">
        <v>3448</v>
      </c>
      <c r="C3450">
        <v>268</v>
      </c>
      <c r="D3450">
        <v>48</v>
      </c>
      <c r="E3450">
        <v>20</v>
      </c>
      <c r="F3450">
        <v>0</v>
      </c>
      <c r="G3450" t="s">
        <v>2023</v>
      </c>
      <c r="H3450" t="s">
        <v>52</v>
      </c>
      <c r="I3450" t="s">
        <v>2232</v>
      </c>
      <c r="J3450" t="s">
        <v>55</v>
      </c>
      <c r="K3450" t="s">
        <v>2247</v>
      </c>
      <c r="M3450" t="s">
        <v>6</v>
      </c>
    </row>
    <row r="3451" spans="2:13" hidden="1">
      <c r="B3451">
        <v>3449</v>
      </c>
      <c r="C3451">
        <v>268</v>
      </c>
      <c r="D3451">
        <v>48</v>
      </c>
      <c r="E3451">
        <v>21</v>
      </c>
      <c r="F3451">
        <v>0</v>
      </c>
      <c r="G3451" t="s">
        <v>2023</v>
      </c>
      <c r="H3451" t="s">
        <v>52</v>
      </c>
      <c r="I3451" t="s">
        <v>2232</v>
      </c>
      <c r="J3451" t="s">
        <v>55</v>
      </c>
      <c r="K3451" t="s">
        <v>2248</v>
      </c>
      <c r="M3451" t="s">
        <v>6</v>
      </c>
    </row>
    <row r="3452" spans="2:13" hidden="1">
      <c r="B3452">
        <v>3450</v>
      </c>
      <c r="C3452">
        <v>268</v>
      </c>
      <c r="D3452">
        <v>48</v>
      </c>
      <c r="E3452">
        <v>22</v>
      </c>
      <c r="F3452">
        <v>0</v>
      </c>
      <c r="G3452" t="s">
        <v>2023</v>
      </c>
      <c r="H3452" t="s">
        <v>52</v>
      </c>
      <c r="I3452" t="s">
        <v>2232</v>
      </c>
      <c r="J3452" t="s">
        <v>437</v>
      </c>
      <c r="K3452" t="s">
        <v>438</v>
      </c>
      <c r="L3452" t="s">
        <v>439</v>
      </c>
      <c r="M3452" t="s">
        <v>6</v>
      </c>
    </row>
    <row r="3453" spans="2:13" hidden="1">
      <c r="B3453">
        <v>3451</v>
      </c>
      <c r="C3453">
        <v>268</v>
      </c>
      <c r="D3453">
        <v>48</v>
      </c>
      <c r="E3453">
        <v>23</v>
      </c>
      <c r="F3453">
        <v>0</v>
      </c>
      <c r="G3453" t="s">
        <v>2023</v>
      </c>
      <c r="H3453" t="s">
        <v>52</v>
      </c>
      <c r="I3453" t="s">
        <v>2232</v>
      </c>
      <c r="J3453" t="s">
        <v>64</v>
      </c>
      <c r="K3453" t="s">
        <v>440</v>
      </c>
      <c r="M3453" t="s">
        <v>6</v>
      </c>
    </row>
    <row r="3454" spans="2:13" hidden="1">
      <c r="B3454">
        <v>3452</v>
      </c>
      <c r="C3454">
        <v>268</v>
      </c>
      <c r="D3454">
        <v>48</v>
      </c>
      <c r="E3454">
        <v>24</v>
      </c>
      <c r="F3454">
        <v>0</v>
      </c>
      <c r="G3454" t="s">
        <v>2023</v>
      </c>
      <c r="H3454" t="s">
        <v>52</v>
      </c>
      <c r="I3454" t="s">
        <v>2232</v>
      </c>
      <c r="J3454" t="s">
        <v>55</v>
      </c>
      <c r="K3454" t="s">
        <v>442</v>
      </c>
      <c r="M3454" t="s">
        <v>6</v>
      </c>
    </row>
    <row r="3455" spans="2:13" hidden="1">
      <c r="B3455">
        <v>3453</v>
      </c>
      <c r="C3455">
        <v>268</v>
      </c>
      <c r="D3455">
        <v>48</v>
      </c>
      <c r="E3455">
        <v>25</v>
      </c>
      <c r="F3455">
        <v>0</v>
      </c>
      <c r="G3455" t="s">
        <v>2023</v>
      </c>
      <c r="H3455" t="s">
        <v>52</v>
      </c>
      <c r="I3455" t="s">
        <v>2232</v>
      </c>
      <c r="J3455" t="s">
        <v>214</v>
      </c>
      <c r="K3455" t="s">
        <v>443</v>
      </c>
      <c r="M3455" t="s">
        <v>6</v>
      </c>
    </row>
    <row r="3456" spans="2:13" hidden="1">
      <c r="B3456">
        <v>3454</v>
      </c>
      <c r="C3456">
        <v>268</v>
      </c>
      <c r="D3456">
        <v>48</v>
      </c>
      <c r="E3456">
        <v>26</v>
      </c>
      <c r="F3456">
        <v>0</v>
      </c>
      <c r="G3456" t="s">
        <v>2023</v>
      </c>
      <c r="H3456" t="s">
        <v>52</v>
      </c>
      <c r="I3456" t="s">
        <v>2232</v>
      </c>
      <c r="J3456" t="s">
        <v>479</v>
      </c>
      <c r="K3456" t="s">
        <v>2034</v>
      </c>
      <c r="M3456" t="s">
        <v>6</v>
      </c>
    </row>
    <row r="3457" spans="2:13" hidden="1">
      <c r="B3457">
        <v>3455</v>
      </c>
      <c r="C3457">
        <v>268</v>
      </c>
      <c r="D3457">
        <v>48</v>
      </c>
      <c r="E3457">
        <v>27</v>
      </c>
      <c r="F3457">
        <v>0</v>
      </c>
      <c r="G3457" t="s">
        <v>2023</v>
      </c>
      <c r="H3457" t="s">
        <v>52</v>
      </c>
      <c r="I3457" t="s">
        <v>2232</v>
      </c>
      <c r="J3457" t="s">
        <v>55</v>
      </c>
      <c r="K3457" t="s">
        <v>2035</v>
      </c>
      <c r="M3457" t="s">
        <v>6</v>
      </c>
    </row>
    <row r="3458" spans="2:13" hidden="1">
      <c r="B3458">
        <v>3456</v>
      </c>
      <c r="C3458">
        <v>268</v>
      </c>
      <c r="D3458">
        <v>48</v>
      </c>
      <c r="E3458">
        <v>28</v>
      </c>
      <c r="F3458">
        <v>0</v>
      </c>
      <c r="G3458" t="s">
        <v>2023</v>
      </c>
      <c r="H3458" t="s">
        <v>52</v>
      </c>
      <c r="I3458" t="s">
        <v>2232</v>
      </c>
      <c r="J3458" t="s">
        <v>214</v>
      </c>
      <c r="K3458" t="s">
        <v>2036</v>
      </c>
      <c r="M3458" t="s">
        <v>6</v>
      </c>
    </row>
    <row r="3459" spans="2:13" hidden="1">
      <c r="B3459">
        <v>3457</v>
      </c>
      <c r="C3459">
        <v>268</v>
      </c>
      <c r="D3459">
        <v>48</v>
      </c>
      <c r="E3459">
        <v>29</v>
      </c>
      <c r="F3459">
        <v>0</v>
      </c>
      <c r="G3459" t="s">
        <v>2023</v>
      </c>
      <c r="H3459" t="s">
        <v>52</v>
      </c>
      <c r="I3459" t="s">
        <v>2232</v>
      </c>
      <c r="J3459" t="s">
        <v>214</v>
      </c>
      <c r="K3459" t="s">
        <v>1618</v>
      </c>
      <c r="M3459" t="s">
        <v>6</v>
      </c>
    </row>
    <row r="3460" spans="2:13" hidden="1">
      <c r="B3460">
        <v>3458</v>
      </c>
      <c r="C3460">
        <v>268</v>
      </c>
      <c r="D3460">
        <v>48</v>
      </c>
      <c r="E3460">
        <v>30</v>
      </c>
      <c r="F3460">
        <v>0</v>
      </c>
      <c r="G3460" t="s">
        <v>2023</v>
      </c>
      <c r="H3460" t="s">
        <v>52</v>
      </c>
      <c r="I3460" t="s">
        <v>2232</v>
      </c>
      <c r="J3460" t="s">
        <v>214</v>
      </c>
      <c r="K3460" t="s">
        <v>1619</v>
      </c>
      <c r="M3460" t="s">
        <v>6</v>
      </c>
    </row>
    <row r="3461" spans="2:13" hidden="1">
      <c r="B3461">
        <v>3459</v>
      </c>
      <c r="C3461">
        <v>268</v>
      </c>
      <c r="D3461">
        <v>48</v>
      </c>
      <c r="E3461">
        <v>31</v>
      </c>
      <c r="F3461">
        <v>0</v>
      </c>
      <c r="G3461" t="s">
        <v>2023</v>
      </c>
      <c r="H3461" t="s">
        <v>52</v>
      </c>
      <c r="I3461" t="s">
        <v>2232</v>
      </c>
      <c r="J3461" t="s">
        <v>214</v>
      </c>
      <c r="K3461" t="s">
        <v>1620</v>
      </c>
      <c r="M3461" t="s">
        <v>6</v>
      </c>
    </row>
    <row r="3462" spans="2:13" hidden="1">
      <c r="B3462">
        <v>3460</v>
      </c>
      <c r="C3462">
        <v>268</v>
      </c>
      <c r="D3462">
        <v>48</v>
      </c>
      <c r="E3462">
        <v>32</v>
      </c>
      <c r="F3462">
        <v>0</v>
      </c>
      <c r="G3462" t="s">
        <v>2023</v>
      </c>
      <c r="H3462" t="s">
        <v>52</v>
      </c>
      <c r="I3462" t="s">
        <v>2232</v>
      </c>
      <c r="J3462" t="s">
        <v>55</v>
      </c>
      <c r="K3462" t="s">
        <v>442</v>
      </c>
      <c r="M3462" t="s">
        <v>6</v>
      </c>
    </row>
    <row r="3463" spans="2:13" hidden="1">
      <c r="B3463">
        <v>3461</v>
      </c>
      <c r="C3463">
        <v>268</v>
      </c>
      <c r="D3463">
        <v>48</v>
      </c>
      <c r="E3463">
        <v>33</v>
      </c>
      <c r="F3463">
        <v>0</v>
      </c>
      <c r="G3463" t="s">
        <v>2023</v>
      </c>
      <c r="H3463" t="s">
        <v>52</v>
      </c>
      <c r="I3463" t="s">
        <v>2232</v>
      </c>
      <c r="J3463" t="s">
        <v>214</v>
      </c>
      <c r="K3463" t="s">
        <v>443</v>
      </c>
      <c r="M3463" t="s">
        <v>6</v>
      </c>
    </row>
    <row r="3464" spans="2:13" hidden="1">
      <c r="B3464">
        <v>3462</v>
      </c>
      <c r="C3464">
        <v>268</v>
      </c>
      <c r="D3464">
        <v>48</v>
      </c>
      <c r="E3464">
        <v>34</v>
      </c>
      <c r="F3464">
        <v>0</v>
      </c>
      <c r="G3464" t="s">
        <v>2023</v>
      </c>
      <c r="H3464" t="s">
        <v>52</v>
      </c>
      <c r="I3464" t="s">
        <v>2232</v>
      </c>
      <c r="J3464" t="s">
        <v>479</v>
      </c>
      <c r="K3464" t="s">
        <v>2037</v>
      </c>
      <c r="M3464" t="s">
        <v>6</v>
      </c>
    </row>
    <row r="3465" spans="2:13" hidden="1">
      <c r="B3465">
        <v>3463</v>
      </c>
      <c r="C3465">
        <v>268</v>
      </c>
      <c r="D3465">
        <v>48</v>
      </c>
      <c r="E3465">
        <v>35</v>
      </c>
      <c r="F3465">
        <v>0</v>
      </c>
      <c r="G3465" t="s">
        <v>2023</v>
      </c>
      <c r="H3465" t="s">
        <v>52</v>
      </c>
      <c r="I3465" t="s">
        <v>2232</v>
      </c>
      <c r="J3465" t="s">
        <v>55</v>
      </c>
      <c r="K3465" t="s">
        <v>2025</v>
      </c>
      <c r="M3465" t="s">
        <v>6</v>
      </c>
    </row>
    <row r="3466" spans="2:13" hidden="1">
      <c r="B3466">
        <v>3464</v>
      </c>
      <c r="C3466">
        <v>268</v>
      </c>
      <c r="D3466">
        <v>48</v>
      </c>
      <c r="E3466">
        <v>36</v>
      </c>
      <c r="F3466">
        <v>0</v>
      </c>
      <c r="G3466" t="s">
        <v>2023</v>
      </c>
      <c r="H3466" t="s">
        <v>52</v>
      </c>
      <c r="I3466" t="s">
        <v>2232</v>
      </c>
      <c r="J3466" t="s">
        <v>55</v>
      </c>
      <c r="K3466" t="s">
        <v>429</v>
      </c>
      <c r="M3466" t="s">
        <v>6</v>
      </c>
    </row>
    <row r="3467" spans="2:13" hidden="1">
      <c r="B3467">
        <v>3465</v>
      </c>
      <c r="C3467">
        <v>268</v>
      </c>
      <c r="D3467">
        <v>48</v>
      </c>
      <c r="E3467">
        <v>37</v>
      </c>
      <c r="F3467">
        <v>0</v>
      </c>
      <c r="G3467" t="s">
        <v>2023</v>
      </c>
      <c r="H3467" t="s">
        <v>52</v>
      </c>
      <c r="I3467" t="s">
        <v>2232</v>
      </c>
      <c r="J3467" t="s">
        <v>55</v>
      </c>
      <c r="K3467" t="s">
        <v>430</v>
      </c>
      <c r="M3467" t="s">
        <v>6</v>
      </c>
    </row>
    <row r="3468" spans="2:13" hidden="1">
      <c r="B3468">
        <v>3466</v>
      </c>
      <c r="C3468">
        <v>268</v>
      </c>
      <c r="D3468">
        <v>48</v>
      </c>
      <c r="E3468">
        <v>38</v>
      </c>
      <c r="F3468">
        <v>0</v>
      </c>
      <c r="G3468" t="s">
        <v>2023</v>
      </c>
      <c r="H3468" t="s">
        <v>52</v>
      </c>
      <c r="I3468" t="s">
        <v>2232</v>
      </c>
      <c r="J3468" t="s">
        <v>55</v>
      </c>
      <c r="K3468" t="s">
        <v>2038</v>
      </c>
      <c r="M3468" t="s">
        <v>6</v>
      </c>
    </row>
    <row r="3469" spans="2:13" hidden="1">
      <c r="B3469">
        <v>3467</v>
      </c>
      <c r="C3469">
        <v>268</v>
      </c>
      <c r="D3469">
        <v>48</v>
      </c>
      <c r="E3469">
        <v>39</v>
      </c>
      <c r="F3469">
        <v>0</v>
      </c>
      <c r="G3469" t="s">
        <v>2023</v>
      </c>
      <c r="H3469" t="s">
        <v>52</v>
      </c>
      <c r="I3469" t="s">
        <v>2232</v>
      </c>
      <c r="J3469" t="s">
        <v>437</v>
      </c>
      <c r="K3469" t="s">
        <v>2039</v>
      </c>
      <c r="L3469" t="s">
        <v>2040</v>
      </c>
      <c r="M3469" t="s">
        <v>6</v>
      </c>
    </row>
    <row r="3470" spans="2:13" hidden="1">
      <c r="B3470">
        <v>3468</v>
      </c>
      <c r="C3470">
        <v>268</v>
      </c>
      <c r="D3470">
        <v>48</v>
      </c>
      <c r="E3470">
        <v>40</v>
      </c>
      <c r="F3470">
        <v>0</v>
      </c>
      <c r="G3470" t="s">
        <v>2023</v>
      </c>
      <c r="H3470" t="s">
        <v>52</v>
      </c>
      <c r="I3470" t="s">
        <v>2232</v>
      </c>
      <c r="J3470" t="s">
        <v>437</v>
      </c>
      <c r="K3470" t="s">
        <v>2041</v>
      </c>
      <c r="L3470" t="s">
        <v>2040</v>
      </c>
      <c r="M3470" t="s">
        <v>6</v>
      </c>
    </row>
    <row r="3471" spans="2:13" hidden="1">
      <c r="B3471">
        <v>3469</v>
      </c>
      <c r="C3471">
        <v>268</v>
      </c>
      <c r="D3471">
        <v>48</v>
      </c>
      <c r="E3471">
        <v>41</v>
      </c>
      <c r="F3471">
        <v>0</v>
      </c>
      <c r="G3471" t="s">
        <v>2023</v>
      </c>
      <c r="H3471" t="s">
        <v>52</v>
      </c>
      <c r="I3471" t="s">
        <v>2232</v>
      </c>
      <c r="J3471" t="s">
        <v>437</v>
      </c>
      <c r="K3471" t="s">
        <v>2042</v>
      </c>
      <c r="L3471" t="s">
        <v>2040</v>
      </c>
      <c r="M3471" t="s">
        <v>6</v>
      </c>
    </row>
    <row r="3472" spans="2:13" hidden="1">
      <c r="B3472">
        <v>3470</v>
      </c>
      <c r="C3472">
        <v>268</v>
      </c>
      <c r="D3472">
        <v>48</v>
      </c>
      <c r="E3472">
        <v>42</v>
      </c>
      <c r="F3472">
        <v>0</v>
      </c>
      <c r="G3472" t="s">
        <v>2023</v>
      </c>
      <c r="H3472" t="s">
        <v>52</v>
      </c>
      <c r="I3472" t="s">
        <v>2232</v>
      </c>
      <c r="J3472" t="s">
        <v>437</v>
      </c>
      <c r="K3472" t="s">
        <v>2249</v>
      </c>
      <c r="L3472" t="s">
        <v>2040</v>
      </c>
      <c r="M3472" t="s">
        <v>6</v>
      </c>
    </row>
    <row r="3473" spans="2:13" hidden="1">
      <c r="B3473">
        <v>3471</v>
      </c>
      <c r="C3473">
        <v>268</v>
      </c>
      <c r="D3473">
        <v>48</v>
      </c>
      <c r="E3473">
        <v>43</v>
      </c>
      <c r="F3473">
        <v>0</v>
      </c>
      <c r="G3473" t="s">
        <v>2023</v>
      </c>
      <c r="H3473" t="s">
        <v>52</v>
      </c>
      <c r="I3473" t="s">
        <v>2232</v>
      </c>
      <c r="J3473" t="s">
        <v>437</v>
      </c>
      <c r="K3473" t="s">
        <v>2044</v>
      </c>
      <c r="L3473" t="s">
        <v>2040</v>
      </c>
      <c r="M3473" t="s">
        <v>6</v>
      </c>
    </row>
    <row r="3474" spans="2:13" hidden="1">
      <c r="B3474">
        <v>3472</v>
      </c>
      <c r="C3474">
        <v>268</v>
      </c>
      <c r="D3474">
        <v>48</v>
      </c>
      <c r="E3474">
        <v>44</v>
      </c>
      <c r="F3474">
        <v>0</v>
      </c>
      <c r="G3474" t="s">
        <v>2023</v>
      </c>
      <c r="H3474" t="s">
        <v>52</v>
      </c>
      <c r="I3474" t="s">
        <v>2232</v>
      </c>
      <c r="J3474" t="s">
        <v>55</v>
      </c>
      <c r="K3474" t="s">
        <v>2045</v>
      </c>
      <c r="M3474" t="s">
        <v>6</v>
      </c>
    </row>
    <row r="3475" spans="2:13" hidden="1">
      <c r="B3475">
        <v>3473</v>
      </c>
      <c r="C3475">
        <v>268</v>
      </c>
      <c r="D3475">
        <v>48</v>
      </c>
      <c r="E3475">
        <v>45</v>
      </c>
      <c r="F3475">
        <v>0</v>
      </c>
      <c r="G3475" t="s">
        <v>2023</v>
      </c>
      <c r="H3475" t="s">
        <v>52</v>
      </c>
      <c r="I3475" t="s">
        <v>2232</v>
      </c>
      <c r="J3475" t="s">
        <v>437</v>
      </c>
      <c r="K3475" t="s">
        <v>438</v>
      </c>
      <c r="L3475" t="s">
        <v>439</v>
      </c>
      <c r="M3475" t="s">
        <v>6</v>
      </c>
    </row>
    <row r="3476" spans="2:13" hidden="1">
      <c r="B3476">
        <v>3474</v>
      </c>
      <c r="C3476">
        <v>268</v>
      </c>
      <c r="D3476">
        <v>48</v>
      </c>
      <c r="E3476">
        <v>46</v>
      </c>
      <c r="F3476">
        <v>0</v>
      </c>
      <c r="G3476" t="s">
        <v>2023</v>
      </c>
      <c r="H3476" t="s">
        <v>52</v>
      </c>
      <c r="I3476" t="s">
        <v>2232</v>
      </c>
      <c r="J3476" t="s">
        <v>64</v>
      </c>
      <c r="K3476" t="s">
        <v>440</v>
      </c>
      <c r="M3476" t="s">
        <v>6</v>
      </c>
    </row>
    <row r="3477" spans="2:13" hidden="1">
      <c r="B3477">
        <v>3475</v>
      </c>
      <c r="C3477">
        <v>268</v>
      </c>
      <c r="D3477">
        <v>48</v>
      </c>
      <c r="E3477">
        <v>47</v>
      </c>
      <c r="F3477">
        <v>0</v>
      </c>
      <c r="G3477" t="s">
        <v>2023</v>
      </c>
      <c r="H3477" t="s">
        <v>52</v>
      </c>
      <c r="I3477" t="s">
        <v>2232</v>
      </c>
      <c r="J3477" t="s">
        <v>55</v>
      </c>
      <c r="K3477" t="s">
        <v>442</v>
      </c>
      <c r="M3477" t="s">
        <v>6</v>
      </c>
    </row>
    <row r="3478" spans="2:13" hidden="1">
      <c r="B3478">
        <v>3476</v>
      </c>
      <c r="C3478">
        <v>268</v>
      </c>
      <c r="D3478">
        <v>48</v>
      </c>
      <c r="E3478">
        <v>48</v>
      </c>
      <c r="F3478">
        <v>0</v>
      </c>
      <c r="G3478" t="s">
        <v>2023</v>
      </c>
      <c r="H3478" t="s">
        <v>52</v>
      </c>
      <c r="I3478" t="s">
        <v>2232</v>
      </c>
      <c r="J3478" t="s">
        <v>214</v>
      </c>
      <c r="K3478" t="s">
        <v>443</v>
      </c>
      <c r="M3478" t="s">
        <v>6</v>
      </c>
    </row>
    <row r="3479" spans="2:13" hidden="1">
      <c r="B3479">
        <v>3477</v>
      </c>
      <c r="C3479">
        <v>269</v>
      </c>
      <c r="D3479">
        <v>30</v>
      </c>
      <c r="E3479">
        <v>0</v>
      </c>
      <c r="F3479">
        <v>0</v>
      </c>
      <c r="G3479" t="s">
        <v>2023</v>
      </c>
      <c r="H3479" t="s">
        <v>52</v>
      </c>
      <c r="I3479" t="s">
        <v>2250</v>
      </c>
      <c r="J3479" t="s">
        <v>478</v>
      </c>
      <c r="K3479" t="s">
        <v>2250</v>
      </c>
      <c r="M3479" t="s">
        <v>6</v>
      </c>
    </row>
    <row r="3480" spans="2:13" hidden="1">
      <c r="B3480">
        <v>3478</v>
      </c>
      <c r="C3480">
        <v>269</v>
      </c>
      <c r="D3480">
        <v>30</v>
      </c>
      <c r="E3480">
        <v>1</v>
      </c>
      <c r="F3480">
        <v>0</v>
      </c>
      <c r="G3480" t="s">
        <v>2023</v>
      </c>
      <c r="H3480" t="s">
        <v>52</v>
      </c>
      <c r="I3480" t="s">
        <v>2250</v>
      </c>
      <c r="J3480" t="s">
        <v>479</v>
      </c>
      <c r="K3480" t="s">
        <v>2251</v>
      </c>
      <c r="M3480" t="s">
        <v>6</v>
      </c>
    </row>
    <row r="3481" spans="2:13" hidden="1">
      <c r="B3481">
        <v>3479</v>
      </c>
      <c r="C3481">
        <v>269</v>
      </c>
      <c r="D3481">
        <v>30</v>
      </c>
      <c r="E3481">
        <v>2</v>
      </c>
      <c r="F3481">
        <v>0</v>
      </c>
      <c r="G3481" t="s">
        <v>2023</v>
      </c>
      <c r="H3481" t="s">
        <v>52</v>
      </c>
      <c r="I3481" t="s">
        <v>2250</v>
      </c>
      <c r="J3481" t="s">
        <v>55</v>
      </c>
      <c r="K3481" t="s">
        <v>2025</v>
      </c>
      <c r="M3481" t="s">
        <v>6</v>
      </c>
    </row>
    <row r="3482" spans="2:13" hidden="1">
      <c r="B3482">
        <v>3480</v>
      </c>
      <c r="C3482">
        <v>269</v>
      </c>
      <c r="D3482">
        <v>30</v>
      </c>
      <c r="E3482">
        <v>3</v>
      </c>
      <c r="F3482">
        <v>0</v>
      </c>
      <c r="G3482" t="s">
        <v>2023</v>
      </c>
      <c r="H3482" t="s">
        <v>52</v>
      </c>
      <c r="I3482" t="s">
        <v>2250</v>
      </c>
      <c r="J3482" t="s">
        <v>55</v>
      </c>
      <c r="K3482" t="s">
        <v>429</v>
      </c>
      <c r="M3482" t="s">
        <v>6</v>
      </c>
    </row>
    <row r="3483" spans="2:13" hidden="1">
      <c r="B3483">
        <v>3481</v>
      </c>
      <c r="C3483">
        <v>269</v>
      </c>
      <c r="D3483">
        <v>30</v>
      </c>
      <c r="E3483">
        <v>4</v>
      </c>
      <c r="F3483">
        <v>0</v>
      </c>
      <c r="G3483" t="s">
        <v>2023</v>
      </c>
      <c r="H3483" t="s">
        <v>52</v>
      </c>
      <c r="I3483" t="s">
        <v>2250</v>
      </c>
      <c r="J3483" t="s">
        <v>55</v>
      </c>
      <c r="K3483" t="s">
        <v>430</v>
      </c>
      <c r="M3483" t="s">
        <v>6</v>
      </c>
    </row>
    <row r="3484" spans="2:13" hidden="1">
      <c r="B3484">
        <v>3482</v>
      </c>
      <c r="C3484">
        <v>269</v>
      </c>
      <c r="D3484">
        <v>30</v>
      </c>
      <c r="E3484">
        <v>5</v>
      </c>
      <c r="F3484">
        <v>0</v>
      </c>
      <c r="G3484" t="s">
        <v>2023</v>
      </c>
      <c r="H3484" t="s">
        <v>52</v>
      </c>
      <c r="I3484" t="s">
        <v>2250</v>
      </c>
      <c r="J3484" t="s">
        <v>55</v>
      </c>
      <c r="K3484" t="s">
        <v>2252</v>
      </c>
      <c r="M3484" t="s">
        <v>6</v>
      </c>
    </row>
    <row r="3485" spans="2:13" hidden="1">
      <c r="B3485">
        <v>3483</v>
      </c>
      <c r="C3485">
        <v>269</v>
      </c>
      <c r="D3485">
        <v>30</v>
      </c>
      <c r="E3485">
        <v>6</v>
      </c>
      <c r="F3485">
        <v>0</v>
      </c>
      <c r="G3485" t="s">
        <v>2023</v>
      </c>
      <c r="H3485" t="s">
        <v>52</v>
      </c>
      <c r="I3485" t="s">
        <v>2250</v>
      </c>
      <c r="J3485" t="s">
        <v>437</v>
      </c>
      <c r="K3485" t="s">
        <v>2253</v>
      </c>
      <c r="L3485" t="s">
        <v>2254</v>
      </c>
      <c r="M3485" t="s">
        <v>6</v>
      </c>
    </row>
    <row r="3486" spans="2:13" hidden="1">
      <c r="B3486">
        <v>3484</v>
      </c>
      <c r="C3486">
        <v>269</v>
      </c>
      <c r="D3486">
        <v>30</v>
      </c>
      <c r="E3486">
        <v>7</v>
      </c>
      <c r="F3486">
        <v>0</v>
      </c>
      <c r="G3486" t="s">
        <v>2023</v>
      </c>
      <c r="H3486" t="s">
        <v>52</v>
      </c>
      <c r="I3486" t="s">
        <v>2250</v>
      </c>
      <c r="J3486" t="s">
        <v>55</v>
      </c>
      <c r="K3486" t="s">
        <v>2255</v>
      </c>
      <c r="M3486" t="s">
        <v>6</v>
      </c>
    </row>
    <row r="3487" spans="2:13" hidden="1">
      <c r="B3487">
        <v>3485</v>
      </c>
      <c r="C3487">
        <v>269</v>
      </c>
      <c r="D3487">
        <v>30</v>
      </c>
      <c r="E3487">
        <v>8</v>
      </c>
      <c r="F3487">
        <v>0</v>
      </c>
      <c r="G3487" t="s">
        <v>2023</v>
      </c>
      <c r="H3487" t="s">
        <v>52</v>
      </c>
      <c r="I3487" t="s">
        <v>2250</v>
      </c>
      <c r="J3487" t="s">
        <v>55</v>
      </c>
      <c r="K3487" t="s">
        <v>1953</v>
      </c>
      <c r="M3487" t="s">
        <v>6</v>
      </c>
    </row>
    <row r="3488" spans="2:13" hidden="1">
      <c r="B3488">
        <v>3486</v>
      </c>
      <c r="C3488">
        <v>269</v>
      </c>
      <c r="D3488">
        <v>30</v>
      </c>
      <c r="E3488">
        <v>9</v>
      </c>
      <c r="F3488">
        <v>0</v>
      </c>
      <c r="G3488" t="s">
        <v>2023</v>
      </c>
      <c r="H3488" t="s">
        <v>52</v>
      </c>
      <c r="I3488" t="s">
        <v>2250</v>
      </c>
      <c r="J3488" t="s">
        <v>55</v>
      </c>
      <c r="K3488" t="s">
        <v>1958</v>
      </c>
      <c r="M3488" t="s">
        <v>6</v>
      </c>
    </row>
    <row r="3489" spans="2:13" hidden="1">
      <c r="B3489">
        <v>3487</v>
      </c>
      <c r="C3489">
        <v>269</v>
      </c>
      <c r="D3489">
        <v>30</v>
      </c>
      <c r="E3489">
        <v>10</v>
      </c>
      <c r="F3489">
        <v>0</v>
      </c>
      <c r="G3489" t="s">
        <v>2023</v>
      </c>
      <c r="H3489" t="s">
        <v>52</v>
      </c>
      <c r="I3489" t="s">
        <v>2250</v>
      </c>
      <c r="J3489" t="s">
        <v>55</v>
      </c>
      <c r="K3489" t="s">
        <v>2256</v>
      </c>
      <c r="M3489" t="s">
        <v>6</v>
      </c>
    </row>
    <row r="3490" spans="2:13" hidden="1">
      <c r="B3490">
        <v>3488</v>
      </c>
      <c r="C3490">
        <v>269</v>
      </c>
      <c r="D3490">
        <v>30</v>
      </c>
      <c r="E3490">
        <v>11</v>
      </c>
      <c r="F3490">
        <v>0</v>
      </c>
      <c r="G3490" t="s">
        <v>2023</v>
      </c>
      <c r="H3490" t="s">
        <v>52</v>
      </c>
      <c r="I3490" t="s">
        <v>2250</v>
      </c>
      <c r="J3490" t="s">
        <v>437</v>
      </c>
      <c r="K3490" t="s">
        <v>2257</v>
      </c>
      <c r="L3490" t="s">
        <v>2040</v>
      </c>
      <c r="M3490" t="s">
        <v>6</v>
      </c>
    </row>
    <row r="3491" spans="2:13" hidden="1">
      <c r="B3491">
        <v>3489</v>
      </c>
      <c r="C3491">
        <v>269</v>
      </c>
      <c r="D3491">
        <v>30</v>
      </c>
      <c r="E3491">
        <v>12</v>
      </c>
      <c r="F3491">
        <v>0</v>
      </c>
      <c r="G3491" t="s">
        <v>2023</v>
      </c>
      <c r="H3491" t="s">
        <v>52</v>
      </c>
      <c r="I3491" t="s">
        <v>2250</v>
      </c>
      <c r="J3491" t="s">
        <v>437</v>
      </c>
      <c r="K3491" t="s">
        <v>2258</v>
      </c>
      <c r="L3491" t="s">
        <v>2040</v>
      </c>
      <c r="M3491" t="s">
        <v>6</v>
      </c>
    </row>
    <row r="3492" spans="2:13" hidden="1">
      <c r="B3492">
        <v>3490</v>
      </c>
      <c r="C3492">
        <v>269</v>
      </c>
      <c r="D3492">
        <v>30</v>
      </c>
      <c r="E3492">
        <v>13</v>
      </c>
      <c r="F3492">
        <v>0</v>
      </c>
      <c r="G3492" t="s">
        <v>2023</v>
      </c>
      <c r="H3492" t="s">
        <v>52</v>
      </c>
      <c r="I3492" t="s">
        <v>2250</v>
      </c>
      <c r="J3492" t="s">
        <v>55</v>
      </c>
      <c r="K3492" t="s">
        <v>2259</v>
      </c>
      <c r="M3492" t="s">
        <v>6</v>
      </c>
    </row>
    <row r="3493" spans="2:13" hidden="1">
      <c r="B3493">
        <v>3491</v>
      </c>
      <c r="C3493">
        <v>269</v>
      </c>
      <c r="D3493">
        <v>30</v>
      </c>
      <c r="E3493">
        <v>14</v>
      </c>
      <c r="F3493">
        <v>0</v>
      </c>
      <c r="G3493" t="s">
        <v>2023</v>
      </c>
      <c r="H3493" t="s">
        <v>52</v>
      </c>
      <c r="I3493" t="s">
        <v>2250</v>
      </c>
      <c r="J3493" t="s">
        <v>55</v>
      </c>
      <c r="K3493" t="s">
        <v>2260</v>
      </c>
      <c r="M3493" t="s">
        <v>6</v>
      </c>
    </row>
    <row r="3494" spans="2:13" hidden="1">
      <c r="B3494">
        <v>3492</v>
      </c>
      <c r="C3494">
        <v>269</v>
      </c>
      <c r="D3494">
        <v>30</v>
      </c>
      <c r="E3494">
        <v>15</v>
      </c>
      <c r="F3494">
        <v>0</v>
      </c>
      <c r="G3494" t="s">
        <v>2023</v>
      </c>
      <c r="H3494" t="s">
        <v>52</v>
      </c>
      <c r="I3494" t="s">
        <v>2250</v>
      </c>
      <c r="J3494" t="s">
        <v>55</v>
      </c>
      <c r="K3494" t="s">
        <v>2045</v>
      </c>
      <c r="M3494" t="s">
        <v>6</v>
      </c>
    </row>
    <row r="3495" spans="2:13" hidden="1">
      <c r="B3495">
        <v>3493</v>
      </c>
      <c r="C3495">
        <v>269</v>
      </c>
      <c r="D3495">
        <v>30</v>
      </c>
      <c r="E3495">
        <v>16</v>
      </c>
      <c r="F3495">
        <v>0</v>
      </c>
      <c r="G3495" t="s">
        <v>2023</v>
      </c>
      <c r="H3495" t="s">
        <v>52</v>
      </c>
      <c r="I3495" t="s">
        <v>2250</v>
      </c>
      <c r="J3495" t="s">
        <v>437</v>
      </c>
      <c r="K3495" t="s">
        <v>438</v>
      </c>
      <c r="L3495" t="s">
        <v>439</v>
      </c>
      <c r="M3495" t="s">
        <v>6</v>
      </c>
    </row>
    <row r="3496" spans="2:13" hidden="1">
      <c r="B3496">
        <v>3494</v>
      </c>
      <c r="C3496">
        <v>269</v>
      </c>
      <c r="D3496">
        <v>30</v>
      </c>
      <c r="E3496">
        <v>17</v>
      </c>
      <c r="F3496">
        <v>0</v>
      </c>
      <c r="G3496" t="s">
        <v>2023</v>
      </c>
      <c r="H3496" t="s">
        <v>52</v>
      </c>
      <c r="I3496" t="s">
        <v>2250</v>
      </c>
      <c r="J3496" t="s">
        <v>64</v>
      </c>
      <c r="K3496" t="s">
        <v>440</v>
      </c>
      <c r="M3496" t="s">
        <v>6</v>
      </c>
    </row>
    <row r="3497" spans="2:13" hidden="1">
      <c r="B3497">
        <v>3495</v>
      </c>
      <c r="C3497">
        <v>269</v>
      </c>
      <c r="D3497">
        <v>30</v>
      </c>
      <c r="E3497">
        <v>18</v>
      </c>
      <c r="F3497">
        <v>0</v>
      </c>
      <c r="G3497" t="s">
        <v>2023</v>
      </c>
      <c r="H3497" t="s">
        <v>52</v>
      </c>
      <c r="I3497" t="s">
        <v>2250</v>
      </c>
      <c r="J3497" t="s">
        <v>55</v>
      </c>
      <c r="K3497" t="s">
        <v>442</v>
      </c>
      <c r="M3497" t="s">
        <v>6</v>
      </c>
    </row>
    <row r="3498" spans="2:13" hidden="1">
      <c r="B3498">
        <v>3496</v>
      </c>
      <c r="C3498">
        <v>269</v>
      </c>
      <c r="D3498">
        <v>30</v>
      </c>
      <c r="E3498">
        <v>19</v>
      </c>
      <c r="F3498">
        <v>0</v>
      </c>
      <c r="G3498" t="s">
        <v>2023</v>
      </c>
      <c r="H3498" t="s">
        <v>52</v>
      </c>
      <c r="I3498" t="s">
        <v>2250</v>
      </c>
      <c r="J3498" t="s">
        <v>214</v>
      </c>
      <c r="K3498" t="s">
        <v>443</v>
      </c>
      <c r="M3498" t="s">
        <v>6</v>
      </c>
    </row>
    <row r="3499" spans="2:13" hidden="1">
      <c r="B3499">
        <v>3497</v>
      </c>
      <c r="C3499">
        <v>269</v>
      </c>
      <c r="D3499">
        <v>30</v>
      </c>
      <c r="E3499">
        <v>20</v>
      </c>
      <c r="F3499">
        <v>0</v>
      </c>
      <c r="G3499" t="s">
        <v>2023</v>
      </c>
      <c r="H3499" t="s">
        <v>52</v>
      </c>
      <c r="I3499" t="s">
        <v>2250</v>
      </c>
      <c r="J3499" t="s">
        <v>479</v>
      </c>
      <c r="K3499" t="s">
        <v>2261</v>
      </c>
      <c r="M3499" t="s">
        <v>6</v>
      </c>
    </row>
    <row r="3500" spans="2:13" hidden="1">
      <c r="B3500">
        <v>3498</v>
      </c>
      <c r="C3500">
        <v>269</v>
      </c>
      <c r="D3500">
        <v>30</v>
      </c>
      <c r="E3500">
        <v>21</v>
      </c>
      <c r="F3500">
        <v>0</v>
      </c>
      <c r="G3500" t="s">
        <v>2023</v>
      </c>
      <c r="H3500" t="s">
        <v>52</v>
      </c>
      <c r="I3500" t="s">
        <v>2250</v>
      </c>
      <c r="J3500" t="s">
        <v>55</v>
      </c>
      <c r="K3500" t="s">
        <v>2262</v>
      </c>
      <c r="M3500" t="s">
        <v>6</v>
      </c>
    </row>
    <row r="3501" spans="2:13" hidden="1">
      <c r="B3501">
        <v>3499</v>
      </c>
      <c r="C3501">
        <v>269</v>
      </c>
      <c r="D3501">
        <v>30</v>
      </c>
      <c r="E3501">
        <v>22</v>
      </c>
      <c r="F3501">
        <v>0</v>
      </c>
      <c r="G3501" t="s">
        <v>2023</v>
      </c>
      <c r="H3501" t="s">
        <v>52</v>
      </c>
      <c r="I3501" t="s">
        <v>2250</v>
      </c>
      <c r="J3501" t="s">
        <v>55</v>
      </c>
      <c r="K3501" t="s">
        <v>2263</v>
      </c>
      <c r="M3501" t="s">
        <v>6</v>
      </c>
    </row>
    <row r="3502" spans="2:13" hidden="1">
      <c r="B3502">
        <v>3500</v>
      </c>
      <c r="C3502">
        <v>269</v>
      </c>
      <c r="D3502">
        <v>30</v>
      </c>
      <c r="E3502">
        <v>23</v>
      </c>
      <c r="F3502">
        <v>0</v>
      </c>
      <c r="G3502" t="s">
        <v>2023</v>
      </c>
      <c r="H3502" t="s">
        <v>52</v>
      </c>
      <c r="I3502" t="s">
        <v>2250</v>
      </c>
      <c r="J3502" t="s">
        <v>55</v>
      </c>
      <c r="K3502" t="s">
        <v>2264</v>
      </c>
      <c r="M3502" t="s">
        <v>6</v>
      </c>
    </row>
    <row r="3503" spans="2:13" hidden="1">
      <c r="B3503">
        <v>3501</v>
      </c>
      <c r="C3503">
        <v>269</v>
      </c>
      <c r="D3503">
        <v>30</v>
      </c>
      <c r="E3503">
        <v>24</v>
      </c>
      <c r="F3503">
        <v>0</v>
      </c>
      <c r="G3503" t="s">
        <v>2023</v>
      </c>
      <c r="H3503" t="s">
        <v>52</v>
      </c>
      <c r="I3503" t="s">
        <v>2250</v>
      </c>
      <c r="J3503" t="s">
        <v>55</v>
      </c>
      <c r="K3503" t="s">
        <v>2265</v>
      </c>
      <c r="M3503" t="s">
        <v>6</v>
      </c>
    </row>
    <row r="3504" spans="2:13" hidden="1">
      <c r="B3504">
        <v>3502</v>
      </c>
      <c r="C3504">
        <v>269</v>
      </c>
      <c r="D3504">
        <v>30</v>
      </c>
      <c r="E3504">
        <v>25</v>
      </c>
      <c r="F3504">
        <v>0</v>
      </c>
      <c r="G3504" t="s">
        <v>2023</v>
      </c>
      <c r="H3504" t="s">
        <v>52</v>
      </c>
      <c r="I3504" t="s">
        <v>2250</v>
      </c>
      <c r="J3504" t="s">
        <v>55</v>
      </c>
      <c r="K3504" t="s">
        <v>2266</v>
      </c>
      <c r="M3504" t="s">
        <v>6</v>
      </c>
    </row>
    <row r="3505" spans="2:13" hidden="1">
      <c r="B3505">
        <v>3503</v>
      </c>
      <c r="C3505">
        <v>269</v>
      </c>
      <c r="D3505">
        <v>30</v>
      </c>
      <c r="E3505">
        <v>26</v>
      </c>
      <c r="F3505">
        <v>0</v>
      </c>
      <c r="G3505" t="s">
        <v>2023</v>
      </c>
      <c r="H3505" t="s">
        <v>52</v>
      </c>
      <c r="I3505" t="s">
        <v>2250</v>
      </c>
      <c r="J3505" t="s">
        <v>55</v>
      </c>
      <c r="K3505" t="s">
        <v>2267</v>
      </c>
      <c r="M3505" t="s">
        <v>6</v>
      </c>
    </row>
    <row r="3506" spans="2:13" hidden="1">
      <c r="B3506">
        <v>3504</v>
      </c>
      <c r="C3506">
        <v>269</v>
      </c>
      <c r="D3506">
        <v>30</v>
      </c>
      <c r="E3506">
        <v>27</v>
      </c>
      <c r="F3506">
        <v>0</v>
      </c>
      <c r="G3506" t="s">
        <v>2023</v>
      </c>
      <c r="H3506" t="s">
        <v>52</v>
      </c>
      <c r="I3506" t="s">
        <v>2250</v>
      </c>
      <c r="J3506" t="s">
        <v>55</v>
      </c>
      <c r="K3506" t="s">
        <v>2268</v>
      </c>
      <c r="M3506" t="s">
        <v>6</v>
      </c>
    </row>
    <row r="3507" spans="2:13" hidden="1">
      <c r="B3507">
        <v>3505</v>
      </c>
      <c r="C3507">
        <v>269</v>
      </c>
      <c r="D3507">
        <v>30</v>
      </c>
      <c r="E3507">
        <v>28</v>
      </c>
      <c r="F3507">
        <v>0</v>
      </c>
      <c r="G3507" t="s">
        <v>2023</v>
      </c>
      <c r="H3507" t="s">
        <v>52</v>
      </c>
      <c r="I3507" t="s">
        <v>2250</v>
      </c>
      <c r="J3507" t="s">
        <v>55</v>
      </c>
      <c r="K3507" t="s">
        <v>2269</v>
      </c>
      <c r="M3507" t="s">
        <v>6</v>
      </c>
    </row>
    <row r="3508" spans="2:13" hidden="1">
      <c r="B3508">
        <v>3506</v>
      </c>
      <c r="C3508">
        <v>269</v>
      </c>
      <c r="D3508">
        <v>30</v>
      </c>
      <c r="E3508">
        <v>29</v>
      </c>
      <c r="F3508">
        <v>0</v>
      </c>
      <c r="G3508" t="s">
        <v>2023</v>
      </c>
      <c r="H3508" t="s">
        <v>52</v>
      </c>
      <c r="I3508" t="s">
        <v>2250</v>
      </c>
      <c r="J3508" t="s">
        <v>55</v>
      </c>
      <c r="K3508" t="s">
        <v>2270</v>
      </c>
      <c r="M3508" t="s">
        <v>6</v>
      </c>
    </row>
    <row r="3509" spans="2:13" hidden="1">
      <c r="B3509">
        <v>3507</v>
      </c>
      <c r="C3509">
        <v>269</v>
      </c>
      <c r="D3509">
        <v>30</v>
      </c>
      <c r="E3509">
        <v>30</v>
      </c>
      <c r="F3509">
        <v>0</v>
      </c>
      <c r="G3509" t="s">
        <v>2023</v>
      </c>
      <c r="H3509" t="s">
        <v>52</v>
      </c>
      <c r="I3509" t="s">
        <v>2250</v>
      </c>
      <c r="J3509" t="s">
        <v>64</v>
      </c>
      <c r="K3509" t="s">
        <v>440</v>
      </c>
      <c r="M3509" t="s">
        <v>6</v>
      </c>
    </row>
    <row r="3510" spans="2:13" hidden="1">
      <c r="B3510">
        <v>3508</v>
      </c>
      <c r="C3510">
        <v>270</v>
      </c>
      <c r="D3510">
        <v>48</v>
      </c>
      <c r="E3510">
        <v>0</v>
      </c>
      <c r="F3510">
        <v>0</v>
      </c>
      <c r="G3510" t="s">
        <v>2023</v>
      </c>
      <c r="H3510" t="s">
        <v>52</v>
      </c>
      <c r="I3510" t="s">
        <v>2271</v>
      </c>
      <c r="J3510" t="s">
        <v>478</v>
      </c>
      <c r="K3510" t="s">
        <v>2271</v>
      </c>
      <c r="M3510" t="s">
        <v>6</v>
      </c>
    </row>
    <row r="3511" spans="2:13" hidden="1">
      <c r="B3511">
        <v>3509</v>
      </c>
      <c r="C3511">
        <v>270</v>
      </c>
      <c r="D3511">
        <v>48</v>
      </c>
      <c r="E3511">
        <v>1</v>
      </c>
      <c r="F3511">
        <v>0</v>
      </c>
      <c r="G3511" t="s">
        <v>2023</v>
      </c>
      <c r="H3511" t="s">
        <v>52</v>
      </c>
      <c r="I3511" t="s">
        <v>2271</v>
      </c>
      <c r="J3511" t="s">
        <v>479</v>
      </c>
      <c r="K3511" t="s">
        <v>1242</v>
      </c>
      <c r="M3511" t="s">
        <v>6</v>
      </c>
    </row>
    <row r="3512" spans="2:13" hidden="1">
      <c r="B3512">
        <v>3510</v>
      </c>
      <c r="C3512">
        <v>270</v>
      </c>
      <c r="D3512">
        <v>48</v>
      </c>
      <c r="E3512">
        <v>2</v>
      </c>
      <c r="F3512">
        <v>0</v>
      </c>
      <c r="G3512" t="s">
        <v>2023</v>
      </c>
      <c r="H3512" t="s">
        <v>52</v>
      </c>
      <c r="I3512" t="s">
        <v>2271</v>
      </c>
      <c r="J3512" t="s">
        <v>55</v>
      </c>
      <c r="K3512" t="s">
        <v>2025</v>
      </c>
      <c r="M3512" t="s">
        <v>6</v>
      </c>
    </row>
    <row r="3513" spans="2:13" hidden="1">
      <c r="B3513">
        <v>3511</v>
      </c>
      <c r="C3513">
        <v>270</v>
      </c>
      <c r="D3513">
        <v>48</v>
      </c>
      <c r="E3513">
        <v>3</v>
      </c>
      <c r="F3513">
        <v>0</v>
      </c>
      <c r="G3513" t="s">
        <v>2023</v>
      </c>
      <c r="H3513" t="s">
        <v>52</v>
      </c>
      <c r="I3513" t="s">
        <v>2271</v>
      </c>
      <c r="J3513" t="s">
        <v>55</v>
      </c>
      <c r="K3513" t="s">
        <v>429</v>
      </c>
      <c r="M3513" t="s">
        <v>6</v>
      </c>
    </row>
    <row r="3514" spans="2:13" hidden="1">
      <c r="B3514">
        <v>3512</v>
      </c>
      <c r="C3514">
        <v>270</v>
      </c>
      <c r="D3514">
        <v>48</v>
      </c>
      <c r="E3514">
        <v>4</v>
      </c>
      <c r="F3514">
        <v>0</v>
      </c>
      <c r="G3514" t="s">
        <v>2023</v>
      </c>
      <c r="H3514" t="s">
        <v>52</v>
      </c>
      <c r="I3514" t="s">
        <v>2271</v>
      </c>
      <c r="J3514" t="s">
        <v>55</v>
      </c>
      <c r="K3514" t="s">
        <v>430</v>
      </c>
      <c r="M3514" t="s">
        <v>6</v>
      </c>
    </row>
    <row r="3515" spans="2:13" hidden="1">
      <c r="B3515">
        <v>3513</v>
      </c>
      <c r="C3515">
        <v>270</v>
      </c>
      <c r="D3515">
        <v>48</v>
      </c>
      <c r="E3515">
        <v>5</v>
      </c>
      <c r="F3515">
        <v>0</v>
      </c>
      <c r="G3515" t="s">
        <v>2023</v>
      </c>
      <c r="H3515" t="s">
        <v>52</v>
      </c>
      <c r="I3515" t="s">
        <v>2271</v>
      </c>
      <c r="J3515" t="s">
        <v>55</v>
      </c>
      <c r="K3515" t="s">
        <v>2069</v>
      </c>
      <c r="M3515" t="s">
        <v>6</v>
      </c>
    </row>
    <row r="3516" spans="2:13" hidden="1">
      <c r="B3516">
        <v>3514</v>
      </c>
      <c r="C3516">
        <v>270</v>
      </c>
      <c r="D3516">
        <v>48</v>
      </c>
      <c r="E3516">
        <v>6</v>
      </c>
      <c r="F3516">
        <v>0</v>
      </c>
      <c r="G3516" t="s">
        <v>2023</v>
      </c>
      <c r="H3516" t="s">
        <v>52</v>
      </c>
      <c r="I3516" t="s">
        <v>2271</v>
      </c>
      <c r="J3516" t="s">
        <v>55</v>
      </c>
      <c r="K3516" t="s">
        <v>2272</v>
      </c>
      <c r="M3516" t="s">
        <v>6</v>
      </c>
    </row>
    <row r="3517" spans="2:13" hidden="1">
      <c r="B3517">
        <v>3515</v>
      </c>
      <c r="C3517">
        <v>270</v>
      </c>
      <c r="D3517">
        <v>48</v>
      </c>
      <c r="E3517">
        <v>7</v>
      </c>
      <c r="F3517">
        <v>0</v>
      </c>
      <c r="G3517" t="s">
        <v>2023</v>
      </c>
      <c r="H3517" t="s">
        <v>52</v>
      </c>
      <c r="I3517" t="s">
        <v>2271</v>
      </c>
      <c r="J3517" t="s">
        <v>55</v>
      </c>
      <c r="K3517" t="s">
        <v>2273</v>
      </c>
      <c r="M3517" t="s">
        <v>6</v>
      </c>
    </row>
    <row r="3518" spans="2:13" hidden="1">
      <c r="B3518">
        <v>3516</v>
      </c>
      <c r="C3518">
        <v>270</v>
      </c>
      <c r="D3518">
        <v>48</v>
      </c>
      <c r="E3518">
        <v>8</v>
      </c>
      <c r="F3518">
        <v>0</v>
      </c>
      <c r="G3518" t="s">
        <v>2023</v>
      </c>
      <c r="H3518" t="s">
        <v>52</v>
      </c>
      <c r="I3518" t="s">
        <v>2271</v>
      </c>
      <c r="J3518" t="s">
        <v>55</v>
      </c>
      <c r="K3518" t="s">
        <v>1248</v>
      </c>
      <c r="M3518" t="s">
        <v>6</v>
      </c>
    </row>
    <row r="3519" spans="2:13" hidden="1">
      <c r="B3519">
        <v>3517</v>
      </c>
      <c r="C3519">
        <v>270</v>
      </c>
      <c r="D3519">
        <v>48</v>
      </c>
      <c r="E3519">
        <v>9</v>
      </c>
      <c r="F3519">
        <v>0</v>
      </c>
      <c r="G3519" t="s">
        <v>2023</v>
      </c>
      <c r="H3519" t="s">
        <v>52</v>
      </c>
      <c r="I3519" t="s">
        <v>2271</v>
      </c>
      <c r="J3519" t="s">
        <v>55</v>
      </c>
      <c r="K3519" t="s">
        <v>1249</v>
      </c>
      <c r="M3519" t="s">
        <v>6</v>
      </c>
    </row>
    <row r="3520" spans="2:13" hidden="1">
      <c r="B3520">
        <v>3518</v>
      </c>
      <c r="C3520">
        <v>270</v>
      </c>
      <c r="D3520">
        <v>48</v>
      </c>
      <c r="E3520">
        <v>10</v>
      </c>
      <c r="F3520">
        <v>0</v>
      </c>
      <c r="G3520" t="s">
        <v>2023</v>
      </c>
      <c r="H3520" t="s">
        <v>52</v>
      </c>
      <c r="I3520" t="s">
        <v>2271</v>
      </c>
      <c r="J3520" t="s">
        <v>55</v>
      </c>
      <c r="K3520" t="s">
        <v>1255</v>
      </c>
      <c r="M3520" t="s">
        <v>6</v>
      </c>
    </row>
    <row r="3521" spans="2:13" hidden="1">
      <c r="B3521">
        <v>3519</v>
      </c>
      <c r="C3521">
        <v>270</v>
      </c>
      <c r="D3521">
        <v>48</v>
      </c>
      <c r="E3521">
        <v>11</v>
      </c>
      <c r="F3521">
        <v>0</v>
      </c>
      <c r="G3521" t="s">
        <v>2023</v>
      </c>
      <c r="H3521" t="s">
        <v>52</v>
      </c>
      <c r="I3521" t="s">
        <v>2271</v>
      </c>
      <c r="J3521" t="s">
        <v>55</v>
      </c>
      <c r="K3521" t="s">
        <v>1250</v>
      </c>
      <c r="M3521" t="s">
        <v>6</v>
      </c>
    </row>
    <row r="3522" spans="2:13" hidden="1">
      <c r="B3522">
        <v>3520</v>
      </c>
      <c r="C3522">
        <v>270</v>
      </c>
      <c r="D3522">
        <v>48</v>
      </c>
      <c r="E3522">
        <v>12</v>
      </c>
      <c r="F3522">
        <v>0</v>
      </c>
      <c r="G3522" t="s">
        <v>2023</v>
      </c>
      <c r="H3522" t="s">
        <v>52</v>
      </c>
      <c r="I3522" t="s">
        <v>2271</v>
      </c>
      <c r="J3522" t="s">
        <v>55</v>
      </c>
      <c r="K3522" t="s">
        <v>1251</v>
      </c>
      <c r="M3522" t="s">
        <v>6</v>
      </c>
    </row>
    <row r="3523" spans="2:13" hidden="1">
      <c r="B3523">
        <v>3521</v>
      </c>
      <c r="C3523">
        <v>270</v>
      </c>
      <c r="D3523">
        <v>48</v>
      </c>
      <c r="E3523">
        <v>13</v>
      </c>
      <c r="F3523">
        <v>0</v>
      </c>
      <c r="G3523" t="s">
        <v>2023</v>
      </c>
      <c r="H3523" t="s">
        <v>52</v>
      </c>
      <c r="I3523" t="s">
        <v>2271</v>
      </c>
      <c r="J3523" t="s">
        <v>55</v>
      </c>
      <c r="K3523" t="s">
        <v>1252</v>
      </c>
      <c r="M3523" t="s">
        <v>6</v>
      </c>
    </row>
    <row r="3524" spans="2:13" hidden="1">
      <c r="B3524">
        <v>3522</v>
      </c>
      <c r="C3524">
        <v>270</v>
      </c>
      <c r="D3524">
        <v>48</v>
      </c>
      <c r="E3524">
        <v>14</v>
      </c>
      <c r="F3524">
        <v>0</v>
      </c>
      <c r="G3524" t="s">
        <v>2023</v>
      </c>
      <c r="H3524" t="s">
        <v>52</v>
      </c>
      <c r="I3524" t="s">
        <v>2271</v>
      </c>
      <c r="J3524" t="s">
        <v>55</v>
      </c>
      <c r="K3524" t="s">
        <v>1253</v>
      </c>
      <c r="M3524" t="s">
        <v>6</v>
      </c>
    </row>
    <row r="3525" spans="2:13" hidden="1">
      <c r="B3525">
        <v>3523</v>
      </c>
      <c r="C3525">
        <v>270</v>
      </c>
      <c r="D3525">
        <v>48</v>
      </c>
      <c r="E3525">
        <v>15</v>
      </c>
      <c r="F3525">
        <v>0</v>
      </c>
      <c r="G3525" t="s">
        <v>2023</v>
      </c>
      <c r="H3525" t="s">
        <v>52</v>
      </c>
      <c r="I3525" t="s">
        <v>2271</v>
      </c>
      <c r="J3525" t="s">
        <v>55</v>
      </c>
      <c r="K3525" t="s">
        <v>1254</v>
      </c>
      <c r="M3525" t="s">
        <v>6</v>
      </c>
    </row>
    <row r="3526" spans="2:13" hidden="1">
      <c r="B3526">
        <v>3524</v>
      </c>
      <c r="C3526">
        <v>270</v>
      </c>
      <c r="D3526">
        <v>48</v>
      </c>
      <c r="E3526">
        <v>16</v>
      </c>
      <c r="F3526">
        <v>0</v>
      </c>
      <c r="G3526" t="s">
        <v>2023</v>
      </c>
      <c r="H3526" t="s">
        <v>52</v>
      </c>
      <c r="I3526" t="s">
        <v>2271</v>
      </c>
      <c r="J3526" t="s">
        <v>55</v>
      </c>
      <c r="K3526" t="s">
        <v>1256</v>
      </c>
      <c r="M3526" t="s">
        <v>6</v>
      </c>
    </row>
    <row r="3527" spans="2:13" hidden="1">
      <c r="B3527">
        <v>3525</v>
      </c>
      <c r="C3527">
        <v>270</v>
      </c>
      <c r="D3527">
        <v>48</v>
      </c>
      <c r="E3527">
        <v>17</v>
      </c>
      <c r="F3527">
        <v>0</v>
      </c>
      <c r="G3527" t="s">
        <v>2023</v>
      </c>
      <c r="H3527" t="s">
        <v>52</v>
      </c>
      <c r="I3527" t="s">
        <v>2271</v>
      </c>
      <c r="J3527" t="s">
        <v>55</v>
      </c>
      <c r="K3527" t="s">
        <v>1257</v>
      </c>
      <c r="M3527" t="s">
        <v>6</v>
      </c>
    </row>
    <row r="3528" spans="2:13" hidden="1">
      <c r="B3528">
        <v>3526</v>
      </c>
      <c r="C3528">
        <v>270</v>
      </c>
      <c r="D3528">
        <v>48</v>
      </c>
      <c r="E3528">
        <v>18</v>
      </c>
      <c r="F3528">
        <v>0</v>
      </c>
      <c r="G3528" t="s">
        <v>2023</v>
      </c>
      <c r="H3528" t="s">
        <v>52</v>
      </c>
      <c r="I3528" t="s">
        <v>2271</v>
      </c>
      <c r="J3528" t="s">
        <v>55</v>
      </c>
      <c r="K3528" t="s">
        <v>2071</v>
      </c>
      <c r="M3528" t="s">
        <v>6</v>
      </c>
    </row>
    <row r="3529" spans="2:13" hidden="1">
      <c r="B3529">
        <v>3527</v>
      </c>
      <c r="C3529">
        <v>270</v>
      </c>
      <c r="D3529">
        <v>48</v>
      </c>
      <c r="E3529">
        <v>19</v>
      </c>
      <c r="F3529">
        <v>0</v>
      </c>
      <c r="G3529" t="s">
        <v>2023</v>
      </c>
      <c r="H3529" t="s">
        <v>52</v>
      </c>
      <c r="I3529" t="s">
        <v>2271</v>
      </c>
      <c r="J3529" t="s">
        <v>437</v>
      </c>
      <c r="K3529" t="s">
        <v>438</v>
      </c>
      <c r="L3529" t="s">
        <v>439</v>
      </c>
      <c r="M3529" t="s">
        <v>6</v>
      </c>
    </row>
    <row r="3530" spans="2:13" hidden="1">
      <c r="B3530">
        <v>3528</v>
      </c>
      <c r="C3530">
        <v>270</v>
      </c>
      <c r="D3530">
        <v>48</v>
      </c>
      <c r="E3530">
        <v>20</v>
      </c>
      <c r="F3530">
        <v>0</v>
      </c>
      <c r="G3530" t="s">
        <v>2023</v>
      </c>
      <c r="H3530" t="s">
        <v>52</v>
      </c>
      <c r="I3530" t="s">
        <v>2271</v>
      </c>
      <c r="J3530" t="s">
        <v>55</v>
      </c>
      <c r="K3530" t="s">
        <v>2072</v>
      </c>
      <c r="M3530" t="s">
        <v>6</v>
      </c>
    </row>
    <row r="3531" spans="2:13" hidden="1">
      <c r="B3531">
        <v>3529</v>
      </c>
      <c r="C3531">
        <v>270</v>
      </c>
      <c r="D3531">
        <v>48</v>
      </c>
      <c r="E3531">
        <v>21</v>
      </c>
      <c r="F3531">
        <v>0</v>
      </c>
      <c r="G3531" t="s">
        <v>2023</v>
      </c>
      <c r="H3531" t="s">
        <v>52</v>
      </c>
      <c r="I3531" t="s">
        <v>2271</v>
      </c>
      <c r="J3531" t="s">
        <v>437</v>
      </c>
      <c r="K3531" t="s">
        <v>438</v>
      </c>
      <c r="L3531" t="s">
        <v>439</v>
      </c>
      <c r="M3531" t="s">
        <v>6</v>
      </c>
    </row>
    <row r="3532" spans="2:13" hidden="1">
      <c r="B3532">
        <v>3530</v>
      </c>
      <c r="C3532">
        <v>270</v>
      </c>
      <c r="D3532">
        <v>48</v>
      </c>
      <c r="E3532">
        <v>22</v>
      </c>
      <c r="F3532">
        <v>0</v>
      </c>
      <c r="G3532" t="s">
        <v>2023</v>
      </c>
      <c r="H3532" t="s">
        <v>52</v>
      </c>
      <c r="I3532" t="s">
        <v>2271</v>
      </c>
      <c r="J3532" t="s">
        <v>214</v>
      </c>
      <c r="K3532" t="s">
        <v>443</v>
      </c>
      <c r="M3532" t="s">
        <v>6</v>
      </c>
    </row>
    <row r="3533" spans="2:13" hidden="1">
      <c r="B3533">
        <v>3531</v>
      </c>
      <c r="C3533">
        <v>270</v>
      </c>
      <c r="D3533">
        <v>48</v>
      </c>
      <c r="E3533">
        <v>23</v>
      </c>
      <c r="F3533">
        <v>0</v>
      </c>
      <c r="G3533" t="s">
        <v>2023</v>
      </c>
      <c r="H3533" t="s">
        <v>52</v>
      </c>
      <c r="I3533" t="s">
        <v>2271</v>
      </c>
      <c r="J3533" t="s">
        <v>55</v>
      </c>
      <c r="K3533" t="s">
        <v>442</v>
      </c>
      <c r="M3533" t="s">
        <v>6</v>
      </c>
    </row>
    <row r="3534" spans="2:13" hidden="1">
      <c r="B3534">
        <v>3532</v>
      </c>
      <c r="C3534">
        <v>270</v>
      </c>
      <c r="D3534">
        <v>48</v>
      </c>
      <c r="E3534">
        <v>24</v>
      </c>
      <c r="F3534">
        <v>0</v>
      </c>
      <c r="G3534" t="s">
        <v>2023</v>
      </c>
      <c r="H3534" t="s">
        <v>52</v>
      </c>
      <c r="I3534" t="s">
        <v>2271</v>
      </c>
      <c r="J3534" t="s">
        <v>479</v>
      </c>
      <c r="K3534" t="s">
        <v>2073</v>
      </c>
      <c r="M3534" t="s">
        <v>6</v>
      </c>
    </row>
    <row r="3535" spans="2:13" hidden="1">
      <c r="B3535">
        <v>3533</v>
      </c>
      <c r="C3535">
        <v>270</v>
      </c>
      <c r="D3535">
        <v>48</v>
      </c>
      <c r="E3535">
        <v>25</v>
      </c>
      <c r="F3535">
        <v>0</v>
      </c>
      <c r="G3535" t="s">
        <v>2023</v>
      </c>
      <c r="H3535" t="s">
        <v>52</v>
      </c>
      <c r="I3535" t="s">
        <v>2271</v>
      </c>
      <c r="J3535" t="s">
        <v>55</v>
      </c>
      <c r="K3535" t="s">
        <v>429</v>
      </c>
      <c r="M3535" t="s">
        <v>6</v>
      </c>
    </row>
    <row r="3536" spans="2:13" hidden="1">
      <c r="B3536">
        <v>3534</v>
      </c>
      <c r="C3536">
        <v>270</v>
      </c>
      <c r="D3536">
        <v>48</v>
      </c>
      <c r="E3536">
        <v>26</v>
      </c>
      <c r="F3536">
        <v>0</v>
      </c>
      <c r="G3536" t="s">
        <v>2023</v>
      </c>
      <c r="H3536" t="s">
        <v>52</v>
      </c>
      <c r="I3536" t="s">
        <v>2271</v>
      </c>
      <c r="J3536" t="s">
        <v>55</v>
      </c>
      <c r="K3536" t="s">
        <v>430</v>
      </c>
      <c r="M3536" t="s">
        <v>6</v>
      </c>
    </row>
    <row r="3537" spans="2:13" hidden="1">
      <c r="B3537">
        <v>3535</v>
      </c>
      <c r="C3537">
        <v>270</v>
      </c>
      <c r="D3537">
        <v>48</v>
      </c>
      <c r="E3537">
        <v>27</v>
      </c>
      <c r="F3537">
        <v>0</v>
      </c>
      <c r="G3537" t="s">
        <v>2023</v>
      </c>
      <c r="H3537" t="s">
        <v>52</v>
      </c>
      <c r="I3537" t="s">
        <v>2271</v>
      </c>
      <c r="J3537" t="s">
        <v>55</v>
      </c>
      <c r="K3537" t="s">
        <v>2074</v>
      </c>
      <c r="M3537" t="s">
        <v>6</v>
      </c>
    </row>
    <row r="3538" spans="2:13" hidden="1">
      <c r="B3538">
        <v>3536</v>
      </c>
      <c r="C3538">
        <v>270</v>
      </c>
      <c r="D3538">
        <v>48</v>
      </c>
      <c r="E3538">
        <v>28</v>
      </c>
      <c r="F3538">
        <v>0</v>
      </c>
      <c r="G3538" t="s">
        <v>2023</v>
      </c>
      <c r="H3538" t="s">
        <v>52</v>
      </c>
      <c r="I3538" t="s">
        <v>2271</v>
      </c>
      <c r="J3538" t="s">
        <v>55</v>
      </c>
      <c r="K3538" t="s">
        <v>2274</v>
      </c>
      <c r="M3538" t="s">
        <v>6</v>
      </c>
    </row>
    <row r="3539" spans="2:13" hidden="1">
      <c r="B3539">
        <v>3537</v>
      </c>
      <c r="C3539">
        <v>270</v>
      </c>
      <c r="D3539">
        <v>48</v>
      </c>
      <c r="E3539">
        <v>29</v>
      </c>
      <c r="F3539">
        <v>0</v>
      </c>
      <c r="G3539" t="s">
        <v>2023</v>
      </c>
      <c r="H3539" t="s">
        <v>52</v>
      </c>
      <c r="I3539" t="s">
        <v>2271</v>
      </c>
      <c r="J3539" t="s">
        <v>55</v>
      </c>
      <c r="K3539" t="s">
        <v>1111</v>
      </c>
      <c r="M3539" t="s">
        <v>6</v>
      </c>
    </row>
    <row r="3540" spans="2:13" hidden="1">
      <c r="B3540">
        <v>3538</v>
      </c>
      <c r="C3540">
        <v>270</v>
      </c>
      <c r="D3540">
        <v>48</v>
      </c>
      <c r="E3540">
        <v>30</v>
      </c>
      <c r="F3540">
        <v>0</v>
      </c>
      <c r="G3540" t="s">
        <v>2023</v>
      </c>
      <c r="H3540" t="s">
        <v>52</v>
      </c>
      <c r="I3540" t="s">
        <v>2271</v>
      </c>
      <c r="J3540" t="s">
        <v>55</v>
      </c>
      <c r="K3540" t="s">
        <v>2275</v>
      </c>
      <c r="M3540" t="s">
        <v>6</v>
      </c>
    </row>
    <row r="3541" spans="2:13" hidden="1">
      <c r="B3541">
        <v>3539</v>
      </c>
      <c r="C3541">
        <v>270</v>
      </c>
      <c r="D3541">
        <v>48</v>
      </c>
      <c r="E3541">
        <v>31</v>
      </c>
      <c r="F3541">
        <v>0</v>
      </c>
      <c r="G3541" t="s">
        <v>2023</v>
      </c>
      <c r="H3541" t="s">
        <v>52</v>
      </c>
      <c r="I3541" t="s">
        <v>2271</v>
      </c>
      <c r="J3541" t="s">
        <v>55</v>
      </c>
      <c r="K3541" t="s">
        <v>2276</v>
      </c>
      <c r="M3541" t="s">
        <v>6</v>
      </c>
    </row>
    <row r="3542" spans="2:13" hidden="1">
      <c r="B3542">
        <v>3540</v>
      </c>
      <c r="C3542">
        <v>270</v>
      </c>
      <c r="D3542">
        <v>48</v>
      </c>
      <c r="E3542">
        <v>32</v>
      </c>
      <c r="F3542">
        <v>0</v>
      </c>
      <c r="G3542" t="s">
        <v>2023</v>
      </c>
      <c r="H3542" t="s">
        <v>52</v>
      </c>
      <c r="I3542" t="s">
        <v>2271</v>
      </c>
      <c r="J3542" t="s">
        <v>55</v>
      </c>
      <c r="K3542" t="s">
        <v>2277</v>
      </c>
      <c r="M3542" t="s">
        <v>6</v>
      </c>
    </row>
    <row r="3543" spans="2:13" hidden="1">
      <c r="B3543">
        <v>3541</v>
      </c>
      <c r="C3543">
        <v>270</v>
      </c>
      <c r="D3543">
        <v>48</v>
      </c>
      <c r="E3543">
        <v>33</v>
      </c>
      <c r="F3543">
        <v>0</v>
      </c>
      <c r="G3543" t="s">
        <v>2023</v>
      </c>
      <c r="H3543" t="s">
        <v>52</v>
      </c>
      <c r="I3543" t="s">
        <v>2271</v>
      </c>
      <c r="J3543" t="s">
        <v>55</v>
      </c>
      <c r="K3543" t="s">
        <v>1119</v>
      </c>
      <c r="M3543" t="s">
        <v>6</v>
      </c>
    </row>
    <row r="3544" spans="2:13" hidden="1">
      <c r="B3544">
        <v>3542</v>
      </c>
      <c r="C3544">
        <v>270</v>
      </c>
      <c r="D3544">
        <v>48</v>
      </c>
      <c r="E3544">
        <v>34</v>
      </c>
      <c r="F3544">
        <v>0</v>
      </c>
      <c r="G3544" t="s">
        <v>2023</v>
      </c>
      <c r="H3544" t="s">
        <v>52</v>
      </c>
      <c r="I3544" t="s">
        <v>2271</v>
      </c>
      <c r="J3544" t="s">
        <v>55</v>
      </c>
      <c r="K3544" t="s">
        <v>2076</v>
      </c>
      <c r="M3544" t="s">
        <v>6</v>
      </c>
    </row>
    <row r="3545" spans="2:13" hidden="1">
      <c r="B3545">
        <v>3543</v>
      </c>
      <c r="C3545">
        <v>270</v>
      </c>
      <c r="D3545">
        <v>48</v>
      </c>
      <c r="E3545">
        <v>35</v>
      </c>
      <c r="F3545">
        <v>0</v>
      </c>
      <c r="G3545" t="s">
        <v>2023</v>
      </c>
      <c r="H3545" t="s">
        <v>52</v>
      </c>
      <c r="I3545" t="s">
        <v>2271</v>
      </c>
      <c r="J3545" t="s">
        <v>437</v>
      </c>
      <c r="K3545" t="s">
        <v>438</v>
      </c>
      <c r="L3545" t="s">
        <v>439</v>
      </c>
      <c r="M3545" t="s">
        <v>6</v>
      </c>
    </row>
    <row r="3546" spans="2:13" hidden="1">
      <c r="B3546">
        <v>3544</v>
      </c>
      <c r="C3546">
        <v>270</v>
      </c>
      <c r="D3546">
        <v>48</v>
      </c>
      <c r="E3546">
        <v>36</v>
      </c>
      <c r="F3546">
        <v>0</v>
      </c>
      <c r="G3546" t="s">
        <v>2023</v>
      </c>
      <c r="H3546" t="s">
        <v>52</v>
      </c>
      <c r="I3546" t="s">
        <v>2271</v>
      </c>
      <c r="J3546" t="s">
        <v>64</v>
      </c>
      <c r="K3546" t="s">
        <v>440</v>
      </c>
      <c r="M3546" t="s">
        <v>6</v>
      </c>
    </row>
    <row r="3547" spans="2:13" hidden="1">
      <c r="B3547">
        <v>3545</v>
      </c>
      <c r="C3547">
        <v>270</v>
      </c>
      <c r="D3547">
        <v>48</v>
      </c>
      <c r="E3547">
        <v>37</v>
      </c>
      <c r="F3547">
        <v>0</v>
      </c>
      <c r="G3547" t="s">
        <v>2023</v>
      </c>
      <c r="H3547" t="s">
        <v>52</v>
      </c>
      <c r="I3547" t="s">
        <v>2271</v>
      </c>
      <c r="J3547" t="s">
        <v>479</v>
      </c>
      <c r="K3547" t="s">
        <v>2278</v>
      </c>
      <c r="M3547" t="s">
        <v>6</v>
      </c>
    </row>
    <row r="3548" spans="2:13" hidden="1">
      <c r="B3548">
        <v>3546</v>
      </c>
      <c r="C3548">
        <v>270</v>
      </c>
      <c r="D3548">
        <v>48</v>
      </c>
      <c r="E3548">
        <v>38</v>
      </c>
      <c r="F3548">
        <v>0</v>
      </c>
      <c r="G3548" t="s">
        <v>2023</v>
      </c>
      <c r="H3548" t="s">
        <v>52</v>
      </c>
      <c r="I3548" t="s">
        <v>2271</v>
      </c>
      <c r="J3548" t="s">
        <v>55</v>
      </c>
      <c r="K3548" t="s">
        <v>429</v>
      </c>
      <c r="M3548" t="s">
        <v>6</v>
      </c>
    </row>
    <row r="3549" spans="2:13" hidden="1">
      <c r="B3549">
        <v>3547</v>
      </c>
      <c r="C3549">
        <v>270</v>
      </c>
      <c r="D3549">
        <v>48</v>
      </c>
      <c r="E3549">
        <v>39</v>
      </c>
      <c r="F3549">
        <v>0</v>
      </c>
      <c r="G3549" t="s">
        <v>2023</v>
      </c>
      <c r="H3549" t="s">
        <v>52</v>
      </c>
      <c r="I3549" t="s">
        <v>2271</v>
      </c>
      <c r="J3549" t="s">
        <v>55</v>
      </c>
      <c r="K3549" t="s">
        <v>430</v>
      </c>
      <c r="M3549" t="s">
        <v>6</v>
      </c>
    </row>
    <row r="3550" spans="2:13" hidden="1">
      <c r="B3550">
        <v>3548</v>
      </c>
      <c r="C3550">
        <v>270</v>
      </c>
      <c r="D3550">
        <v>48</v>
      </c>
      <c r="E3550">
        <v>40</v>
      </c>
      <c r="F3550">
        <v>0</v>
      </c>
      <c r="G3550" t="s">
        <v>2023</v>
      </c>
      <c r="H3550" t="s">
        <v>52</v>
      </c>
      <c r="I3550" t="s">
        <v>2271</v>
      </c>
      <c r="J3550" t="s">
        <v>55</v>
      </c>
      <c r="K3550" t="s">
        <v>2279</v>
      </c>
      <c r="M3550" t="s">
        <v>6</v>
      </c>
    </row>
    <row r="3551" spans="2:13" hidden="1">
      <c r="B3551">
        <v>3549</v>
      </c>
      <c r="C3551">
        <v>270</v>
      </c>
      <c r="D3551">
        <v>48</v>
      </c>
      <c r="E3551">
        <v>41</v>
      </c>
      <c r="F3551">
        <v>0</v>
      </c>
      <c r="G3551" t="s">
        <v>2023</v>
      </c>
      <c r="H3551" t="s">
        <v>52</v>
      </c>
      <c r="I3551" t="s">
        <v>2271</v>
      </c>
      <c r="J3551" t="s">
        <v>420</v>
      </c>
      <c r="K3551" t="s">
        <v>2280</v>
      </c>
      <c r="M3551" t="s">
        <v>6</v>
      </c>
    </row>
    <row r="3552" spans="2:13" hidden="1">
      <c r="B3552">
        <v>3550</v>
      </c>
      <c r="C3552">
        <v>270</v>
      </c>
      <c r="D3552">
        <v>48</v>
      </c>
      <c r="E3552">
        <v>42</v>
      </c>
      <c r="F3552">
        <v>0</v>
      </c>
      <c r="G3552" t="s">
        <v>2023</v>
      </c>
      <c r="H3552" t="s">
        <v>52</v>
      </c>
      <c r="I3552" t="s">
        <v>2271</v>
      </c>
      <c r="J3552" t="s">
        <v>55</v>
      </c>
      <c r="K3552" t="s">
        <v>2281</v>
      </c>
      <c r="M3552" t="s">
        <v>6</v>
      </c>
    </row>
    <row r="3553" spans="2:13" hidden="1">
      <c r="B3553">
        <v>3551</v>
      </c>
      <c r="C3553">
        <v>270</v>
      </c>
      <c r="D3553">
        <v>48</v>
      </c>
      <c r="E3553">
        <v>43</v>
      </c>
      <c r="F3553">
        <v>0</v>
      </c>
      <c r="G3553" t="s">
        <v>2023</v>
      </c>
      <c r="H3553" t="s">
        <v>52</v>
      </c>
      <c r="I3553" t="s">
        <v>2271</v>
      </c>
      <c r="J3553" t="s">
        <v>420</v>
      </c>
      <c r="K3553" t="s">
        <v>2280</v>
      </c>
      <c r="M3553" t="s">
        <v>6</v>
      </c>
    </row>
    <row r="3554" spans="2:13" hidden="1">
      <c r="B3554">
        <v>3552</v>
      </c>
      <c r="C3554">
        <v>270</v>
      </c>
      <c r="D3554">
        <v>48</v>
      </c>
      <c r="E3554">
        <v>44</v>
      </c>
      <c r="F3554">
        <v>0</v>
      </c>
      <c r="G3554" t="s">
        <v>2023</v>
      </c>
      <c r="H3554" t="s">
        <v>52</v>
      </c>
      <c r="I3554" t="s">
        <v>2271</v>
      </c>
      <c r="J3554" t="s">
        <v>55</v>
      </c>
      <c r="K3554" t="s">
        <v>2282</v>
      </c>
      <c r="M3554" t="s">
        <v>6</v>
      </c>
    </row>
    <row r="3555" spans="2:13" hidden="1">
      <c r="B3555">
        <v>3553</v>
      </c>
      <c r="C3555">
        <v>270</v>
      </c>
      <c r="D3555">
        <v>48</v>
      </c>
      <c r="E3555">
        <v>45</v>
      </c>
      <c r="F3555">
        <v>0</v>
      </c>
      <c r="G3555" t="s">
        <v>2023</v>
      </c>
      <c r="H3555" t="s">
        <v>52</v>
      </c>
      <c r="I3555" t="s">
        <v>2271</v>
      </c>
      <c r="J3555" t="s">
        <v>437</v>
      </c>
      <c r="K3555" t="s">
        <v>438</v>
      </c>
      <c r="L3555" t="s">
        <v>439</v>
      </c>
      <c r="M3555" t="s">
        <v>6</v>
      </c>
    </row>
    <row r="3556" spans="2:13" hidden="1">
      <c r="B3556">
        <v>3554</v>
      </c>
      <c r="C3556">
        <v>270</v>
      </c>
      <c r="D3556">
        <v>48</v>
      </c>
      <c r="E3556">
        <v>46</v>
      </c>
      <c r="F3556">
        <v>0</v>
      </c>
      <c r="G3556" t="s">
        <v>2023</v>
      </c>
      <c r="H3556" t="s">
        <v>52</v>
      </c>
      <c r="I3556" t="s">
        <v>2271</v>
      </c>
      <c r="J3556" t="s">
        <v>64</v>
      </c>
      <c r="K3556" t="s">
        <v>440</v>
      </c>
      <c r="M3556" t="s">
        <v>6</v>
      </c>
    </row>
    <row r="3557" spans="2:13" hidden="1">
      <c r="B3557">
        <v>3555</v>
      </c>
      <c r="C3557">
        <v>270</v>
      </c>
      <c r="D3557">
        <v>48</v>
      </c>
      <c r="E3557">
        <v>47</v>
      </c>
      <c r="F3557">
        <v>0</v>
      </c>
      <c r="G3557" t="s">
        <v>2023</v>
      </c>
      <c r="H3557" t="s">
        <v>52</v>
      </c>
      <c r="I3557" t="s">
        <v>2271</v>
      </c>
      <c r="J3557" t="s">
        <v>55</v>
      </c>
      <c r="K3557" t="s">
        <v>442</v>
      </c>
      <c r="M3557" t="s">
        <v>6</v>
      </c>
    </row>
    <row r="3558" spans="2:13" hidden="1">
      <c r="B3558">
        <v>3556</v>
      </c>
      <c r="C3558">
        <v>270</v>
      </c>
      <c r="D3558">
        <v>48</v>
      </c>
      <c r="E3558">
        <v>48</v>
      </c>
      <c r="F3558">
        <v>0</v>
      </c>
      <c r="G3558" t="s">
        <v>2023</v>
      </c>
      <c r="H3558" t="s">
        <v>52</v>
      </c>
      <c r="I3558" t="s">
        <v>2271</v>
      </c>
      <c r="J3558" t="s">
        <v>214</v>
      </c>
      <c r="K3558" t="s">
        <v>443</v>
      </c>
      <c r="M3558" t="s">
        <v>6</v>
      </c>
    </row>
    <row r="3559" spans="2:13" hidden="1">
      <c r="B3559">
        <v>3557</v>
      </c>
      <c r="C3559">
        <v>271</v>
      </c>
      <c r="D3559">
        <v>16</v>
      </c>
      <c r="E3559">
        <v>0</v>
      </c>
      <c r="F3559">
        <v>0</v>
      </c>
      <c r="G3559" t="s">
        <v>2023</v>
      </c>
      <c r="H3559" t="s">
        <v>52</v>
      </c>
      <c r="I3559" t="s">
        <v>2283</v>
      </c>
      <c r="J3559" t="s">
        <v>54</v>
      </c>
      <c r="K3559" t="s">
        <v>2283</v>
      </c>
      <c r="M3559" t="s">
        <v>6</v>
      </c>
    </row>
    <row r="3560" spans="2:13" hidden="1">
      <c r="B3560">
        <v>3558</v>
      </c>
      <c r="C3560">
        <v>271</v>
      </c>
      <c r="D3560">
        <v>16</v>
      </c>
      <c r="E3560">
        <v>1</v>
      </c>
      <c r="F3560">
        <v>0</v>
      </c>
      <c r="G3560" t="s">
        <v>2023</v>
      </c>
      <c r="H3560" t="s">
        <v>52</v>
      </c>
      <c r="I3560" t="s">
        <v>2283</v>
      </c>
      <c r="J3560" t="s">
        <v>55</v>
      </c>
      <c r="K3560" t="s">
        <v>2025</v>
      </c>
      <c r="M3560" t="s">
        <v>6</v>
      </c>
    </row>
    <row r="3561" spans="2:13" hidden="1">
      <c r="B3561">
        <v>3559</v>
      </c>
      <c r="C3561">
        <v>271</v>
      </c>
      <c r="D3561">
        <v>16</v>
      </c>
      <c r="E3561">
        <v>2</v>
      </c>
      <c r="F3561">
        <v>0</v>
      </c>
      <c r="G3561" t="s">
        <v>2023</v>
      </c>
      <c r="H3561" t="s">
        <v>52</v>
      </c>
      <c r="I3561" t="s">
        <v>2283</v>
      </c>
      <c r="J3561" t="s">
        <v>55</v>
      </c>
      <c r="K3561" t="s">
        <v>429</v>
      </c>
      <c r="M3561" t="s">
        <v>6</v>
      </c>
    </row>
    <row r="3562" spans="2:13" hidden="1">
      <c r="B3562">
        <v>3560</v>
      </c>
      <c r="C3562">
        <v>271</v>
      </c>
      <c r="D3562">
        <v>16</v>
      </c>
      <c r="E3562">
        <v>3</v>
      </c>
      <c r="F3562">
        <v>0</v>
      </c>
      <c r="G3562" t="s">
        <v>2023</v>
      </c>
      <c r="H3562" t="s">
        <v>52</v>
      </c>
      <c r="I3562" t="s">
        <v>2283</v>
      </c>
      <c r="J3562" t="s">
        <v>55</v>
      </c>
      <c r="K3562" t="s">
        <v>430</v>
      </c>
      <c r="M3562" t="s">
        <v>6</v>
      </c>
    </row>
    <row r="3563" spans="2:13" hidden="1">
      <c r="B3563">
        <v>3561</v>
      </c>
      <c r="C3563">
        <v>271</v>
      </c>
      <c r="D3563">
        <v>16</v>
      </c>
      <c r="E3563">
        <v>4</v>
      </c>
      <c r="F3563">
        <v>0</v>
      </c>
      <c r="G3563" t="s">
        <v>2023</v>
      </c>
      <c r="H3563" t="s">
        <v>52</v>
      </c>
      <c r="I3563" t="s">
        <v>2283</v>
      </c>
      <c r="J3563" t="s">
        <v>55</v>
      </c>
      <c r="K3563" t="s">
        <v>2053</v>
      </c>
      <c r="M3563" t="s">
        <v>6</v>
      </c>
    </row>
    <row r="3564" spans="2:13" hidden="1">
      <c r="B3564">
        <v>3562</v>
      </c>
      <c r="C3564">
        <v>271</v>
      </c>
      <c r="D3564">
        <v>16</v>
      </c>
      <c r="E3564">
        <v>5</v>
      </c>
      <c r="F3564">
        <v>0</v>
      </c>
      <c r="G3564" t="s">
        <v>2023</v>
      </c>
      <c r="H3564" t="s">
        <v>52</v>
      </c>
      <c r="I3564" t="s">
        <v>2283</v>
      </c>
      <c r="J3564" t="s">
        <v>55</v>
      </c>
      <c r="K3564" t="s">
        <v>2150</v>
      </c>
      <c r="M3564" t="s">
        <v>6</v>
      </c>
    </row>
    <row r="3565" spans="2:13" hidden="1">
      <c r="B3565">
        <v>3563</v>
      </c>
      <c r="C3565">
        <v>271</v>
      </c>
      <c r="D3565">
        <v>16</v>
      </c>
      <c r="E3565">
        <v>6</v>
      </c>
      <c r="F3565">
        <v>0</v>
      </c>
      <c r="G3565" t="s">
        <v>2023</v>
      </c>
      <c r="H3565" t="s">
        <v>52</v>
      </c>
      <c r="I3565" t="s">
        <v>2283</v>
      </c>
      <c r="J3565" t="s">
        <v>55</v>
      </c>
      <c r="K3565" t="s">
        <v>2054</v>
      </c>
      <c r="M3565" t="s">
        <v>6</v>
      </c>
    </row>
    <row r="3566" spans="2:13" hidden="1">
      <c r="B3566">
        <v>3564</v>
      </c>
      <c r="C3566">
        <v>271</v>
      </c>
      <c r="D3566">
        <v>16</v>
      </c>
      <c r="E3566">
        <v>7</v>
      </c>
      <c r="F3566">
        <v>0</v>
      </c>
      <c r="G3566" t="s">
        <v>2023</v>
      </c>
      <c r="H3566" t="s">
        <v>52</v>
      </c>
      <c r="I3566" t="s">
        <v>2283</v>
      </c>
      <c r="J3566" t="s">
        <v>55</v>
      </c>
      <c r="K3566" t="s">
        <v>2055</v>
      </c>
      <c r="M3566" t="s">
        <v>6</v>
      </c>
    </row>
    <row r="3567" spans="2:13" hidden="1">
      <c r="B3567">
        <v>3565</v>
      </c>
      <c r="C3567">
        <v>271</v>
      </c>
      <c r="D3567">
        <v>16</v>
      </c>
      <c r="E3567">
        <v>8</v>
      </c>
      <c r="F3567">
        <v>0</v>
      </c>
      <c r="G3567" t="s">
        <v>2023</v>
      </c>
      <c r="H3567" t="s">
        <v>52</v>
      </c>
      <c r="I3567" t="s">
        <v>2283</v>
      </c>
      <c r="J3567" t="s">
        <v>55</v>
      </c>
      <c r="K3567" t="s">
        <v>2056</v>
      </c>
      <c r="M3567" t="s">
        <v>6</v>
      </c>
    </row>
    <row r="3568" spans="2:13" hidden="1">
      <c r="B3568">
        <v>3566</v>
      </c>
      <c r="C3568">
        <v>271</v>
      </c>
      <c r="D3568">
        <v>16</v>
      </c>
      <c r="E3568">
        <v>9</v>
      </c>
      <c r="F3568">
        <v>0</v>
      </c>
      <c r="G3568" t="s">
        <v>2023</v>
      </c>
      <c r="H3568" t="s">
        <v>52</v>
      </c>
      <c r="I3568" t="s">
        <v>2283</v>
      </c>
      <c r="J3568" t="s">
        <v>55</v>
      </c>
      <c r="K3568" t="s">
        <v>436</v>
      </c>
      <c r="M3568" t="s">
        <v>6</v>
      </c>
    </row>
    <row r="3569" spans="2:13" hidden="1">
      <c r="B3569">
        <v>3567</v>
      </c>
      <c r="C3569">
        <v>271</v>
      </c>
      <c r="D3569">
        <v>16</v>
      </c>
      <c r="E3569">
        <v>10</v>
      </c>
      <c r="F3569">
        <v>0</v>
      </c>
      <c r="G3569" t="s">
        <v>2023</v>
      </c>
      <c r="H3569" t="s">
        <v>52</v>
      </c>
      <c r="I3569" t="s">
        <v>2283</v>
      </c>
      <c r="J3569" t="s">
        <v>437</v>
      </c>
      <c r="K3569" t="s">
        <v>438</v>
      </c>
      <c r="L3569" t="s">
        <v>439</v>
      </c>
      <c r="M3569" t="s">
        <v>6</v>
      </c>
    </row>
    <row r="3570" spans="2:13" hidden="1">
      <c r="B3570">
        <v>3568</v>
      </c>
      <c r="C3570">
        <v>271</v>
      </c>
      <c r="D3570">
        <v>16</v>
      </c>
      <c r="E3570">
        <v>11</v>
      </c>
      <c r="F3570">
        <v>0</v>
      </c>
      <c r="G3570" t="s">
        <v>2023</v>
      </c>
      <c r="H3570" t="s">
        <v>52</v>
      </c>
      <c r="I3570" t="s">
        <v>2283</v>
      </c>
      <c r="J3570" t="s">
        <v>64</v>
      </c>
      <c r="K3570" t="s">
        <v>440</v>
      </c>
      <c r="M3570" t="s">
        <v>6</v>
      </c>
    </row>
    <row r="3571" spans="2:13" hidden="1">
      <c r="B3571">
        <v>3569</v>
      </c>
      <c r="C3571">
        <v>271</v>
      </c>
      <c r="D3571">
        <v>16</v>
      </c>
      <c r="E3571">
        <v>12</v>
      </c>
      <c r="F3571">
        <v>0</v>
      </c>
      <c r="G3571" t="s">
        <v>2023</v>
      </c>
      <c r="H3571" t="s">
        <v>52</v>
      </c>
      <c r="I3571" t="s">
        <v>2283</v>
      </c>
      <c r="J3571" t="s">
        <v>55</v>
      </c>
      <c r="K3571" t="s">
        <v>441</v>
      </c>
      <c r="M3571" t="s">
        <v>6</v>
      </c>
    </row>
    <row r="3572" spans="2:13" hidden="1">
      <c r="B3572">
        <v>3570</v>
      </c>
      <c r="C3572">
        <v>271</v>
      </c>
      <c r="D3572">
        <v>16</v>
      </c>
      <c r="E3572">
        <v>13</v>
      </c>
      <c r="F3572">
        <v>0</v>
      </c>
      <c r="G3572" t="s">
        <v>2023</v>
      </c>
      <c r="H3572" t="s">
        <v>52</v>
      </c>
      <c r="I3572" t="s">
        <v>2283</v>
      </c>
      <c r="J3572" t="s">
        <v>437</v>
      </c>
      <c r="K3572" t="s">
        <v>438</v>
      </c>
      <c r="L3572" t="s">
        <v>439</v>
      </c>
      <c r="M3572" t="s">
        <v>6</v>
      </c>
    </row>
    <row r="3573" spans="2:13" hidden="1">
      <c r="B3573">
        <v>3571</v>
      </c>
      <c r="C3573">
        <v>271</v>
      </c>
      <c r="D3573">
        <v>16</v>
      </c>
      <c r="E3573">
        <v>14</v>
      </c>
      <c r="F3573">
        <v>0</v>
      </c>
      <c r="G3573" t="s">
        <v>2023</v>
      </c>
      <c r="H3573" t="s">
        <v>52</v>
      </c>
      <c r="I3573" t="s">
        <v>2283</v>
      </c>
      <c r="J3573" t="s">
        <v>64</v>
      </c>
      <c r="K3573" t="s">
        <v>440</v>
      </c>
      <c r="M3573" t="s">
        <v>6</v>
      </c>
    </row>
    <row r="3574" spans="2:13" hidden="1">
      <c r="B3574">
        <v>3572</v>
      </c>
      <c r="C3574">
        <v>271</v>
      </c>
      <c r="D3574">
        <v>16</v>
      </c>
      <c r="E3574">
        <v>15</v>
      </c>
      <c r="F3574">
        <v>0</v>
      </c>
      <c r="G3574" t="s">
        <v>2023</v>
      </c>
      <c r="H3574" t="s">
        <v>52</v>
      </c>
      <c r="I3574" t="s">
        <v>2283</v>
      </c>
      <c r="J3574" t="s">
        <v>55</v>
      </c>
      <c r="K3574" t="s">
        <v>442</v>
      </c>
      <c r="M3574" t="s">
        <v>6</v>
      </c>
    </row>
    <row r="3575" spans="2:13" hidden="1">
      <c r="B3575">
        <v>3573</v>
      </c>
      <c r="C3575">
        <v>271</v>
      </c>
      <c r="D3575">
        <v>16</v>
      </c>
      <c r="E3575">
        <v>16</v>
      </c>
      <c r="F3575">
        <v>0</v>
      </c>
      <c r="G3575" t="s">
        <v>2023</v>
      </c>
      <c r="H3575" t="s">
        <v>52</v>
      </c>
      <c r="I3575" t="s">
        <v>2283</v>
      </c>
      <c r="J3575" t="s">
        <v>214</v>
      </c>
      <c r="K3575" t="s">
        <v>443</v>
      </c>
      <c r="M3575" t="s">
        <v>6</v>
      </c>
    </row>
    <row r="3576" spans="2:13" hidden="1">
      <c r="B3576">
        <v>3574</v>
      </c>
      <c r="C3576">
        <v>272</v>
      </c>
      <c r="D3576">
        <v>12</v>
      </c>
      <c r="E3576">
        <v>0</v>
      </c>
      <c r="F3576">
        <v>0</v>
      </c>
      <c r="G3576" t="s">
        <v>18</v>
      </c>
      <c r="H3576" t="s">
        <v>9</v>
      </c>
      <c r="I3576" t="s">
        <v>2133</v>
      </c>
      <c r="J3576" t="s">
        <v>478</v>
      </c>
      <c r="K3576" t="s">
        <v>2133</v>
      </c>
      <c r="M3576" t="s">
        <v>6</v>
      </c>
    </row>
    <row r="3577" spans="2:13" hidden="1">
      <c r="B3577">
        <v>3575</v>
      </c>
      <c r="C3577">
        <v>272</v>
      </c>
      <c r="D3577">
        <v>12</v>
      </c>
      <c r="E3577">
        <v>1</v>
      </c>
      <c r="F3577">
        <v>0</v>
      </c>
      <c r="G3577" t="s">
        <v>18</v>
      </c>
      <c r="H3577" t="s">
        <v>9</v>
      </c>
      <c r="I3577" t="s">
        <v>2133</v>
      </c>
      <c r="J3577" t="s">
        <v>55</v>
      </c>
      <c r="K3577" t="s">
        <v>2134</v>
      </c>
      <c r="M3577" t="s">
        <v>6</v>
      </c>
    </row>
    <row r="3578" spans="2:13" hidden="1">
      <c r="B3578">
        <v>3576</v>
      </c>
      <c r="C3578">
        <v>272</v>
      </c>
      <c r="D3578">
        <v>12</v>
      </c>
      <c r="E3578">
        <v>2</v>
      </c>
      <c r="F3578">
        <v>0</v>
      </c>
      <c r="G3578" t="s">
        <v>18</v>
      </c>
      <c r="H3578" t="s">
        <v>9</v>
      </c>
      <c r="I3578" t="s">
        <v>2133</v>
      </c>
      <c r="J3578" t="s">
        <v>55</v>
      </c>
      <c r="K3578" t="s">
        <v>2135</v>
      </c>
      <c r="M3578" t="s">
        <v>6</v>
      </c>
    </row>
    <row r="3579" spans="2:13" hidden="1">
      <c r="B3579">
        <v>3577</v>
      </c>
      <c r="C3579">
        <v>272</v>
      </c>
      <c r="D3579">
        <v>12</v>
      </c>
      <c r="E3579">
        <v>3</v>
      </c>
      <c r="F3579">
        <v>0</v>
      </c>
      <c r="G3579" t="s">
        <v>18</v>
      </c>
      <c r="H3579" t="s">
        <v>9</v>
      </c>
      <c r="I3579" t="s">
        <v>2133</v>
      </c>
      <c r="J3579" t="s">
        <v>55</v>
      </c>
      <c r="K3579" t="s">
        <v>2136</v>
      </c>
      <c r="M3579" t="s">
        <v>6</v>
      </c>
    </row>
    <row r="3580" spans="2:13" hidden="1">
      <c r="B3580">
        <v>3578</v>
      </c>
      <c r="C3580">
        <v>272</v>
      </c>
      <c r="D3580">
        <v>12</v>
      </c>
      <c r="E3580">
        <v>4</v>
      </c>
      <c r="F3580">
        <v>0</v>
      </c>
      <c r="G3580" t="s">
        <v>18</v>
      </c>
      <c r="H3580" t="s">
        <v>9</v>
      </c>
      <c r="I3580" t="s">
        <v>2133</v>
      </c>
      <c r="J3580" t="s">
        <v>55</v>
      </c>
      <c r="K3580" t="s">
        <v>2137</v>
      </c>
      <c r="M3580" t="s">
        <v>6</v>
      </c>
    </row>
    <row r="3581" spans="2:13" hidden="1">
      <c r="B3581">
        <v>3579</v>
      </c>
      <c r="C3581">
        <v>272</v>
      </c>
      <c r="D3581">
        <v>12</v>
      </c>
      <c r="E3581">
        <v>5</v>
      </c>
      <c r="F3581">
        <v>0</v>
      </c>
      <c r="G3581" t="s">
        <v>18</v>
      </c>
      <c r="H3581" t="s">
        <v>9</v>
      </c>
      <c r="I3581" t="s">
        <v>2133</v>
      </c>
      <c r="J3581" t="s">
        <v>55</v>
      </c>
      <c r="K3581" t="s">
        <v>2138</v>
      </c>
      <c r="M3581" t="s">
        <v>6</v>
      </c>
    </row>
    <row r="3582" spans="2:13" hidden="1">
      <c r="B3582">
        <v>3580</v>
      </c>
      <c r="C3582">
        <v>272</v>
      </c>
      <c r="D3582">
        <v>12</v>
      </c>
      <c r="E3582">
        <v>6</v>
      </c>
      <c r="F3582">
        <v>0</v>
      </c>
      <c r="G3582" t="s">
        <v>18</v>
      </c>
      <c r="H3582" t="s">
        <v>9</v>
      </c>
      <c r="I3582" t="s">
        <v>2133</v>
      </c>
      <c r="J3582" t="s">
        <v>55</v>
      </c>
      <c r="K3582" t="s">
        <v>2139</v>
      </c>
      <c r="M3582" t="s">
        <v>6</v>
      </c>
    </row>
    <row r="3583" spans="2:13" hidden="1">
      <c r="B3583">
        <v>3581</v>
      </c>
      <c r="C3583">
        <v>272</v>
      </c>
      <c r="D3583">
        <v>12</v>
      </c>
      <c r="E3583">
        <v>7</v>
      </c>
      <c r="F3583">
        <v>0</v>
      </c>
      <c r="G3583" t="s">
        <v>18</v>
      </c>
      <c r="H3583" t="s">
        <v>9</v>
      </c>
      <c r="I3583" t="s">
        <v>2133</v>
      </c>
      <c r="J3583" t="s">
        <v>55</v>
      </c>
      <c r="K3583" t="s">
        <v>2140</v>
      </c>
      <c r="M3583" t="s">
        <v>6</v>
      </c>
    </row>
    <row r="3584" spans="2:13" hidden="1">
      <c r="B3584">
        <v>3582</v>
      </c>
      <c r="C3584">
        <v>272</v>
      </c>
      <c r="D3584">
        <v>12</v>
      </c>
      <c r="E3584">
        <v>8</v>
      </c>
      <c r="F3584">
        <v>0</v>
      </c>
      <c r="G3584" t="s">
        <v>18</v>
      </c>
      <c r="H3584" t="s">
        <v>9</v>
      </c>
      <c r="I3584" t="s">
        <v>2133</v>
      </c>
      <c r="J3584" t="s">
        <v>55</v>
      </c>
      <c r="K3584" t="s">
        <v>2141</v>
      </c>
      <c r="M3584" t="s">
        <v>6</v>
      </c>
    </row>
    <row r="3585" spans="2:13" hidden="1">
      <c r="B3585">
        <v>3583</v>
      </c>
      <c r="C3585">
        <v>272</v>
      </c>
      <c r="D3585">
        <v>12</v>
      </c>
      <c r="E3585">
        <v>9</v>
      </c>
      <c r="F3585">
        <v>0</v>
      </c>
      <c r="G3585" t="s">
        <v>18</v>
      </c>
      <c r="H3585" t="s">
        <v>9</v>
      </c>
      <c r="I3585" t="s">
        <v>2133</v>
      </c>
      <c r="J3585" t="s">
        <v>55</v>
      </c>
      <c r="K3585" t="s">
        <v>2142</v>
      </c>
      <c r="M3585" t="s">
        <v>6</v>
      </c>
    </row>
    <row r="3586" spans="2:13" hidden="1">
      <c r="B3586">
        <v>3584</v>
      </c>
      <c r="C3586">
        <v>272</v>
      </c>
      <c r="D3586">
        <v>12</v>
      </c>
      <c r="E3586">
        <v>10</v>
      </c>
      <c r="F3586">
        <v>0</v>
      </c>
      <c r="G3586" t="s">
        <v>18</v>
      </c>
      <c r="H3586" t="s">
        <v>9</v>
      </c>
      <c r="I3586" t="s">
        <v>2133</v>
      </c>
      <c r="J3586" t="s">
        <v>55</v>
      </c>
      <c r="K3586" t="s">
        <v>2143</v>
      </c>
      <c r="M3586" t="s">
        <v>6</v>
      </c>
    </row>
    <row r="3587" spans="2:13" hidden="1">
      <c r="B3587">
        <v>3585</v>
      </c>
      <c r="C3587">
        <v>272</v>
      </c>
      <c r="D3587">
        <v>12</v>
      </c>
      <c r="E3587">
        <v>11</v>
      </c>
      <c r="F3587">
        <v>0</v>
      </c>
      <c r="G3587" t="s">
        <v>18</v>
      </c>
      <c r="H3587" t="s">
        <v>9</v>
      </c>
      <c r="I3587" t="s">
        <v>2133</v>
      </c>
      <c r="J3587" t="s">
        <v>55</v>
      </c>
      <c r="K3587" t="s">
        <v>2144</v>
      </c>
      <c r="M3587" t="s">
        <v>6</v>
      </c>
    </row>
    <row r="3588" spans="2:13" hidden="1">
      <c r="B3588">
        <v>3586</v>
      </c>
      <c r="C3588">
        <v>272</v>
      </c>
      <c r="D3588">
        <v>12</v>
      </c>
      <c r="E3588">
        <v>12</v>
      </c>
      <c r="F3588">
        <v>0</v>
      </c>
      <c r="G3588" t="s">
        <v>18</v>
      </c>
      <c r="H3588" t="s">
        <v>9</v>
      </c>
      <c r="I3588" t="s">
        <v>2133</v>
      </c>
      <c r="J3588" t="s">
        <v>64</v>
      </c>
      <c r="K3588" t="s">
        <v>2145</v>
      </c>
      <c r="M3588" t="s">
        <v>6</v>
      </c>
    </row>
    <row r="3589" spans="2:13" hidden="1">
      <c r="B3589">
        <v>3587</v>
      </c>
      <c r="C3589">
        <v>273</v>
      </c>
      <c r="D3589">
        <v>16</v>
      </c>
      <c r="E3589">
        <v>0</v>
      </c>
      <c r="F3589">
        <v>0</v>
      </c>
      <c r="G3589" t="s">
        <v>18</v>
      </c>
      <c r="H3589" t="s">
        <v>52</v>
      </c>
      <c r="I3589" t="s">
        <v>2146</v>
      </c>
      <c r="J3589" t="s">
        <v>478</v>
      </c>
      <c r="K3589" t="s">
        <v>2146</v>
      </c>
      <c r="M3589" t="s">
        <v>6</v>
      </c>
    </row>
    <row r="3590" spans="2:13" hidden="1">
      <c r="B3590">
        <v>3588</v>
      </c>
      <c r="C3590">
        <v>273</v>
      </c>
      <c r="D3590">
        <v>16</v>
      </c>
      <c r="E3590">
        <v>1</v>
      </c>
      <c r="F3590">
        <v>0</v>
      </c>
      <c r="G3590" t="s">
        <v>18</v>
      </c>
      <c r="H3590" t="s">
        <v>52</v>
      </c>
      <c r="I3590" t="s">
        <v>2146</v>
      </c>
      <c r="J3590" t="s">
        <v>55</v>
      </c>
      <c r="K3590" t="s">
        <v>429</v>
      </c>
      <c r="M3590" t="s">
        <v>6</v>
      </c>
    </row>
    <row r="3591" spans="2:13" hidden="1">
      <c r="B3591">
        <v>3589</v>
      </c>
      <c r="C3591">
        <v>273</v>
      </c>
      <c r="D3591">
        <v>16</v>
      </c>
      <c r="E3591">
        <v>2</v>
      </c>
      <c r="F3591">
        <v>0</v>
      </c>
      <c r="G3591" t="s">
        <v>18</v>
      </c>
      <c r="H3591" t="s">
        <v>52</v>
      </c>
      <c r="I3591" t="s">
        <v>2146</v>
      </c>
      <c r="J3591" t="s">
        <v>55</v>
      </c>
      <c r="K3591" t="s">
        <v>430</v>
      </c>
      <c r="M3591" t="s">
        <v>6</v>
      </c>
    </row>
    <row r="3592" spans="2:13" hidden="1">
      <c r="B3592">
        <v>3590</v>
      </c>
      <c r="C3592">
        <v>273</v>
      </c>
      <c r="D3592">
        <v>16</v>
      </c>
      <c r="E3592">
        <v>3</v>
      </c>
      <c r="F3592">
        <v>0</v>
      </c>
      <c r="G3592" t="s">
        <v>18</v>
      </c>
      <c r="H3592" t="s">
        <v>52</v>
      </c>
      <c r="I3592" t="s">
        <v>2146</v>
      </c>
      <c r="J3592" t="s">
        <v>55</v>
      </c>
      <c r="K3592" t="s">
        <v>2147</v>
      </c>
      <c r="M3592" t="s">
        <v>6</v>
      </c>
    </row>
    <row r="3593" spans="2:13" hidden="1">
      <c r="B3593">
        <v>3591</v>
      </c>
      <c r="C3593">
        <v>273</v>
      </c>
      <c r="D3593">
        <v>16</v>
      </c>
      <c r="E3593">
        <v>4</v>
      </c>
      <c r="F3593">
        <v>0</v>
      </c>
      <c r="G3593" t="s">
        <v>18</v>
      </c>
      <c r="H3593" t="s">
        <v>52</v>
      </c>
      <c r="I3593" t="s">
        <v>2146</v>
      </c>
      <c r="J3593" t="s">
        <v>55</v>
      </c>
      <c r="K3593" t="s">
        <v>2148</v>
      </c>
      <c r="M3593" t="s">
        <v>6</v>
      </c>
    </row>
    <row r="3594" spans="2:13" hidden="1">
      <c r="B3594">
        <v>3592</v>
      </c>
      <c r="C3594">
        <v>273</v>
      </c>
      <c r="D3594">
        <v>16</v>
      </c>
      <c r="E3594">
        <v>5</v>
      </c>
      <c r="F3594">
        <v>0</v>
      </c>
      <c r="G3594" t="s">
        <v>18</v>
      </c>
      <c r="H3594" t="s">
        <v>52</v>
      </c>
      <c r="I3594" t="s">
        <v>2146</v>
      </c>
      <c r="J3594" t="s">
        <v>55</v>
      </c>
      <c r="K3594" t="s">
        <v>2149</v>
      </c>
      <c r="M3594" t="s">
        <v>6</v>
      </c>
    </row>
    <row r="3595" spans="2:13" hidden="1">
      <c r="B3595">
        <v>3593</v>
      </c>
      <c r="C3595">
        <v>273</v>
      </c>
      <c r="D3595">
        <v>16</v>
      </c>
      <c r="E3595">
        <v>6</v>
      </c>
      <c r="F3595">
        <v>0</v>
      </c>
      <c r="G3595" t="s">
        <v>18</v>
      </c>
      <c r="H3595" t="s">
        <v>52</v>
      </c>
      <c r="I3595" t="s">
        <v>2146</v>
      </c>
      <c r="J3595" t="s">
        <v>55</v>
      </c>
      <c r="K3595" t="s">
        <v>2150</v>
      </c>
      <c r="M3595" t="s">
        <v>6</v>
      </c>
    </row>
    <row r="3596" spans="2:13" hidden="1">
      <c r="B3596">
        <v>3594</v>
      </c>
      <c r="C3596">
        <v>273</v>
      </c>
      <c r="D3596">
        <v>16</v>
      </c>
      <c r="E3596">
        <v>7</v>
      </c>
      <c r="F3596">
        <v>0</v>
      </c>
      <c r="G3596" t="s">
        <v>18</v>
      </c>
      <c r="H3596" t="s">
        <v>52</v>
      </c>
      <c r="I3596" t="s">
        <v>2146</v>
      </c>
      <c r="J3596" t="s">
        <v>55</v>
      </c>
      <c r="K3596" t="s">
        <v>2136</v>
      </c>
      <c r="M3596" t="s">
        <v>6</v>
      </c>
    </row>
    <row r="3597" spans="2:13" hidden="1">
      <c r="B3597">
        <v>3595</v>
      </c>
      <c r="C3597">
        <v>273</v>
      </c>
      <c r="D3597">
        <v>16</v>
      </c>
      <c r="E3597">
        <v>8</v>
      </c>
      <c r="F3597">
        <v>0</v>
      </c>
      <c r="G3597" t="s">
        <v>18</v>
      </c>
      <c r="H3597" t="s">
        <v>52</v>
      </c>
      <c r="I3597" t="s">
        <v>2146</v>
      </c>
      <c r="J3597" t="s">
        <v>55</v>
      </c>
      <c r="K3597" t="s">
        <v>2151</v>
      </c>
      <c r="M3597" t="s">
        <v>6</v>
      </c>
    </row>
    <row r="3598" spans="2:13" hidden="1">
      <c r="B3598">
        <v>3596</v>
      </c>
      <c r="C3598">
        <v>273</v>
      </c>
      <c r="D3598">
        <v>16</v>
      </c>
      <c r="E3598">
        <v>9</v>
      </c>
      <c r="F3598">
        <v>0</v>
      </c>
      <c r="G3598" t="s">
        <v>18</v>
      </c>
      <c r="H3598" t="s">
        <v>52</v>
      </c>
      <c r="I3598" t="s">
        <v>2146</v>
      </c>
      <c r="J3598" t="s">
        <v>55</v>
      </c>
      <c r="K3598" t="s">
        <v>2152</v>
      </c>
      <c r="M3598" t="s">
        <v>6</v>
      </c>
    </row>
    <row r="3599" spans="2:13" hidden="1">
      <c r="B3599">
        <v>3597</v>
      </c>
      <c r="C3599">
        <v>273</v>
      </c>
      <c r="D3599">
        <v>16</v>
      </c>
      <c r="E3599">
        <v>10</v>
      </c>
      <c r="F3599">
        <v>0</v>
      </c>
      <c r="G3599" t="s">
        <v>18</v>
      </c>
      <c r="H3599" t="s">
        <v>52</v>
      </c>
      <c r="I3599" t="s">
        <v>2146</v>
      </c>
      <c r="J3599" t="s">
        <v>55</v>
      </c>
      <c r="K3599" t="s">
        <v>2142</v>
      </c>
      <c r="M3599" t="s">
        <v>6</v>
      </c>
    </row>
    <row r="3600" spans="2:13" hidden="1">
      <c r="B3600">
        <v>3598</v>
      </c>
      <c r="C3600">
        <v>273</v>
      </c>
      <c r="D3600">
        <v>16</v>
      </c>
      <c r="E3600">
        <v>11</v>
      </c>
      <c r="F3600">
        <v>0</v>
      </c>
      <c r="G3600" t="s">
        <v>18</v>
      </c>
      <c r="H3600" t="s">
        <v>52</v>
      </c>
      <c r="I3600" t="s">
        <v>2146</v>
      </c>
      <c r="J3600" t="s">
        <v>55</v>
      </c>
      <c r="K3600" t="s">
        <v>2143</v>
      </c>
      <c r="M3600" t="s">
        <v>6</v>
      </c>
    </row>
    <row r="3601" spans="2:13" hidden="1">
      <c r="B3601">
        <v>3599</v>
      </c>
      <c r="C3601">
        <v>273</v>
      </c>
      <c r="D3601">
        <v>16</v>
      </c>
      <c r="E3601">
        <v>12</v>
      </c>
      <c r="F3601">
        <v>0</v>
      </c>
      <c r="G3601" t="s">
        <v>18</v>
      </c>
      <c r="H3601" t="s">
        <v>52</v>
      </c>
      <c r="I3601" t="s">
        <v>2146</v>
      </c>
      <c r="J3601" t="s">
        <v>55</v>
      </c>
      <c r="K3601" t="s">
        <v>2144</v>
      </c>
      <c r="M3601" t="s">
        <v>6</v>
      </c>
    </row>
    <row r="3602" spans="2:13" hidden="1">
      <c r="B3602">
        <v>3600</v>
      </c>
      <c r="C3602">
        <v>273</v>
      </c>
      <c r="D3602">
        <v>16</v>
      </c>
      <c r="E3602">
        <v>13</v>
      </c>
      <c r="F3602">
        <v>0</v>
      </c>
      <c r="G3602" t="s">
        <v>18</v>
      </c>
      <c r="H3602" t="s">
        <v>52</v>
      </c>
      <c r="I3602" t="s">
        <v>2146</v>
      </c>
      <c r="J3602" t="s">
        <v>55</v>
      </c>
      <c r="K3602" t="s">
        <v>2153</v>
      </c>
      <c r="M3602" t="s">
        <v>6</v>
      </c>
    </row>
    <row r="3603" spans="2:13" hidden="1">
      <c r="B3603">
        <v>3601</v>
      </c>
      <c r="C3603">
        <v>273</v>
      </c>
      <c r="D3603">
        <v>16</v>
      </c>
      <c r="E3603">
        <v>14</v>
      </c>
      <c r="F3603">
        <v>0</v>
      </c>
      <c r="G3603" t="s">
        <v>18</v>
      </c>
      <c r="H3603" t="s">
        <v>52</v>
      </c>
      <c r="I3603" t="s">
        <v>2146</v>
      </c>
      <c r="J3603" t="s">
        <v>55</v>
      </c>
      <c r="K3603" t="s">
        <v>441</v>
      </c>
      <c r="M3603" t="s">
        <v>6</v>
      </c>
    </row>
    <row r="3604" spans="2:13" hidden="1">
      <c r="B3604">
        <v>3602</v>
      </c>
      <c r="C3604">
        <v>273</v>
      </c>
      <c r="D3604">
        <v>16</v>
      </c>
      <c r="E3604">
        <v>15</v>
      </c>
      <c r="F3604">
        <v>0</v>
      </c>
      <c r="G3604" t="s">
        <v>18</v>
      </c>
      <c r="H3604" t="s">
        <v>52</v>
      </c>
      <c r="I3604" t="s">
        <v>2146</v>
      </c>
      <c r="J3604" t="s">
        <v>437</v>
      </c>
      <c r="K3604" t="s">
        <v>438</v>
      </c>
      <c r="M3604" t="s">
        <v>6</v>
      </c>
    </row>
    <row r="3605" spans="2:13" hidden="1">
      <c r="B3605">
        <v>3603</v>
      </c>
      <c r="C3605">
        <v>273</v>
      </c>
      <c r="D3605">
        <v>16</v>
      </c>
      <c r="E3605">
        <v>16</v>
      </c>
      <c r="F3605">
        <v>0</v>
      </c>
      <c r="G3605" t="s">
        <v>18</v>
      </c>
      <c r="H3605" t="s">
        <v>52</v>
      </c>
      <c r="I3605" t="s">
        <v>2146</v>
      </c>
      <c r="J3605" t="s">
        <v>64</v>
      </c>
      <c r="K3605" t="s">
        <v>440</v>
      </c>
      <c r="M3605" t="s">
        <v>6</v>
      </c>
    </row>
    <row r="3606" spans="2:13" hidden="1">
      <c r="B3606">
        <v>3604</v>
      </c>
      <c r="C3606">
        <v>274</v>
      </c>
      <c r="D3606">
        <v>58</v>
      </c>
      <c r="E3606">
        <v>0</v>
      </c>
      <c r="F3606">
        <v>0</v>
      </c>
      <c r="G3606" t="s">
        <v>18</v>
      </c>
      <c r="H3606" t="s">
        <v>52</v>
      </c>
      <c r="I3606" t="s">
        <v>2130</v>
      </c>
      <c r="J3606" t="s">
        <v>478</v>
      </c>
      <c r="K3606" t="s">
        <v>2130</v>
      </c>
      <c r="M3606" t="s">
        <v>7</v>
      </c>
    </row>
    <row r="3607" spans="2:13" hidden="1">
      <c r="B3607">
        <v>3605</v>
      </c>
      <c r="C3607">
        <v>274</v>
      </c>
      <c r="D3607">
        <v>58</v>
      </c>
      <c r="E3607">
        <v>1</v>
      </c>
      <c r="F3607">
        <v>0</v>
      </c>
      <c r="G3607" t="s">
        <v>18</v>
      </c>
      <c r="H3607" t="s">
        <v>52</v>
      </c>
      <c r="I3607" t="s">
        <v>2130</v>
      </c>
      <c r="J3607" t="s">
        <v>479</v>
      </c>
      <c r="K3607" t="s">
        <v>1716</v>
      </c>
      <c r="M3607" t="s">
        <v>7</v>
      </c>
    </row>
    <row r="3608" spans="2:13" hidden="1">
      <c r="B3608">
        <v>3606</v>
      </c>
      <c r="C3608">
        <v>274</v>
      </c>
      <c r="D3608">
        <v>58</v>
      </c>
      <c r="E3608">
        <v>2</v>
      </c>
      <c r="F3608">
        <v>0</v>
      </c>
      <c r="G3608" t="s">
        <v>18</v>
      </c>
      <c r="H3608" t="s">
        <v>52</v>
      </c>
      <c r="I3608" t="s">
        <v>2130</v>
      </c>
      <c r="J3608" t="s">
        <v>55</v>
      </c>
      <c r="K3608" t="s">
        <v>1717</v>
      </c>
      <c r="M3608" t="s">
        <v>7</v>
      </c>
    </row>
    <row r="3609" spans="2:13" hidden="1">
      <c r="B3609">
        <v>3607</v>
      </c>
      <c r="C3609">
        <v>274</v>
      </c>
      <c r="D3609">
        <v>58</v>
      </c>
      <c r="E3609">
        <v>3</v>
      </c>
      <c r="F3609">
        <v>0</v>
      </c>
      <c r="G3609" t="s">
        <v>18</v>
      </c>
      <c r="H3609" t="s">
        <v>52</v>
      </c>
      <c r="I3609" t="s">
        <v>2130</v>
      </c>
      <c r="J3609" t="s">
        <v>214</v>
      </c>
      <c r="K3609" t="s">
        <v>1613</v>
      </c>
      <c r="M3609" t="s">
        <v>7</v>
      </c>
    </row>
    <row r="3610" spans="2:13" hidden="1">
      <c r="B3610">
        <v>3608</v>
      </c>
      <c r="C3610">
        <v>274</v>
      </c>
      <c r="D3610">
        <v>58</v>
      </c>
      <c r="E3610">
        <v>4</v>
      </c>
      <c r="F3610">
        <v>0</v>
      </c>
      <c r="G3610" t="s">
        <v>18</v>
      </c>
      <c r="H3610" t="s">
        <v>52</v>
      </c>
      <c r="I3610" t="s">
        <v>2130</v>
      </c>
      <c r="J3610" t="s">
        <v>214</v>
      </c>
      <c r="K3610" t="s">
        <v>1614</v>
      </c>
      <c r="M3610" t="s">
        <v>7</v>
      </c>
    </row>
    <row r="3611" spans="2:13" hidden="1">
      <c r="B3611">
        <v>3609</v>
      </c>
      <c r="C3611">
        <v>274</v>
      </c>
      <c r="D3611">
        <v>58</v>
      </c>
      <c r="E3611">
        <v>5</v>
      </c>
      <c r="F3611">
        <v>0</v>
      </c>
      <c r="G3611" t="s">
        <v>18</v>
      </c>
      <c r="H3611" t="s">
        <v>52</v>
      </c>
      <c r="I3611" t="s">
        <v>2130</v>
      </c>
      <c r="J3611" t="s">
        <v>55</v>
      </c>
      <c r="K3611" t="s">
        <v>1718</v>
      </c>
      <c r="M3611" t="s">
        <v>7</v>
      </c>
    </row>
    <row r="3612" spans="2:13" hidden="1">
      <c r="B3612">
        <v>3610</v>
      </c>
      <c r="C3612">
        <v>274</v>
      </c>
      <c r="D3612">
        <v>58</v>
      </c>
      <c r="E3612">
        <v>6</v>
      </c>
      <c r="F3612">
        <v>0</v>
      </c>
      <c r="G3612" t="s">
        <v>18</v>
      </c>
      <c r="H3612" t="s">
        <v>52</v>
      </c>
      <c r="I3612" t="s">
        <v>2130</v>
      </c>
      <c r="J3612" t="s">
        <v>479</v>
      </c>
      <c r="K3612" t="s">
        <v>2131</v>
      </c>
      <c r="M3612" t="s">
        <v>7</v>
      </c>
    </row>
    <row r="3613" spans="2:13" hidden="1">
      <c r="B3613">
        <v>3611</v>
      </c>
      <c r="C3613">
        <v>274</v>
      </c>
      <c r="D3613">
        <v>58</v>
      </c>
      <c r="E3613">
        <v>7</v>
      </c>
      <c r="F3613">
        <v>0</v>
      </c>
      <c r="G3613" t="s">
        <v>18</v>
      </c>
      <c r="H3613" t="s">
        <v>52</v>
      </c>
      <c r="I3613" t="s">
        <v>2130</v>
      </c>
      <c r="J3613" t="s">
        <v>55</v>
      </c>
      <c r="K3613" t="s">
        <v>62</v>
      </c>
      <c r="M3613" t="s">
        <v>7</v>
      </c>
    </row>
    <row r="3614" spans="2:13" hidden="1">
      <c r="B3614">
        <v>3612</v>
      </c>
      <c r="C3614">
        <v>274</v>
      </c>
      <c r="D3614">
        <v>58</v>
      </c>
      <c r="E3614">
        <v>8</v>
      </c>
      <c r="F3614">
        <v>0</v>
      </c>
      <c r="G3614" t="s">
        <v>18</v>
      </c>
      <c r="H3614" t="s">
        <v>52</v>
      </c>
      <c r="I3614" t="s">
        <v>2130</v>
      </c>
      <c r="J3614" t="s">
        <v>55</v>
      </c>
      <c r="K3614" t="s">
        <v>1577</v>
      </c>
      <c r="M3614" t="s">
        <v>7</v>
      </c>
    </row>
    <row r="3615" spans="2:13" hidden="1">
      <c r="B3615">
        <v>3613</v>
      </c>
      <c r="C3615">
        <v>274</v>
      </c>
      <c r="D3615">
        <v>58</v>
      </c>
      <c r="E3615">
        <v>9</v>
      </c>
      <c r="F3615">
        <v>0</v>
      </c>
      <c r="G3615" t="s">
        <v>18</v>
      </c>
      <c r="H3615" t="s">
        <v>52</v>
      </c>
      <c r="I3615" t="s">
        <v>2130</v>
      </c>
      <c r="J3615" t="s">
        <v>55</v>
      </c>
      <c r="K3615" t="s">
        <v>1578</v>
      </c>
      <c r="M3615" t="s">
        <v>7</v>
      </c>
    </row>
    <row r="3616" spans="2:13" hidden="1">
      <c r="B3616">
        <v>3614</v>
      </c>
      <c r="C3616">
        <v>274</v>
      </c>
      <c r="D3616">
        <v>58</v>
      </c>
      <c r="E3616">
        <v>10</v>
      </c>
      <c r="F3616">
        <v>0</v>
      </c>
      <c r="G3616" t="s">
        <v>18</v>
      </c>
      <c r="H3616" t="s">
        <v>52</v>
      </c>
      <c r="I3616" t="s">
        <v>2130</v>
      </c>
      <c r="J3616" t="s">
        <v>55</v>
      </c>
      <c r="K3616" t="s">
        <v>1579</v>
      </c>
      <c r="M3616" t="s">
        <v>7</v>
      </c>
    </row>
    <row r="3617" spans="2:13" hidden="1">
      <c r="B3617">
        <v>3615</v>
      </c>
      <c r="C3617">
        <v>274</v>
      </c>
      <c r="D3617">
        <v>58</v>
      </c>
      <c r="E3617">
        <v>11</v>
      </c>
      <c r="F3617">
        <v>0</v>
      </c>
      <c r="G3617" t="s">
        <v>18</v>
      </c>
      <c r="H3617" t="s">
        <v>52</v>
      </c>
      <c r="I3617" t="s">
        <v>2130</v>
      </c>
      <c r="J3617" t="s">
        <v>55</v>
      </c>
      <c r="K3617" t="s">
        <v>1580</v>
      </c>
      <c r="M3617" t="s">
        <v>7</v>
      </c>
    </row>
    <row r="3618" spans="2:13" hidden="1">
      <c r="B3618">
        <v>3616</v>
      </c>
      <c r="C3618">
        <v>274</v>
      </c>
      <c r="D3618">
        <v>58</v>
      </c>
      <c r="E3618">
        <v>12</v>
      </c>
      <c r="F3618">
        <v>0</v>
      </c>
      <c r="G3618" t="s">
        <v>18</v>
      </c>
      <c r="H3618" t="s">
        <v>52</v>
      </c>
      <c r="I3618" t="s">
        <v>2130</v>
      </c>
      <c r="J3618" t="s">
        <v>55</v>
      </c>
      <c r="K3618" t="s">
        <v>2132</v>
      </c>
      <c r="M3618" t="s">
        <v>7</v>
      </c>
    </row>
    <row r="3619" spans="2:13" hidden="1">
      <c r="B3619">
        <v>3617</v>
      </c>
      <c r="C3619">
        <v>274</v>
      </c>
      <c r="D3619">
        <v>58</v>
      </c>
      <c r="E3619">
        <v>13</v>
      </c>
      <c r="F3619">
        <v>0</v>
      </c>
      <c r="G3619" t="s">
        <v>18</v>
      </c>
      <c r="H3619" t="s">
        <v>52</v>
      </c>
      <c r="I3619" t="s">
        <v>2130</v>
      </c>
      <c r="J3619" t="s">
        <v>479</v>
      </c>
      <c r="K3619" t="s">
        <v>1719</v>
      </c>
      <c r="M3619" t="s">
        <v>7</v>
      </c>
    </row>
    <row r="3620" spans="2:13" hidden="1">
      <c r="B3620">
        <v>3618</v>
      </c>
      <c r="C3620">
        <v>274</v>
      </c>
      <c r="D3620">
        <v>58</v>
      </c>
      <c r="E3620">
        <v>14</v>
      </c>
      <c r="F3620">
        <v>0</v>
      </c>
      <c r="G3620" t="s">
        <v>18</v>
      </c>
      <c r="H3620" t="s">
        <v>52</v>
      </c>
      <c r="I3620" t="s">
        <v>2130</v>
      </c>
      <c r="J3620" t="s">
        <v>55</v>
      </c>
      <c r="K3620" t="s">
        <v>1720</v>
      </c>
      <c r="M3620" t="s">
        <v>7</v>
      </c>
    </row>
    <row r="3621" spans="2:13" hidden="1">
      <c r="B3621">
        <v>3619</v>
      </c>
      <c r="C3621">
        <v>274</v>
      </c>
      <c r="D3621">
        <v>58</v>
      </c>
      <c r="E3621">
        <v>15</v>
      </c>
      <c r="F3621">
        <v>0</v>
      </c>
      <c r="G3621" t="s">
        <v>18</v>
      </c>
      <c r="H3621" t="s">
        <v>52</v>
      </c>
      <c r="I3621" t="s">
        <v>2130</v>
      </c>
      <c r="J3621" t="s">
        <v>55</v>
      </c>
      <c r="K3621" t="s">
        <v>474</v>
      </c>
      <c r="M3621" t="s">
        <v>7</v>
      </c>
    </row>
    <row r="3622" spans="2:13" hidden="1">
      <c r="B3622">
        <v>3620</v>
      </c>
      <c r="C3622">
        <v>274</v>
      </c>
      <c r="D3622">
        <v>58</v>
      </c>
      <c r="E3622">
        <v>16</v>
      </c>
      <c r="F3622">
        <v>0</v>
      </c>
      <c r="G3622" t="s">
        <v>18</v>
      </c>
      <c r="H3622" t="s">
        <v>52</v>
      </c>
      <c r="I3622" t="s">
        <v>2130</v>
      </c>
      <c r="J3622" t="s">
        <v>55</v>
      </c>
      <c r="K3622" t="s">
        <v>475</v>
      </c>
      <c r="M3622" t="s">
        <v>7</v>
      </c>
    </row>
    <row r="3623" spans="2:13" hidden="1">
      <c r="B3623">
        <v>3621</v>
      </c>
      <c r="C3623">
        <v>274</v>
      </c>
      <c r="D3623">
        <v>58</v>
      </c>
      <c r="E3623">
        <v>17</v>
      </c>
      <c r="F3623">
        <v>0</v>
      </c>
      <c r="G3623" t="s">
        <v>18</v>
      </c>
      <c r="H3623" t="s">
        <v>52</v>
      </c>
      <c r="I3623" t="s">
        <v>2130</v>
      </c>
      <c r="J3623" t="s">
        <v>55</v>
      </c>
      <c r="K3623" t="s">
        <v>476</v>
      </c>
      <c r="M3623" t="s">
        <v>7</v>
      </c>
    </row>
    <row r="3624" spans="2:13" hidden="1">
      <c r="B3624">
        <v>3622</v>
      </c>
      <c r="C3624">
        <v>274</v>
      </c>
      <c r="D3624">
        <v>58</v>
      </c>
      <c r="E3624">
        <v>18</v>
      </c>
      <c r="F3624">
        <v>0</v>
      </c>
      <c r="G3624" t="s">
        <v>18</v>
      </c>
      <c r="H3624" t="s">
        <v>52</v>
      </c>
      <c r="I3624" t="s">
        <v>2130</v>
      </c>
      <c r="J3624" t="s">
        <v>479</v>
      </c>
      <c r="K3624" t="s">
        <v>1721</v>
      </c>
      <c r="M3624" t="s">
        <v>7</v>
      </c>
    </row>
    <row r="3625" spans="2:13" hidden="1">
      <c r="B3625">
        <v>3623</v>
      </c>
      <c r="C3625">
        <v>274</v>
      </c>
      <c r="D3625">
        <v>58</v>
      </c>
      <c r="E3625">
        <v>19</v>
      </c>
      <c r="F3625">
        <v>0</v>
      </c>
      <c r="G3625" t="s">
        <v>18</v>
      </c>
      <c r="H3625" t="s">
        <v>52</v>
      </c>
      <c r="I3625" t="s">
        <v>2130</v>
      </c>
      <c r="J3625" t="s">
        <v>55</v>
      </c>
      <c r="K3625" t="s">
        <v>1722</v>
      </c>
      <c r="M3625" t="s">
        <v>7</v>
      </c>
    </row>
    <row r="3626" spans="2:13" hidden="1">
      <c r="B3626">
        <v>3624</v>
      </c>
      <c r="C3626">
        <v>274</v>
      </c>
      <c r="D3626">
        <v>58</v>
      </c>
      <c r="E3626">
        <v>20</v>
      </c>
      <c r="F3626">
        <v>0</v>
      </c>
      <c r="G3626" t="s">
        <v>18</v>
      </c>
      <c r="H3626" t="s">
        <v>52</v>
      </c>
      <c r="I3626" t="s">
        <v>2130</v>
      </c>
      <c r="J3626" t="s">
        <v>55</v>
      </c>
      <c r="K3626" t="s">
        <v>1723</v>
      </c>
      <c r="M3626" t="s">
        <v>7</v>
      </c>
    </row>
    <row r="3627" spans="2:13" hidden="1">
      <c r="B3627">
        <v>3625</v>
      </c>
      <c r="C3627">
        <v>274</v>
      </c>
      <c r="D3627">
        <v>58</v>
      </c>
      <c r="E3627">
        <v>21</v>
      </c>
      <c r="F3627">
        <v>0</v>
      </c>
      <c r="G3627" t="s">
        <v>18</v>
      </c>
      <c r="H3627" t="s">
        <v>52</v>
      </c>
      <c r="I3627" t="s">
        <v>2130</v>
      </c>
      <c r="J3627" t="s">
        <v>55</v>
      </c>
      <c r="K3627" t="s">
        <v>1724</v>
      </c>
      <c r="M3627" t="s">
        <v>7</v>
      </c>
    </row>
    <row r="3628" spans="2:13" hidden="1">
      <c r="B3628">
        <v>3626</v>
      </c>
      <c r="C3628">
        <v>274</v>
      </c>
      <c r="D3628">
        <v>58</v>
      </c>
      <c r="E3628">
        <v>22</v>
      </c>
      <c r="F3628">
        <v>0</v>
      </c>
      <c r="G3628" t="s">
        <v>18</v>
      </c>
      <c r="H3628" t="s">
        <v>52</v>
      </c>
      <c r="I3628" t="s">
        <v>2130</v>
      </c>
      <c r="J3628" t="s">
        <v>55</v>
      </c>
      <c r="K3628" t="s">
        <v>1725</v>
      </c>
      <c r="M3628" t="s">
        <v>7</v>
      </c>
    </row>
    <row r="3629" spans="2:13" hidden="1">
      <c r="B3629">
        <v>3627</v>
      </c>
      <c r="C3629">
        <v>274</v>
      </c>
      <c r="D3629">
        <v>58</v>
      </c>
      <c r="E3629">
        <v>23</v>
      </c>
      <c r="F3629">
        <v>0</v>
      </c>
      <c r="G3629" t="s">
        <v>18</v>
      </c>
      <c r="H3629" t="s">
        <v>52</v>
      </c>
      <c r="I3629" t="s">
        <v>2130</v>
      </c>
      <c r="J3629" t="s">
        <v>55</v>
      </c>
      <c r="K3629" t="s">
        <v>1726</v>
      </c>
      <c r="M3629" t="s">
        <v>7</v>
      </c>
    </row>
    <row r="3630" spans="2:13" hidden="1">
      <c r="B3630">
        <v>3628</v>
      </c>
      <c r="C3630">
        <v>274</v>
      </c>
      <c r="D3630">
        <v>58</v>
      </c>
      <c r="E3630">
        <v>24</v>
      </c>
      <c r="F3630">
        <v>0</v>
      </c>
      <c r="G3630" t="s">
        <v>18</v>
      </c>
      <c r="H3630" t="s">
        <v>52</v>
      </c>
      <c r="I3630" t="s">
        <v>2130</v>
      </c>
      <c r="J3630" t="s">
        <v>99</v>
      </c>
      <c r="K3630" t="s">
        <v>1727</v>
      </c>
      <c r="M3630" t="s">
        <v>7</v>
      </c>
    </row>
    <row r="3631" spans="2:13" hidden="1">
      <c r="B3631">
        <v>3629</v>
      </c>
      <c r="C3631">
        <v>274</v>
      </c>
      <c r="D3631">
        <v>58</v>
      </c>
      <c r="E3631">
        <v>25</v>
      </c>
      <c r="F3631">
        <v>0</v>
      </c>
      <c r="G3631" t="s">
        <v>18</v>
      </c>
      <c r="H3631" t="s">
        <v>52</v>
      </c>
      <c r="I3631" t="s">
        <v>2130</v>
      </c>
      <c r="J3631" t="s">
        <v>99</v>
      </c>
      <c r="K3631" t="s">
        <v>1728</v>
      </c>
      <c r="M3631" t="s">
        <v>7</v>
      </c>
    </row>
    <row r="3632" spans="2:13" hidden="1">
      <c r="B3632">
        <v>3630</v>
      </c>
      <c r="C3632">
        <v>274</v>
      </c>
      <c r="D3632">
        <v>58</v>
      </c>
      <c r="E3632">
        <v>26</v>
      </c>
      <c r="F3632">
        <v>0</v>
      </c>
      <c r="G3632" t="s">
        <v>18</v>
      </c>
      <c r="H3632" t="s">
        <v>52</v>
      </c>
      <c r="I3632" t="s">
        <v>2130</v>
      </c>
      <c r="J3632" t="s">
        <v>55</v>
      </c>
      <c r="K3632" t="s">
        <v>1729</v>
      </c>
      <c r="M3632" t="s">
        <v>7</v>
      </c>
    </row>
    <row r="3633" spans="2:13" hidden="1">
      <c r="B3633">
        <v>3631</v>
      </c>
      <c r="C3633">
        <v>274</v>
      </c>
      <c r="D3633">
        <v>58</v>
      </c>
      <c r="E3633">
        <v>27</v>
      </c>
      <c r="F3633">
        <v>0</v>
      </c>
      <c r="G3633" t="s">
        <v>18</v>
      </c>
      <c r="H3633" t="s">
        <v>52</v>
      </c>
      <c r="I3633" t="s">
        <v>2130</v>
      </c>
      <c r="J3633" t="s">
        <v>55</v>
      </c>
      <c r="K3633" t="s">
        <v>1730</v>
      </c>
      <c r="M3633" t="s">
        <v>7</v>
      </c>
    </row>
    <row r="3634" spans="2:13" hidden="1">
      <c r="B3634">
        <v>3632</v>
      </c>
      <c r="C3634">
        <v>274</v>
      </c>
      <c r="D3634">
        <v>58</v>
      </c>
      <c r="E3634">
        <v>28</v>
      </c>
      <c r="F3634">
        <v>0</v>
      </c>
      <c r="G3634" t="s">
        <v>18</v>
      </c>
      <c r="H3634" t="s">
        <v>52</v>
      </c>
      <c r="I3634" t="s">
        <v>2130</v>
      </c>
      <c r="J3634" t="s">
        <v>55</v>
      </c>
      <c r="K3634" t="s">
        <v>1731</v>
      </c>
      <c r="M3634" t="s">
        <v>7</v>
      </c>
    </row>
    <row r="3635" spans="2:13" hidden="1">
      <c r="B3635">
        <v>3633</v>
      </c>
      <c r="C3635">
        <v>274</v>
      </c>
      <c r="D3635">
        <v>58</v>
      </c>
      <c r="E3635">
        <v>29</v>
      </c>
      <c r="F3635">
        <v>0</v>
      </c>
      <c r="G3635" t="s">
        <v>18</v>
      </c>
      <c r="H3635" t="s">
        <v>52</v>
      </c>
      <c r="I3635" t="s">
        <v>2130</v>
      </c>
      <c r="J3635" t="s">
        <v>55</v>
      </c>
      <c r="K3635" t="s">
        <v>1732</v>
      </c>
      <c r="M3635" t="s">
        <v>7</v>
      </c>
    </row>
    <row r="3636" spans="2:13" hidden="1">
      <c r="B3636">
        <v>3634</v>
      </c>
      <c r="C3636">
        <v>274</v>
      </c>
      <c r="D3636">
        <v>58</v>
      </c>
      <c r="E3636">
        <v>30</v>
      </c>
      <c r="F3636">
        <v>0</v>
      </c>
      <c r="G3636" t="s">
        <v>18</v>
      </c>
      <c r="H3636" t="s">
        <v>52</v>
      </c>
      <c r="I3636" t="s">
        <v>2130</v>
      </c>
      <c r="J3636" t="s">
        <v>55</v>
      </c>
      <c r="K3636" t="s">
        <v>1583</v>
      </c>
      <c r="M3636" t="s">
        <v>7</v>
      </c>
    </row>
    <row r="3637" spans="2:13" hidden="1">
      <c r="B3637">
        <v>3635</v>
      </c>
      <c r="C3637">
        <v>274</v>
      </c>
      <c r="D3637">
        <v>58</v>
      </c>
      <c r="E3637">
        <v>31</v>
      </c>
      <c r="F3637">
        <v>0</v>
      </c>
      <c r="G3637" t="s">
        <v>18</v>
      </c>
      <c r="H3637" t="s">
        <v>52</v>
      </c>
      <c r="I3637" t="s">
        <v>2130</v>
      </c>
      <c r="J3637" t="s">
        <v>55</v>
      </c>
      <c r="K3637" t="s">
        <v>1733</v>
      </c>
      <c r="M3637" t="s">
        <v>7</v>
      </c>
    </row>
    <row r="3638" spans="2:13" hidden="1">
      <c r="B3638">
        <v>3636</v>
      </c>
      <c r="C3638">
        <v>274</v>
      </c>
      <c r="D3638">
        <v>58</v>
      </c>
      <c r="E3638">
        <v>32</v>
      </c>
      <c r="F3638">
        <v>0</v>
      </c>
      <c r="G3638" t="s">
        <v>18</v>
      </c>
      <c r="H3638" t="s">
        <v>52</v>
      </c>
      <c r="I3638" t="s">
        <v>2130</v>
      </c>
      <c r="J3638" t="s">
        <v>479</v>
      </c>
      <c r="K3638" t="s">
        <v>1734</v>
      </c>
      <c r="M3638" t="s">
        <v>7</v>
      </c>
    </row>
    <row r="3639" spans="2:13" hidden="1">
      <c r="B3639">
        <v>3637</v>
      </c>
      <c r="C3639">
        <v>274</v>
      </c>
      <c r="D3639">
        <v>58</v>
      </c>
      <c r="E3639">
        <v>33</v>
      </c>
      <c r="F3639">
        <v>0</v>
      </c>
      <c r="G3639" t="s">
        <v>18</v>
      </c>
      <c r="H3639" t="s">
        <v>52</v>
      </c>
      <c r="I3639" t="s">
        <v>2130</v>
      </c>
      <c r="J3639" t="s">
        <v>55</v>
      </c>
      <c r="K3639" t="s">
        <v>1735</v>
      </c>
      <c r="M3639" t="s">
        <v>7</v>
      </c>
    </row>
    <row r="3640" spans="2:13" hidden="1">
      <c r="B3640">
        <v>3638</v>
      </c>
      <c r="C3640">
        <v>274</v>
      </c>
      <c r="D3640">
        <v>58</v>
      </c>
      <c r="E3640">
        <v>34</v>
      </c>
      <c r="F3640">
        <v>0</v>
      </c>
      <c r="G3640" t="s">
        <v>18</v>
      </c>
      <c r="H3640" t="s">
        <v>52</v>
      </c>
      <c r="I3640" t="s">
        <v>2130</v>
      </c>
      <c r="J3640" t="s">
        <v>55</v>
      </c>
      <c r="K3640" t="s">
        <v>1736</v>
      </c>
      <c r="M3640" t="s">
        <v>7</v>
      </c>
    </row>
    <row r="3641" spans="2:13" hidden="1">
      <c r="B3641">
        <v>3639</v>
      </c>
      <c r="C3641">
        <v>274</v>
      </c>
      <c r="D3641">
        <v>58</v>
      </c>
      <c r="E3641">
        <v>35</v>
      </c>
      <c r="F3641">
        <v>0</v>
      </c>
      <c r="G3641" t="s">
        <v>18</v>
      </c>
      <c r="H3641" t="s">
        <v>52</v>
      </c>
      <c r="I3641" t="s">
        <v>2130</v>
      </c>
      <c r="J3641" t="s">
        <v>55</v>
      </c>
      <c r="K3641" t="s">
        <v>1737</v>
      </c>
      <c r="M3641" t="s">
        <v>7</v>
      </c>
    </row>
    <row r="3642" spans="2:13" hidden="1">
      <c r="B3642">
        <v>3640</v>
      </c>
      <c r="C3642">
        <v>274</v>
      </c>
      <c r="D3642">
        <v>58</v>
      </c>
      <c r="E3642">
        <v>36</v>
      </c>
      <c r="F3642">
        <v>0</v>
      </c>
      <c r="G3642" t="s">
        <v>18</v>
      </c>
      <c r="H3642" t="s">
        <v>52</v>
      </c>
      <c r="I3642" t="s">
        <v>2130</v>
      </c>
      <c r="J3642" t="s">
        <v>55</v>
      </c>
      <c r="K3642" t="s">
        <v>1738</v>
      </c>
      <c r="M3642" t="s">
        <v>7</v>
      </c>
    </row>
    <row r="3643" spans="2:13" hidden="1">
      <c r="B3643">
        <v>3641</v>
      </c>
      <c r="C3643">
        <v>274</v>
      </c>
      <c r="D3643">
        <v>58</v>
      </c>
      <c r="E3643">
        <v>37</v>
      </c>
      <c r="F3643">
        <v>0</v>
      </c>
      <c r="G3643" t="s">
        <v>18</v>
      </c>
      <c r="H3643" t="s">
        <v>52</v>
      </c>
      <c r="I3643" t="s">
        <v>2130</v>
      </c>
      <c r="J3643" t="s">
        <v>479</v>
      </c>
      <c r="K3643" t="s">
        <v>1739</v>
      </c>
      <c r="M3643" t="s">
        <v>7</v>
      </c>
    </row>
    <row r="3644" spans="2:13" hidden="1">
      <c r="B3644">
        <v>3642</v>
      </c>
      <c r="C3644">
        <v>274</v>
      </c>
      <c r="D3644">
        <v>58</v>
      </c>
      <c r="E3644">
        <v>38</v>
      </c>
      <c r="F3644">
        <v>0</v>
      </c>
      <c r="G3644" t="s">
        <v>18</v>
      </c>
      <c r="H3644" t="s">
        <v>52</v>
      </c>
      <c r="I3644" t="s">
        <v>2130</v>
      </c>
      <c r="J3644" t="s">
        <v>55</v>
      </c>
      <c r="K3644" t="s">
        <v>1740</v>
      </c>
      <c r="M3644" t="s">
        <v>7</v>
      </c>
    </row>
    <row r="3645" spans="2:13" hidden="1">
      <c r="B3645">
        <v>3643</v>
      </c>
      <c r="C3645">
        <v>274</v>
      </c>
      <c r="D3645">
        <v>58</v>
      </c>
      <c r="E3645">
        <v>39</v>
      </c>
      <c r="F3645">
        <v>0</v>
      </c>
      <c r="G3645" t="s">
        <v>18</v>
      </c>
      <c r="H3645" t="s">
        <v>52</v>
      </c>
      <c r="I3645" t="s">
        <v>2130</v>
      </c>
      <c r="J3645" t="s">
        <v>214</v>
      </c>
      <c r="K3645" t="s">
        <v>1741</v>
      </c>
      <c r="M3645" t="s">
        <v>7</v>
      </c>
    </row>
    <row r="3646" spans="2:13" hidden="1">
      <c r="B3646">
        <v>3644</v>
      </c>
      <c r="C3646">
        <v>274</v>
      </c>
      <c r="D3646">
        <v>58</v>
      </c>
      <c r="E3646">
        <v>40</v>
      </c>
      <c r="F3646">
        <v>0</v>
      </c>
      <c r="G3646" t="s">
        <v>18</v>
      </c>
      <c r="H3646" t="s">
        <v>52</v>
      </c>
      <c r="I3646" t="s">
        <v>2130</v>
      </c>
      <c r="J3646" t="s">
        <v>214</v>
      </c>
      <c r="K3646" t="s">
        <v>1618</v>
      </c>
      <c r="M3646" t="s">
        <v>7</v>
      </c>
    </row>
    <row r="3647" spans="2:13" hidden="1">
      <c r="B3647">
        <v>3645</v>
      </c>
      <c r="C3647">
        <v>274</v>
      </c>
      <c r="D3647">
        <v>58</v>
      </c>
      <c r="E3647">
        <v>41</v>
      </c>
      <c r="F3647">
        <v>0</v>
      </c>
      <c r="G3647" t="s">
        <v>18</v>
      </c>
      <c r="H3647" t="s">
        <v>52</v>
      </c>
      <c r="I3647" t="s">
        <v>2130</v>
      </c>
      <c r="J3647" t="s">
        <v>214</v>
      </c>
      <c r="K3647" t="s">
        <v>1619</v>
      </c>
      <c r="M3647" t="s">
        <v>7</v>
      </c>
    </row>
    <row r="3648" spans="2:13" hidden="1">
      <c r="B3648">
        <v>3646</v>
      </c>
      <c r="C3648">
        <v>274</v>
      </c>
      <c r="D3648">
        <v>58</v>
      </c>
      <c r="E3648">
        <v>42</v>
      </c>
      <c r="F3648">
        <v>0</v>
      </c>
      <c r="G3648" t="s">
        <v>18</v>
      </c>
      <c r="H3648" t="s">
        <v>52</v>
      </c>
      <c r="I3648" t="s">
        <v>2130</v>
      </c>
      <c r="J3648" t="s">
        <v>214</v>
      </c>
      <c r="K3648" t="s">
        <v>1620</v>
      </c>
      <c r="M3648" t="s">
        <v>7</v>
      </c>
    </row>
    <row r="3649" spans="2:13" hidden="1">
      <c r="B3649">
        <v>3647</v>
      </c>
      <c r="C3649">
        <v>274</v>
      </c>
      <c r="D3649">
        <v>58</v>
      </c>
      <c r="E3649">
        <v>43</v>
      </c>
      <c r="F3649">
        <v>0</v>
      </c>
      <c r="G3649" t="s">
        <v>18</v>
      </c>
      <c r="H3649" t="s">
        <v>52</v>
      </c>
      <c r="I3649" t="s">
        <v>2130</v>
      </c>
      <c r="J3649" t="s">
        <v>437</v>
      </c>
      <c r="K3649" t="s">
        <v>1621</v>
      </c>
      <c r="M3649" t="s">
        <v>7</v>
      </c>
    </row>
    <row r="3650" spans="2:13" hidden="1">
      <c r="B3650">
        <v>3648</v>
      </c>
      <c r="C3650">
        <v>274</v>
      </c>
      <c r="D3650">
        <v>58</v>
      </c>
      <c r="E3650">
        <v>44</v>
      </c>
      <c r="F3650">
        <v>0</v>
      </c>
      <c r="G3650" t="s">
        <v>18</v>
      </c>
      <c r="H3650" t="s">
        <v>52</v>
      </c>
      <c r="I3650" t="s">
        <v>2130</v>
      </c>
      <c r="J3650" t="s">
        <v>55</v>
      </c>
      <c r="K3650" t="s">
        <v>1581</v>
      </c>
      <c r="M3650" t="s">
        <v>7</v>
      </c>
    </row>
    <row r="3651" spans="2:13" hidden="1">
      <c r="B3651">
        <v>3649</v>
      </c>
      <c r="C3651">
        <v>274</v>
      </c>
      <c r="D3651">
        <v>58</v>
      </c>
      <c r="E3651">
        <v>45</v>
      </c>
      <c r="F3651">
        <v>0</v>
      </c>
      <c r="G3651" t="s">
        <v>18</v>
      </c>
      <c r="H3651" t="s">
        <v>52</v>
      </c>
      <c r="I3651" t="s">
        <v>2130</v>
      </c>
      <c r="J3651" t="s">
        <v>55</v>
      </c>
      <c r="K3651" t="s">
        <v>1582</v>
      </c>
      <c r="M3651" t="s">
        <v>7</v>
      </c>
    </row>
    <row r="3652" spans="2:13" hidden="1">
      <c r="B3652">
        <v>3650</v>
      </c>
      <c r="C3652">
        <v>274</v>
      </c>
      <c r="D3652">
        <v>58</v>
      </c>
      <c r="E3652">
        <v>46</v>
      </c>
      <c r="F3652">
        <v>0</v>
      </c>
      <c r="G3652" t="s">
        <v>18</v>
      </c>
      <c r="H3652" t="s">
        <v>52</v>
      </c>
      <c r="I3652" t="s">
        <v>2130</v>
      </c>
      <c r="J3652" t="s">
        <v>479</v>
      </c>
      <c r="K3652" t="s">
        <v>1744</v>
      </c>
      <c r="M3652" t="s">
        <v>7</v>
      </c>
    </row>
    <row r="3653" spans="2:13" hidden="1">
      <c r="B3653">
        <v>3651</v>
      </c>
      <c r="C3653">
        <v>274</v>
      </c>
      <c r="D3653">
        <v>58</v>
      </c>
      <c r="E3653">
        <v>47</v>
      </c>
      <c r="F3653">
        <v>0</v>
      </c>
      <c r="G3653" t="s">
        <v>18</v>
      </c>
      <c r="H3653" t="s">
        <v>52</v>
      </c>
      <c r="I3653" t="s">
        <v>2130</v>
      </c>
      <c r="J3653" t="s">
        <v>55</v>
      </c>
      <c r="K3653" t="s">
        <v>1745</v>
      </c>
      <c r="M3653" t="s">
        <v>7</v>
      </c>
    </row>
    <row r="3654" spans="2:13" hidden="1">
      <c r="B3654">
        <v>3652</v>
      </c>
      <c r="C3654">
        <v>274</v>
      </c>
      <c r="D3654">
        <v>58</v>
      </c>
      <c r="E3654">
        <v>48</v>
      </c>
      <c r="F3654">
        <v>0</v>
      </c>
      <c r="G3654" t="s">
        <v>18</v>
      </c>
      <c r="H3654" t="s">
        <v>52</v>
      </c>
      <c r="I3654" t="s">
        <v>2130</v>
      </c>
      <c r="J3654" t="s">
        <v>55</v>
      </c>
      <c r="K3654" t="s">
        <v>1746</v>
      </c>
      <c r="M3654" t="s">
        <v>7</v>
      </c>
    </row>
    <row r="3655" spans="2:13" hidden="1">
      <c r="B3655">
        <v>3653</v>
      </c>
      <c r="C3655">
        <v>274</v>
      </c>
      <c r="D3655">
        <v>58</v>
      </c>
      <c r="E3655">
        <v>49</v>
      </c>
      <c r="F3655">
        <v>0</v>
      </c>
      <c r="G3655" t="s">
        <v>18</v>
      </c>
      <c r="H3655" t="s">
        <v>52</v>
      </c>
      <c r="I3655" t="s">
        <v>2130</v>
      </c>
      <c r="J3655" t="s">
        <v>437</v>
      </c>
      <c r="K3655" t="s">
        <v>1747</v>
      </c>
      <c r="M3655" t="s">
        <v>7</v>
      </c>
    </row>
    <row r="3656" spans="2:13" hidden="1">
      <c r="B3656">
        <v>3654</v>
      </c>
      <c r="C3656">
        <v>274</v>
      </c>
      <c r="D3656">
        <v>58</v>
      </c>
      <c r="E3656">
        <v>50</v>
      </c>
      <c r="F3656">
        <v>0</v>
      </c>
      <c r="G3656" t="s">
        <v>18</v>
      </c>
      <c r="H3656" t="s">
        <v>52</v>
      </c>
      <c r="I3656" t="s">
        <v>2130</v>
      </c>
      <c r="J3656" t="s">
        <v>55</v>
      </c>
      <c r="K3656" t="s">
        <v>1748</v>
      </c>
      <c r="M3656" t="s">
        <v>7</v>
      </c>
    </row>
    <row r="3657" spans="2:13" hidden="1">
      <c r="B3657">
        <v>3655</v>
      </c>
      <c r="C3657">
        <v>274</v>
      </c>
      <c r="D3657">
        <v>58</v>
      </c>
      <c r="E3657">
        <v>51</v>
      </c>
      <c r="F3657">
        <v>0</v>
      </c>
      <c r="G3657" t="s">
        <v>18</v>
      </c>
      <c r="H3657" t="s">
        <v>52</v>
      </c>
      <c r="I3657" t="s">
        <v>2130</v>
      </c>
      <c r="J3657" t="s">
        <v>55</v>
      </c>
      <c r="K3657" t="s">
        <v>1749</v>
      </c>
      <c r="M3657" t="s">
        <v>7</v>
      </c>
    </row>
    <row r="3658" spans="2:13" hidden="1">
      <c r="B3658">
        <v>3656</v>
      </c>
      <c r="C3658">
        <v>274</v>
      </c>
      <c r="D3658">
        <v>58</v>
      </c>
      <c r="E3658">
        <v>52</v>
      </c>
      <c r="F3658">
        <v>0</v>
      </c>
      <c r="G3658" t="s">
        <v>18</v>
      </c>
      <c r="H3658" t="s">
        <v>52</v>
      </c>
      <c r="I3658" t="s">
        <v>2130</v>
      </c>
      <c r="J3658" t="s">
        <v>55</v>
      </c>
      <c r="K3658" t="s">
        <v>1750</v>
      </c>
      <c r="M3658" t="s">
        <v>7</v>
      </c>
    </row>
    <row r="3659" spans="2:13" hidden="1">
      <c r="B3659">
        <v>3657</v>
      </c>
      <c r="C3659">
        <v>274</v>
      </c>
      <c r="D3659">
        <v>58</v>
      </c>
      <c r="E3659">
        <v>53</v>
      </c>
      <c r="F3659">
        <v>0</v>
      </c>
      <c r="G3659" t="s">
        <v>18</v>
      </c>
      <c r="H3659" t="s">
        <v>52</v>
      </c>
      <c r="I3659" t="s">
        <v>2130</v>
      </c>
      <c r="J3659" t="s">
        <v>479</v>
      </c>
      <c r="K3659" t="s">
        <v>1751</v>
      </c>
      <c r="M3659" t="s">
        <v>7</v>
      </c>
    </row>
    <row r="3660" spans="2:13" hidden="1">
      <c r="B3660">
        <v>3658</v>
      </c>
      <c r="C3660">
        <v>274</v>
      </c>
      <c r="D3660">
        <v>58</v>
      </c>
      <c r="E3660">
        <v>54</v>
      </c>
      <c r="F3660">
        <v>0</v>
      </c>
      <c r="G3660" t="s">
        <v>18</v>
      </c>
      <c r="H3660" t="s">
        <v>52</v>
      </c>
      <c r="I3660" t="s">
        <v>2130</v>
      </c>
      <c r="J3660" t="s">
        <v>55</v>
      </c>
      <c r="K3660" t="s">
        <v>1752</v>
      </c>
      <c r="M3660" t="s">
        <v>7</v>
      </c>
    </row>
    <row r="3661" spans="2:13" hidden="1">
      <c r="B3661">
        <v>3659</v>
      </c>
      <c r="C3661">
        <v>274</v>
      </c>
      <c r="D3661">
        <v>58</v>
      </c>
      <c r="E3661">
        <v>55</v>
      </c>
      <c r="F3661">
        <v>0</v>
      </c>
      <c r="G3661" t="s">
        <v>18</v>
      </c>
      <c r="H3661" t="s">
        <v>52</v>
      </c>
      <c r="I3661" t="s">
        <v>2130</v>
      </c>
      <c r="J3661" t="s">
        <v>64</v>
      </c>
      <c r="K3661" t="s">
        <v>1753</v>
      </c>
      <c r="M3661" t="s">
        <v>7</v>
      </c>
    </row>
    <row r="3662" spans="2:13" hidden="1">
      <c r="B3662">
        <v>3660</v>
      </c>
      <c r="C3662">
        <v>274</v>
      </c>
      <c r="D3662">
        <v>58</v>
      </c>
      <c r="E3662">
        <v>56</v>
      </c>
      <c r="F3662">
        <v>0</v>
      </c>
      <c r="G3662" t="s">
        <v>18</v>
      </c>
      <c r="H3662" t="s">
        <v>52</v>
      </c>
      <c r="I3662" t="s">
        <v>2130</v>
      </c>
      <c r="J3662" t="s">
        <v>55</v>
      </c>
      <c r="K3662" t="s">
        <v>1754</v>
      </c>
      <c r="M3662" t="s">
        <v>7</v>
      </c>
    </row>
    <row r="3663" spans="2:13" hidden="1">
      <c r="B3663">
        <v>3661</v>
      </c>
      <c r="C3663">
        <v>274</v>
      </c>
      <c r="D3663">
        <v>58</v>
      </c>
      <c r="E3663">
        <v>57</v>
      </c>
      <c r="F3663">
        <v>0</v>
      </c>
      <c r="G3663" t="s">
        <v>18</v>
      </c>
      <c r="H3663" t="s">
        <v>52</v>
      </c>
      <c r="I3663" t="s">
        <v>2130</v>
      </c>
      <c r="J3663" t="s">
        <v>55</v>
      </c>
      <c r="K3663" t="s">
        <v>93</v>
      </c>
      <c r="M3663" t="s">
        <v>7</v>
      </c>
    </row>
    <row r="3664" spans="2:13" hidden="1">
      <c r="B3664">
        <v>3662</v>
      </c>
      <c r="C3664">
        <v>274</v>
      </c>
      <c r="D3664">
        <v>58</v>
      </c>
      <c r="E3664">
        <v>58</v>
      </c>
      <c r="F3664">
        <v>0</v>
      </c>
      <c r="G3664" t="s">
        <v>18</v>
      </c>
      <c r="H3664" t="s">
        <v>52</v>
      </c>
      <c r="I3664" t="s">
        <v>2130</v>
      </c>
      <c r="J3664" t="s">
        <v>64</v>
      </c>
      <c r="K3664" t="s">
        <v>94</v>
      </c>
      <c r="M3664" t="s">
        <v>7</v>
      </c>
    </row>
    <row r="3665" spans="2:13" hidden="1">
      <c r="B3665">
        <v>3663</v>
      </c>
      <c r="C3665">
        <v>275</v>
      </c>
      <c r="D3665">
        <v>46</v>
      </c>
      <c r="E3665">
        <v>0</v>
      </c>
      <c r="F3665">
        <v>0</v>
      </c>
      <c r="G3665" t="s">
        <v>2023</v>
      </c>
      <c r="H3665" t="s">
        <v>52</v>
      </c>
      <c r="I3665" t="s">
        <v>2284</v>
      </c>
      <c r="J3665" t="s">
        <v>478</v>
      </c>
      <c r="K3665" t="s">
        <v>2284</v>
      </c>
      <c r="M3665" t="s">
        <v>6</v>
      </c>
    </row>
    <row r="3666" spans="2:13" hidden="1">
      <c r="B3666">
        <v>3664</v>
      </c>
      <c r="C3666">
        <v>275</v>
      </c>
      <c r="D3666">
        <v>46</v>
      </c>
      <c r="E3666">
        <v>1</v>
      </c>
      <c r="F3666">
        <v>0</v>
      </c>
      <c r="G3666" t="s">
        <v>2023</v>
      </c>
      <c r="H3666" t="s">
        <v>52</v>
      </c>
      <c r="I3666" t="s">
        <v>2284</v>
      </c>
      <c r="J3666" t="s">
        <v>479</v>
      </c>
      <c r="K3666" t="s">
        <v>22</v>
      </c>
      <c r="M3666" t="s">
        <v>6</v>
      </c>
    </row>
    <row r="3667" spans="2:13" hidden="1">
      <c r="B3667">
        <v>3665</v>
      </c>
      <c r="C3667">
        <v>275</v>
      </c>
      <c r="D3667">
        <v>46</v>
      </c>
      <c r="E3667">
        <v>2</v>
      </c>
      <c r="F3667">
        <v>0</v>
      </c>
      <c r="G3667" t="s">
        <v>2023</v>
      </c>
      <c r="H3667" t="s">
        <v>52</v>
      </c>
      <c r="I3667" t="s">
        <v>2284</v>
      </c>
      <c r="J3667" t="s">
        <v>55</v>
      </c>
      <c r="K3667" t="s">
        <v>429</v>
      </c>
      <c r="M3667" t="s">
        <v>6</v>
      </c>
    </row>
    <row r="3668" spans="2:13" hidden="1">
      <c r="B3668">
        <v>3666</v>
      </c>
      <c r="C3668">
        <v>275</v>
      </c>
      <c r="D3668">
        <v>46</v>
      </c>
      <c r="E3668">
        <v>3</v>
      </c>
      <c r="F3668">
        <v>0</v>
      </c>
      <c r="G3668" t="s">
        <v>2023</v>
      </c>
      <c r="H3668" t="s">
        <v>52</v>
      </c>
      <c r="I3668" t="s">
        <v>2284</v>
      </c>
      <c r="J3668" t="s">
        <v>55</v>
      </c>
      <c r="K3668" t="s">
        <v>430</v>
      </c>
      <c r="M3668" t="s">
        <v>6</v>
      </c>
    </row>
    <row r="3669" spans="2:13" hidden="1">
      <c r="B3669">
        <v>3667</v>
      </c>
      <c r="C3669">
        <v>275</v>
      </c>
      <c r="D3669">
        <v>46</v>
      </c>
      <c r="E3669">
        <v>4</v>
      </c>
      <c r="F3669">
        <v>0</v>
      </c>
      <c r="G3669" t="s">
        <v>2023</v>
      </c>
      <c r="H3669" t="s">
        <v>52</v>
      </c>
      <c r="I3669" t="s">
        <v>2284</v>
      </c>
      <c r="J3669" t="s">
        <v>55</v>
      </c>
      <c r="K3669" t="s">
        <v>2025</v>
      </c>
      <c r="M3669" t="s">
        <v>6</v>
      </c>
    </row>
    <row r="3670" spans="2:13" hidden="1">
      <c r="B3670">
        <v>3668</v>
      </c>
      <c r="C3670">
        <v>275</v>
      </c>
      <c r="D3670">
        <v>46</v>
      </c>
      <c r="E3670">
        <v>5</v>
      </c>
      <c r="F3670">
        <v>0</v>
      </c>
      <c r="G3670" t="s">
        <v>2023</v>
      </c>
      <c r="H3670" t="s">
        <v>52</v>
      </c>
      <c r="I3670" t="s">
        <v>2284</v>
      </c>
      <c r="J3670" t="s">
        <v>55</v>
      </c>
      <c r="K3670" t="s">
        <v>2057</v>
      </c>
      <c r="M3670" t="s">
        <v>6</v>
      </c>
    </row>
    <row r="3671" spans="2:13" hidden="1">
      <c r="B3671">
        <v>3669</v>
      </c>
      <c r="C3671">
        <v>275</v>
      </c>
      <c r="D3671">
        <v>46</v>
      </c>
      <c r="E3671">
        <v>6</v>
      </c>
      <c r="F3671">
        <v>0</v>
      </c>
      <c r="G3671" t="s">
        <v>2023</v>
      </c>
      <c r="H3671" t="s">
        <v>52</v>
      </c>
      <c r="I3671" t="s">
        <v>2284</v>
      </c>
      <c r="J3671" t="s">
        <v>55</v>
      </c>
      <c r="K3671" t="s">
        <v>2058</v>
      </c>
      <c r="M3671" t="s">
        <v>6</v>
      </c>
    </row>
    <row r="3672" spans="2:13" hidden="1">
      <c r="B3672">
        <v>3670</v>
      </c>
      <c r="C3672">
        <v>275</v>
      </c>
      <c r="D3672">
        <v>46</v>
      </c>
      <c r="E3672">
        <v>7</v>
      </c>
      <c r="F3672">
        <v>0</v>
      </c>
      <c r="G3672" t="s">
        <v>2023</v>
      </c>
      <c r="H3672" t="s">
        <v>52</v>
      </c>
      <c r="I3672" t="s">
        <v>2284</v>
      </c>
      <c r="J3672" t="s">
        <v>55</v>
      </c>
      <c r="K3672" t="s">
        <v>2059</v>
      </c>
      <c r="M3672" t="s">
        <v>6</v>
      </c>
    </row>
    <row r="3673" spans="2:13" hidden="1">
      <c r="B3673">
        <v>3671</v>
      </c>
      <c r="C3673">
        <v>275</v>
      </c>
      <c r="D3673">
        <v>46</v>
      </c>
      <c r="E3673">
        <v>8</v>
      </c>
      <c r="F3673">
        <v>0</v>
      </c>
      <c r="G3673" t="s">
        <v>2023</v>
      </c>
      <c r="H3673" t="s">
        <v>52</v>
      </c>
      <c r="I3673" t="s">
        <v>2284</v>
      </c>
      <c r="J3673" t="s">
        <v>55</v>
      </c>
      <c r="K3673" t="s">
        <v>2060</v>
      </c>
      <c r="M3673" t="s">
        <v>6</v>
      </c>
    </row>
    <row r="3674" spans="2:13" hidden="1">
      <c r="B3674">
        <v>3672</v>
      </c>
      <c r="C3674">
        <v>275</v>
      </c>
      <c r="D3674">
        <v>46</v>
      </c>
      <c r="E3674">
        <v>9</v>
      </c>
      <c r="F3674">
        <v>0</v>
      </c>
      <c r="G3674" t="s">
        <v>2023</v>
      </c>
      <c r="H3674" t="s">
        <v>52</v>
      </c>
      <c r="I3674" t="s">
        <v>2284</v>
      </c>
      <c r="J3674" t="s">
        <v>55</v>
      </c>
      <c r="K3674" t="s">
        <v>2061</v>
      </c>
      <c r="M3674" t="s">
        <v>6</v>
      </c>
    </row>
    <row r="3675" spans="2:13" hidden="1">
      <c r="B3675">
        <v>3673</v>
      </c>
      <c r="C3675">
        <v>275</v>
      </c>
      <c r="D3675">
        <v>46</v>
      </c>
      <c r="E3675">
        <v>10</v>
      </c>
      <c r="F3675">
        <v>0</v>
      </c>
      <c r="G3675" t="s">
        <v>2023</v>
      </c>
      <c r="H3675" t="s">
        <v>52</v>
      </c>
      <c r="I3675" t="s">
        <v>2284</v>
      </c>
      <c r="J3675" t="s">
        <v>55</v>
      </c>
      <c r="K3675" t="s">
        <v>2062</v>
      </c>
      <c r="M3675" t="s">
        <v>6</v>
      </c>
    </row>
    <row r="3676" spans="2:13" hidden="1">
      <c r="B3676">
        <v>3674</v>
      </c>
      <c r="C3676">
        <v>275</v>
      </c>
      <c r="D3676">
        <v>46</v>
      </c>
      <c r="E3676">
        <v>11</v>
      </c>
      <c r="F3676">
        <v>0</v>
      </c>
      <c r="G3676" t="s">
        <v>2023</v>
      </c>
      <c r="H3676" t="s">
        <v>52</v>
      </c>
      <c r="I3676" t="s">
        <v>2284</v>
      </c>
      <c r="J3676" t="s">
        <v>55</v>
      </c>
      <c r="K3676" t="s">
        <v>2063</v>
      </c>
      <c r="M3676" t="s">
        <v>6</v>
      </c>
    </row>
    <row r="3677" spans="2:13" hidden="1">
      <c r="B3677">
        <v>3675</v>
      </c>
      <c r="C3677">
        <v>275</v>
      </c>
      <c r="D3677">
        <v>46</v>
      </c>
      <c r="E3677">
        <v>12</v>
      </c>
      <c r="F3677">
        <v>0</v>
      </c>
      <c r="G3677" t="s">
        <v>2023</v>
      </c>
      <c r="H3677" t="s">
        <v>52</v>
      </c>
      <c r="I3677" t="s">
        <v>2284</v>
      </c>
      <c r="J3677" t="s">
        <v>55</v>
      </c>
      <c r="K3677" t="s">
        <v>2285</v>
      </c>
      <c r="M3677" t="s">
        <v>6</v>
      </c>
    </row>
    <row r="3678" spans="2:13" hidden="1">
      <c r="B3678">
        <v>3676</v>
      </c>
      <c r="C3678">
        <v>275</v>
      </c>
      <c r="D3678">
        <v>46</v>
      </c>
      <c r="E3678">
        <v>13</v>
      </c>
      <c r="F3678">
        <v>0</v>
      </c>
      <c r="G3678" t="s">
        <v>2023</v>
      </c>
      <c r="H3678" t="s">
        <v>52</v>
      </c>
      <c r="I3678" t="s">
        <v>2284</v>
      </c>
      <c r="J3678" t="s">
        <v>55</v>
      </c>
      <c r="K3678" t="s">
        <v>2064</v>
      </c>
      <c r="M3678" t="s">
        <v>6</v>
      </c>
    </row>
    <row r="3679" spans="2:13" hidden="1">
      <c r="B3679">
        <v>3677</v>
      </c>
      <c r="C3679">
        <v>275</v>
      </c>
      <c r="D3679">
        <v>46</v>
      </c>
      <c r="E3679">
        <v>14</v>
      </c>
      <c r="F3679">
        <v>0</v>
      </c>
      <c r="G3679" t="s">
        <v>2023</v>
      </c>
      <c r="H3679" t="s">
        <v>52</v>
      </c>
      <c r="I3679" t="s">
        <v>2284</v>
      </c>
      <c r="J3679" t="s">
        <v>55</v>
      </c>
      <c r="K3679" t="s">
        <v>2286</v>
      </c>
      <c r="M3679" t="s">
        <v>6</v>
      </c>
    </row>
    <row r="3680" spans="2:13" hidden="1">
      <c r="B3680">
        <v>3678</v>
      </c>
      <c r="C3680">
        <v>275</v>
      </c>
      <c r="D3680">
        <v>46</v>
      </c>
      <c r="E3680">
        <v>15</v>
      </c>
      <c r="F3680">
        <v>0</v>
      </c>
      <c r="G3680" t="s">
        <v>2023</v>
      </c>
      <c r="H3680" t="s">
        <v>52</v>
      </c>
      <c r="I3680" t="s">
        <v>2284</v>
      </c>
      <c r="J3680" t="s">
        <v>437</v>
      </c>
      <c r="K3680" t="s">
        <v>438</v>
      </c>
      <c r="L3680" t="s">
        <v>439</v>
      </c>
      <c r="M3680" t="s">
        <v>6</v>
      </c>
    </row>
    <row r="3681" spans="2:13" hidden="1">
      <c r="B3681">
        <v>3679</v>
      </c>
      <c r="C3681">
        <v>275</v>
      </c>
      <c r="D3681">
        <v>46</v>
      </c>
      <c r="E3681">
        <v>16</v>
      </c>
      <c r="F3681">
        <v>0</v>
      </c>
      <c r="G3681" t="s">
        <v>2023</v>
      </c>
      <c r="H3681" t="s">
        <v>52</v>
      </c>
      <c r="I3681" t="s">
        <v>2284</v>
      </c>
      <c r="J3681" t="s">
        <v>64</v>
      </c>
      <c r="K3681" t="s">
        <v>440</v>
      </c>
      <c r="M3681" t="s">
        <v>6</v>
      </c>
    </row>
    <row r="3682" spans="2:13" hidden="1">
      <c r="B3682">
        <v>3680</v>
      </c>
      <c r="C3682">
        <v>275</v>
      </c>
      <c r="D3682">
        <v>46</v>
      </c>
      <c r="E3682">
        <v>17</v>
      </c>
      <c r="F3682">
        <v>0</v>
      </c>
      <c r="G3682" t="s">
        <v>2023</v>
      </c>
      <c r="H3682" t="s">
        <v>52</v>
      </c>
      <c r="I3682" t="s">
        <v>2284</v>
      </c>
      <c r="J3682" t="s">
        <v>55</v>
      </c>
      <c r="K3682" t="s">
        <v>2065</v>
      </c>
      <c r="M3682" t="s">
        <v>6</v>
      </c>
    </row>
    <row r="3683" spans="2:13" hidden="1">
      <c r="B3683">
        <v>3681</v>
      </c>
      <c r="C3683">
        <v>275</v>
      </c>
      <c r="D3683">
        <v>46</v>
      </c>
      <c r="E3683">
        <v>18</v>
      </c>
      <c r="F3683">
        <v>0</v>
      </c>
      <c r="G3683" t="s">
        <v>2023</v>
      </c>
      <c r="H3683" t="s">
        <v>52</v>
      </c>
      <c r="I3683" t="s">
        <v>2284</v>
      </c>
      <c r="J3683" t="s">
        <v>437</v>
      </c>
      <c r="K3683" t="s">
        <v>438</v>
      </c>
      <c r="L3683" t="s">
        <v>439</v>
      </c>
      <c r="M3683" t="s">
        <v>6</v>
      </c>
    </row>
    <row r="3684" spans="2:13" hidden="1">
      <c r="B3684">
        <v>3682</v>
      </c>
      <c r="C3684">
        <v>275</v>
      </c>
      <c r="D3684">
        <v>46</v>
      </c>
      <c r="E3684">
        <v>19</v>
      </c>
      <c r="F3684">
        <v>0</v>
      </c>
      <c r="G3684" t="s">
        <v>2023</v>
      </c>
      <c r="H3684" t="s">
        <v>52</v>
      </c>
      <c r="I3684" t="s">
        <v>2284</v>
      </c>
      <c r="J3684" t="s">
        <v>64</v>
      </c>
      <c r="K3684" t="s">
        <v>440</v>
      </c>
      <c r="M3684" t="s">
        <v>6</v>
      </c>
    </row>
    <row r="3685" spans="2:13" hidden="1">
      <c r="B3685">
        <v>3683</v>
      </c>
      <c r="C3685">
        <v>275</v>
      </c>
      <c r="D3685">
        <v>46</v>
      </c>
      <c r="E3685">
        <v>20</v>
      </c>
      <c r="F3685">
        <v>0</v>
      </c>
      <c r="G3685" t="s">
        <v>2023</v>
      </c>
      <c r="H3685" t="s">
        <v>52</v>
      </c>
      <c r="I3685" t="s">
        <v>2284</v>
      </c>
      <c r="J3685" t="s">
        <v>214</v>
      </c>
      <c r="K3685" t="s">
        <v>2066</v>
      </c>
      <c r="M3685" t="s">
        <v>6</v>
      </c>
    </row>
    <row r="3686" spans="2:13" hidden="1">
      <c r="B3686">
        <v>3684</v>
      </c>
      <c r="C3686">
        <v>275</v>
      </c>
      <c r="D3686">
        <v>46</v>
      </c>
      <c r="E3686">
        <v>21</v>
      </c>
      <c r="F3686">
        <v>0</v>
      </c>
      <c r="G3686" t="s">
        <v>2023</v>
      </c>
      <c r="H3686" t="s">
        <v>52</v>
      </c>
      <c r="I3686" t="s">
        <v>2284</v>
      </c>
      <c r="J3686" t="s">
        <v>437</v>
      </c>
      <c r="K3686" t="s">
        <v>2067</v>
      </c>
      <c r="L3686" t="s">
        <v>2040</v>
      </c>
      <c r="M3686" t="s">
        <v>6</v>
      </c>
    </row>
    <row r="3687" spans="2:13" hidden="1">
      <c r="B3687">
        <v>3685</v>
      </c>
      <c r="C3687">
        <v>275</v>
      </c>
      <c r="D3687">
        <v>46</v>
      </c>
      <c r="E3687">
        <v>22</v>
      </c>
      <c r="F3687">
        <v>0</v>
      </c>
      <c r="G3687" t="s">
        <v>2023</v>
      </c>
      <c r="H3687" t="s">
        <v>52</v>
      </c>
      <c r="I3687" t="s">
        <v>2284</v>
      </c>
      <c r="J3687" t="s">
        <v>437</v>
      </c>
      <c r="K3687" t="s">
        <v>2068</v>
      </c>
      <c r="L3687" t="s">
        <v>2040</v>
      </c>
      <c r="M3687" t="s">
        <v>6</v>
      </c>
    </row>
    <row r="3688" spans="2:13" hidden="1">
      <c r="B3688">
        <v>3686</v>
      </c>
      <c r="C3688">
        <v>275</v>
      </c>
      <c r="D3688">
        <v>46</v>
      </c>
      <c r="E3688">
        <v>23</v>
      </c>
      <c r="F3688">
        <v>0</v>
      </c>
      <c r="G3688" t="s">
        <v>2023</v>
      </c>
      <c r="H3688" t="s">
        <v>52</v>
      </c>
      <c r="I3688" t="s">
        <v>2284</v>
      </c>
      <c r="J3688" t="s">
        <v>55</v>
      </c>
      <c r="K3688" t="s">
        <v>804</v>
      </c>
      <c r="M3688" t="s">
        <v>6</v>
      </c>
    </row>
    <row r="3689" spans="2:13" hidden="1">
      <c r="B3689">
        <v>3687</v>
      </c>
      <c r="C3689">
        <v>275</v>
      </c>
      <c r="D3689">
        <v>46</v>
      </c>
      <c r="E3689">
        <v>24</v>
      </c>
      <c r="F3689">
        <v>0</v>
      </c>
      <c r="G3689" t="s">
        <v>2023</v>
      </c>
      <c r="H3689" t="s">
        <v>52</v>
      </c>
      <c r="I3689" t="s">
        <v>2284</v>
      </c>
      <c r="J3689" t="s">
        <v>55</v>
      </c>
      <c r="K3689" t="s">
        <v>805</v>
      </c>
      <c r="M3689" t="s">
        <v>6</v>
      </c>
    </row>
    <row r="3690" spans="2:13" hidden="1">
      <c r="B3690">
        <v>3688</v>
      </c>
      <c r="C3690">
        <v>275</v>
      </c>
      <c r="D3690">
        <v>46</v>
      </c>
      <c r="E3690">
        <v>25</v>
      </c>
      <c r="F3690">
        <v>0</v>
      </c>
      <c r="G3690" t="s">
        <v>2023</v>
      </c>
      <c r="H3690" t="s">
        <v>52</v>
      </c>
      <c r="I3690" t="s">
        <v>2284</v>
      </c>
      <c r="J3690" t="s">
        <v>55</v>
      </c>
      <c r="K3690" t="s">
        <v>806</v>
      </c>
      <c r="M3690" t="s">
        <v>6</v>
      </c>
    </row>
    <row r="3691" spans="2:13" hidden="1">
      <c r="B3691">
        <v>3689</v>
      </c>
      <c r="C3691">
        <v>275</v>
      </c>
      <c r="D3691">
        <v>46</v>
      </c>
      <c r="E3691">
        <v>26</v>
      </c>
      <c r="F3691">
        <v>0</v>
      </c>
      <c r="G3691" t="s">
        <v>2023</v>
      </c>
      <c r="H3691" t="s">
        <v>52</v>
      </c>
      <c r="I3691" t="s">
        <v>2284</v>
      </c>
      <c r="J3691" t="s">
        <v>55</v>
      </c>
      <c r="K3691" t="s">
        <v>2287</v>
      </c>
      <c r="M3691" t="s">
        <v>6</v>
      </c>
    </row>
    <row r="3692" spans="2:13" hidden="1">
      <c r="B3692">
        <v>3690</v>
      </c>
      <c r="C3692">
        <v>275</v>
      </c>
      <c r="D3692">
        <v>46</v>
      </c>
      <c r="E3692">
        <v>27</v>
      </c>
      <c r="F3692">
        <v>0</v>
      </c>
      <c r="G3692" t="s">
        <v>2023</v>
      </c>
      <c r="H3692" t="s">
        <v>52</v>
      </c>
      <c r="I3692" t="s">
        <v>2284</v>
      </c>
      <c r="J3692" t="s">
        <v>55</v>
      </c>
      <c r="K3692" t="s">
        <v>808</v>
      </c>
      <c r="M3692" t="s">
        <v>6</v>
      </c>
    </row>
    <row r="3693" spans="2:13" hidden="1">
      <c r="B3693">
        <v>3691</v>
      </c>
      <c r="C3693">
        <v>275</v>
      </c>
      <c r="D3693">
        <v>46</v>
      </c>
      <c r="E3693">
        <v>28</v>
      </c>
      <c r="F3693">
        <v>0</v>
      </c>
      <c r="G3693" t="s">
        <v>2023</v>
      </c>
      <c r="H3693" t="s">
        <v>52</v>
      </c>
      <c r="I3693" t="s">
        <v>2284</v>
      </c>
      <c r="J3693" t="s">
        <v>55</v>
      </c>
      <c r="K3693" t="s">
        <v>809</v>
      </c>
      <c r="M3693" t="s">
        <v>6</v>
      </c>
    </row>
    <row r="3694" spans="2:13" hidden="1">
      <c r="B3694">
        <v>3692</v>
      </c>
      <c r="C3694">
        <v>275</v>
      </c>
      <c r="D3694">
        <v>46</v>
      </c>
      <c r="E3694">
        <v>29</v>
      </c>
      <c r="F3694">
        <v>0</v>
      </c>
      <c r="G3694" t="s">
        <v>2023</v>
      </c>
      <c r="H3694" t="s">
        <v>52</v>
      </c>
      <c r="I3694" t="s">
        <v>2284</v>
      </c>
      <c r="J3694" t="s">
        <v>55</v>
      </c>
      <c r="K3694" t="s">
        <v>810</v>
      </c>
      <c r="M3694" t="s">
        <v>6</v>
      </c>
    </row>
    <row r="3695" spans="2:13" hidden="1">
      <c r="B3695">
        <v>3693</v>
      </c>
      <c r="C3695">
        <v>275</v>
      </c>
      <c r="D3695">
        <v>46</v>
      </c>
      <c r="E3695">
        <v>30</v>
      </c>
      <c r="F3695">
        <v>0</v>
      </c>
      <c r="G3695" t="s">
        <v>2023</v>
      </c>
      <c r="H3695" t="s">
        <v>52</v>
      </c>
      <c r="I3695" t="s">
        <v>2284</v>
      </c>
      <c r="J3695" t="s">
        <v>55</v>
      </c>
      <c r="K3695" t="s">
        <v>2282</v>
      </c>
      <c r="M3695" t="s">
        <v>6</v>
      </c>
    </row>
    <row r="3696" spans="2:13" hidden="1">
      <c r="B3696">
        <v>3694</v>
      </c>
      <c r="C3696">
        <v>275</v>
      </c>
      <c r="D3696">
        <v>46</v>
      </c>
      <c r="E3696">
        <v>31</v>
      </c>
      <c r="F3696">
        <v>0</v>
      </c>
      <c r="G3696" t="s">
        <v>2023</v>
      </c>
      <c r="H3696" t="s">
        <v>52</v>
      </c>
      <c r="I3696" t="s">
        <v>2284</v>
      </c>
      <c r="J3696" t="s">
        <v>437</v>
      </c>
      <c r="K3696" t="s">
        <v>438</v>
      </c>
      <c r="L3696" t="s">
        <v>439</v>
      </c>
      <c r="M3696" t="s">
        <v>6</v>
      </c>
    </row>
    <row r="3697" spans="2:13" hidden="1">
      <c r="B3697">
        <v>3695</v>
      </c>
      <c r="C3697">
        <v>275</v>
      </c>
      <c r="D3697">
        <v>46</v>
      </c>
      <c r="E3697">
        <v>32</v>
      </c>
      <c r="F3697">
        <v>0</v>
      </c>
      <c r="G3697" t="s">
        <v>2023</v>
      </c>
      <c r="H3697" t="s">
        <v>52</v>
      </c>
      <c r="I3697" t="s">
        <v>2284</v>
      </c>
      <c r="J3697" t="s">
        <v>64</v>
      </c>
      <c r="K3697" t="s">
        <v>440</v>
      </c>
      <c r="M3697" t="s">
        <v>6</v>
      </c>
    </row>
    <row r="3698" spans="2:13" hidden="1">
      <c r="B3698">
        <v>3696</v>
      </c>
      <c r="C3698">
        <v>275</v>
      </c>
      <c r="D3698">
        <v>46</v>
      </c>
      <c r="E3698">
        <v>33</v>
      </c>
      <c r="F3698">
        <v>0</v>
      </c>
      <c r="G3698" t="s">
        <v>2023</v>
      </c>
      <c r="H3698" t="s">
        <v>52</v>
      </c>
      <c r="I3698" t="s">
        <v>2284</v>
      </c>
      <c r="J3698" t="s">
        <v>55</v>
      </c>
      <c r="K3698" t="s">
        <v>442</v>
      </c>
      <c r="M3698" t="s">
        <v>6</v>
      </c>
    </row>
    <row r="3699" spans="2:13" hidden="1">
      <c r="B3699">
        <v>3697</v>
      </c>
      <c r="C3699">
        <v>275</v>
      </c>
      <c r="D3699">
        <v>46</v>
      </c>
      <c r="E3699">
        <v>34</v>
      </c>
      <c r="F3699">
        <v>0</v>
      </c>
      <c r="G3699" t="s">
        <v>2023</v>
      </c>
      <c r="H3699" t="s">
        <v>52</v>
      </c>
      <c r="I3699" t="s">
        <v>2284</v>
      </c>
      <c r="J3699" t="s">
        <v>214</v>
      </c>
      <c r="K3699" t="s">
        <v>443</v>
      </c>
      <c r="M3699" t="s">
        <v>6</v>
      </c>
    </row>
    <row r="3700" spans="2:13" hidden="1">
      <c r="B3700">
        <v>3698</v>
      </c>
      <c r="C3700">
        <v>275</v>
      </c>
      <c r="D3700">
        <v>46</v>
      </c>
      <c r="E3700">
        <v>35</v>
      </c>
      <c r="F3700">
        <v>0</v>
      </c>
      <c r="G3700" t="s">
        <v>2023</v>
      </c>
      <c r="H3700" t="s">
        <v>52</v>
      </c>
      <c r="I3700" t="s">
        <v>2284</v>
      </c>
      <c r="J3700" t="s">
        <v>479</v>
      </c>
      <c r="K3700" t="s">
        <v>2278</v>
      </c>
      <c r="M3700" t="s">
        <v>6</v>
      </c>
    </row>
    <row r="3701" spans="2:13" hidden="1">
      <c r="B3701">
        <v>3699</v>
      </c>
      <c r="C3701">
        <v>275</v>
      </c>
      <c r="D3701">
        <v>46</v>
      </c>
      <c r="E3701">
        <v>36</v>
      </c>
      <c r="F3701">
        <v>0</v>
      </c>
      <c r="G3701" t="s">
        <v>2023</v>
      </c>
      <c r="H3701" t="s">
        <v>52</v>
      </c>
      <c r="I3701" t="s">
        <v>2284</v>
      </c>
      <c r="J3701" t="s">
        <v>55</v>
      </c>
      <c r="K3701" t="s">
        <v>429</v>
      </c>
      <c r="M3701" t="s">
        <v>6</v>
      </c>
    </row>
    <row r="3702" spans="2:13" hidden="1">
      <c r="B3702">
        <v>3700</v>
      </c>
      <c r="C3702">
        <v>275</v>
      </c>
      <c r="D3702">
        <v>46</v>
      </c>
      <c r="E3702">
        <v>37</v>
      </c>
      <c r="F3702">
        <v>0</v>
      </c>
      <c r="G3702" t="s">
        <v>2023</v>
      </c>
      <c r="H3702" t="s">
        <v>52</v>
      </c>
      <c r="I3702" t="s">
        <v>2284</v>
      </c>
      <c r="J3702" t="s">
        <v>55</v>
      </c>
      <c r="K3702" t="s">
        <v>430</v>
      </c>
      <c r="M3702" t="s">
        <v>6</v>
      </c>
    </row>
    <row r="3703" spans="2:13" hidden="1">
      <c r="B3703">
        <v>3701</v>
      </c>
      <c r="C3703">
        <v>275</v>
      </c>
      <c r="D3703">
        <v>46</v>
      </c>
      <c r="E3703">
        <v>38</v>
      </c>
      <c r="F3703">
        <v>0</v>
      </c>
      <c r="G3703" t="s">
        <v>2023</v>
      </c>
      <c r="H3703" t="s">
        <v>52</v>
      </c>
      <c r="I3703" t="s">
        <v>2284</v>
      </c>
      <c r="J3703" t="s">
        <v>55</v>
      </c>
      <c r="K3703" t="s">
        <v>2279</v>
      </c>
      <c r="M3703" t="s">
        <v>6</v>
      </c>
    </row>
    <row r="3704" spans="2:13" hidden="1">
      <c r="B3704">
        <v>3702</v>
      </c>
      <c r="C3704">
        <v>275</v>
      </c>
      <c r="D3704">
        <v>46</v>
      </c>
      <c r="E3704">
        <v>39</v>
      </c>
      <c r="F3704">
        <v>0</v>
      </c>
      <c r="G3704" t="s">
        <v>2023</v>
      </c>
      <c r="H3704" t="s">
        <v>52</v>
      </c>
      <c r="I3704" t="s">
        <v>2284</v>
      </c>
      <c r="J3704" t="s">
        <v>420</v>
      </c>
      <c r="K3704" t="s">
        <v>2280</v>
      </c>
      <c r="M3704" t="s">
        <v>6</v>
      </c>
    </row>
    <row r="3705" spans="2:13" hidden="1">
      <c r="B3705">
        <v>3703</v>
      </c>
      <c r="C3705">
        <v>275</v>
      </c>
      <c r="D3705">
        <v>46</v>
      </c>
      <c r="E3705">
        <v>40</v>
      </c>
      <c r="F3705">
        <v>0</v>
      </c>
      <c r="G3705" t="s">
        <v>2023</v>
      </c>
      <c r="H3705" t="s">
        <v>52</v>
      </c>
      <c r="I3705" t="s">
        <v>2284</v>
      </c>
      <c r="J3705" t="s">
        <v>55</v>
      </c>
      <c r="K3705" t="s">
        <v>2281</v>
      </c>
      <c r="M3705" t="s">
        <v>6</v>
      </c>
    </row>
    <row r="3706" spans="2:13" hidden="1">
      <c r="B3706">
        <v>3704</v>
      </c>
      <c r="C3706">
        <v>275</v>
      </c>
      <c r="D3706">
        <v>46</v>
      </c>
      <c r="E3706">
        <v>41</v>
      </c>
      <c r="F3706">
        <v>0</v>
      </c>
      <c r="G3706" t="s">
        <v>2023</v>
      </c>
      <c r="H3706" t="s">
        <v>52</v>
      </c>
      <c r="I3706" t="s">
        <v>2284</v>
      </c>
      <c r="J3706" t="s">
        <v>420</v>
      </c>
      <c r="K3706" t="s">
        <v>2280</v>
      </c>
      <c r="M3706" t="s">
        <v>6</v>
      </c>
    </row>
    <row r="3707" spans="2:13" hidden="1">
      <c r="B3707">
        <v>3705</v>
      </c>
      <c r="C3707">
        <v>275</v>
      </c>
      <c r="D3707">
        <v>46</v>
      </c>
      <c r="E3707">
        <v>42</v>
      </c>
      <c r="F3707">
        <v>0</v>
      </c>
      <c r="G3707" t="s">
        <v>2023</v>
      </c>
      <c r="H3707" t="s">
        <v>52</v>
      </c>
      <c r="I3707" t="s">
        <v>2284</v>
      </c>
      <c r="J3707" t="s">
        <v>55</v>
      </c>
      <c r="K3707" t="s">
        <v>2282</v>
      </c>
      <c r="M3707" t="s">
        <v>6</v>
      </c>
    </row>
    <row r="3708" spans="2:13" hidden="1">
      <c r="B3708">
        <v>3706</v>
      </c>
      <c r="C3708">
        <v>275</v>
      </c>
      <c r="D3708">
        <v>46</v>
      </c>
      <c r="E3708">
        <v>43</v>
      </c>
      <c r="F3708">
        <v>0</v>
      </c>
      <c r="G3708" t="s">
        <v>2023</v>
      </c>
      <c r="H3708" t="s">
        <v>52</v>
      </c>
      <c r="I3708" t="s">
        <v>2284</v>
      </c>
      <c r="J3708" t="s">
        <v>437</v>
      </c>
      <c r="K3708" t="s">
        <v>438</v>
      </c>
      <c r="L3708" t="s">
        <v>439</v>
      </c>
      <c r="M3708" t="s">
        <v>6</v>
      </c>
    </row>
    <row r="3709" spans="2:13" hidden="1">
      <c r="B3709">
        <v>3707</v>
      </c>
      <c r="C3709">
        <v>275</v>
      </c>
      <c r="D3709">
        <v>46</v>
      </c>
      <c r="E3709">
        <v>44</v>
      </c>
      <c r="F3709">
        <v>0</v>
      </c>
      <c r="G3709" t="s">
        <v>2023</v>
      </c>
      <c r="H3709" t="s">
        <v>52</v>
      </c>
      <c r="I3709" t="s">
        <v>2284</v>
      </c>
      <c r="J3709" t="s">
        <v>64</v>
      </c>
      <c r="K3709" t="s">
        <v>440</v>
      </c>
      <c r="M3709" t="s">
        <v>6</v>
      </c>
    </row>
    <row r="3710" spans="2:13" hidden="1">
      <c r="B3710">
        <v>3708</v>
      </c>
      <c r="C3710">
        <v>275</v>
      </c>
      <c r="D3710">
        <v>46</v>
      </c>
      <c r="E3710">
        <v>45</v>
      </c>
      <c r="F3710">
        <v>0</v>
      </c>
      <c r="G3710" t="s">
        <v>2023</v>
      </c>
      <c r="H3710" t="s">
        <v>52</v>
      </c>
      <c r="I3710" t="s">
        <v>2284</v>
      </c>
      <c r="J3710" t="s">
        <v>55</v>
      </c>
      <c r="K3710" t="s">
        <v>442</v>
      </c>
      <c r="M3710" t="s">
        <v>6</v>
      </c>
    </row>
    <row r="3711" spans="2:13" hidden="1">
      <c r="B3711">
        <v>3709</v>
      </c>
      <c r="C3711">
        <v>275</v>
      </c>
      <c r="D3711">
        <v>46</v>
      </c>
      <c r="E3711">
        <v>46</v>
      </c>
      <c r="F3711">
        <v>0</v>
      </c>
      <c r="G3711" t="s">
        <v>2023</v>
      </c>
      <c r="H3711" t="s">
        <v>52</v>
      </c>
      <c r="I3711" t="s">
        <v>2284</v>
      </c>
      <c r="J3711" t="s">
        <v>214</v>
      </c>
      <c r="K3711" t="s">
        <v>443</v>
      </c>
      <c r="M3711" t="s">
        <v>6</v>
      </c>
    </row>
    <row r="3712" spans="2:13" hidden="1">
      <c r="B3712">
        <v>3710</v>
      </c>
      <c r="C3712">
        <v>276</v>
      </c>
      <c r="D3712">
        <v>19</v>
      </c>
      <c r="E3712">
        <v>0</v>
      </c>
      <c r="F3712">
        <v>0</v>
      </c>
      <c r="G3712" t="s">
        <v>13</v>
      </c>
      <c r="H3712" t="s">
        <v>9</v>
      </c>
      <c r="I3712" t="s">
        <v>2288</v>
      </c>
      <c r="J3712" t="s">
        <v>478</v>
      </c>
      <c r="K3712" t="s">
        <v>2288</v>
      </c>
      <c r="M3712" t="s">
        <v>6</v>
      </c>
    </row>
    <row r="3713" spans="2:13" hidden="1">
      <c r="B3713">
        <v>3711</v>
      </c>
      <c r="C3713">
        <v>276</v>
      </c>
      <c r="D3713">
        <v>19</v>
      </c>
      <c r="E3713">
        <v>1</v>
      </c>
      <c r="F3713">
        <v>0</v>
      </c>
      <c r="G3713" t="s">
        <v>13</v>
      </c>
      <c r="H3713" t="s">
        <v>9</v>
      </c>
      <c r="I3713" t="s">
        <v>2288</v>
      </c>
      <c r="J3713" t="s">
        <v>479</v>
      </c>
      <c r="K3713" t="s">
        <v>480</v>
      </c>
      <c r="M3713" t="s">
        <v>6</v>
      </c>
    </row>
    <row r="3714" spans="2:13" hidden="1">
      <c r="B3714">
        <v>3712</v>
      </c>
      <c r="C3714">
        <v>276</v>
      </c>
      <c r="D3714">
        <v>19</v>
      </c>
      <c r="E3714">
        <v>2</v>
      </c>
      <c r="F3714">
        <v>0</v>
      </c>
      <c r="G3714" t="s">
        <v>13</v>
      </c>
      <c r="H3714" t="s">
        <v>9</v>
      </c>
      <c r="I3714" t="s">
        <v>2288</v>
      </c>
      <c r="J3714" t="s">
        <v>55</v>
      </c>
      <c r="K3714" t="s">
        <v>482</v>
      </c>
      <c r="M3714" t="s">
        <v>6</v>
      </c>
    </row>
    <row r="3715" spans="2:13" hidden="1">
      <c r="B3715">
        <v>3713</v>
      </c>
      <c r="C3715">
        <v>276</v>
      </c>
      <c r="D3715">
        <v>19</v>
      </c>
      <c r="E3715">
        <v>3</v>
      </c>
      <c r="F3715">
        <v>0</v>
      </c>
      <c r="G3715" t="s">
        <v>13</v>
      </c>
      <c r="H3715" t="s">
        <v>9</v>
      </c>
      <c r="I3715" t="s">
        <v>2288</v>
      </c>
      <c r="J3715" t="s">
        <v>214</v>
      </c>
      <c r="K3715" t="s">
        <v>2289</v>
      </c>
      <c r="M3715" t="s">
        <v>6</v>
      </c>
    </row>
    <row r="3716" spans="2:13" hidden="1">
      <c r="B3716">
        <v>3714</v>
      </c>
      <c r="C3716">
        <v>276</v>
      </c>
      <c r="D3716">
        <v>19</v>
      </c>
      <c r="E3716">
        <v>4</v>
      </c>
      <c r="F3716">
        <v>0</v>
      </c>
      <c r="G3716" t="s">
        <v>13</v>
      </c>
      <c r="H3716" t="s">
        <v>9</v>
      </c>
      <c r="I3716" t="s">
        <v>2288</v>
      </c>
      <c r="J3716" t="s">
        <v>99</v>
      </c>
      <c r="K3716" t="s">
        <v>484</v>
      </c>
      <c r="L3716" t="s">
        <v>2290</v>
      </c>
      <c r="M3716" t="s">
        <v>6</v>
      </c>
    </row>
    <row r="3717" spans="2:13" hidden="1">
      <c r="B3717">
        <v>3715</v>
      </c>
      <c r="C3717">
        <v>276</v>
      </c>
      <c r="D3717">
        <v>19</v>
      </c>
      <c r="E3717">
        <v>5</v>
      </c>
      <c r="F3717">
        <v>0</v>
      </c>
      <c r="G3717" t="s">
        <v>13</v>
      </c>
      <c r="H3717" t="s">
        <v>9</v>
      </c>
      <c r="I3717" t="s">
        <v>2288</v>
      </c>
      <c r="J3717" t="s">
        <v>64</v>
      </c>
      <c r="K3717" t="s">
        <v>2291</v>
      </c>
      <c r="M3717" t="s">
        <v>6</v>
      </c>
    </row>
    <row r="3718" spans="2:13" hidden="1">
      <c r="B3718">
        <v>3716</v>
      </c>
      <c r="C3718">
        <v>276</v>
      </c>
      <c r="D3718">
        <v>19</v>
      </c>
      <c r="E3718">
        <v>6</v>
      </c>
      <c r="F3718">
        <v>0</v>
      </c>
      <c r="G3718" t="s">
        <v>13</v>
      </c>
      <c r="H3718" t="s">
        <v>9</v>
      </c>
      <c r="I3718" t="s">
        <v>2288</v>
      </c>
      <c r="J3718" t="s">
        <v>479</v>
      </c>
      <c r="K3718" t="s">
        <v>522</v>
      </c>
      <c r="M3718" t="s">
        <v>6</v>
      </c>
    </row>
    <row r="3719" spans="2:13" hidden="1">
      <c r="B3719">
        <v>3717</v>
      </c>
      <c r="C3719">
        <v>276</v>
      </c>
      <c r="D3719">
        <v>19</v>
      </c>
      <c r="E3719">
        <v>7</v>
      </c>
      <c r="F3719">
        <v>0</v>
      </c>
      <c r="G3719" t="s">
        <v>13</v>
      </c>
      <c r="H3719" t="s">
        <v>9</v>
      </c>
      <c r="I3719" t="s">
        <v>2288</v>
      </c>
      <c r="J3719" t="s">
        <v>64</v>
      </c>
      <c r="K3719" t="s">
        <v>2292</v>
      </c>
      <c r="M3719" t="s">
        <v>6</v>
      </c>
    </row>
    <row r="3720" spans="2:13" hidden="1">
      <c r="B3720">
        <v>3718</v>
      </c>
      <c r="C3720">
        <v>276</v>
      </c>
      <c r="D3720">
        <v>19</v>
      </c>
      <c r="E3720">
        <v>8</v>
      </c>
      <c r="F3720">
        <v>0</v>
      </c>
      <c r="G3720" t="s">
        <v>13</v>
      </c>
      <c r="H3720" t="s">
        <v>9</v>
      </c>
      <c r="I3720" t="s">
        <v>2288</v>
      </c>
      <c r="J3720" t="s">
        <v>64</v>
      </c>
      <c r="K3720" t="s">
        <v>528</v>
      </c>
      <c r="M3720" t="s">
        <v>6</v>
      </c>
    </row>
    <row r="3721" spans="2:13" hidden="1">
      <c r="B3721">
        <v>3719</v>
      </c>
      <c r="C3721">
        <v>276</v>
      </c>
      <c r="D3721">
        <v>19</v>
      </c>
      <c r="E3721">
        <v>9</v>
      </c>
      <c r="F3721">
        <v>0</v>
      </c>
      <c r="G3721" t="s">
        <v>13</v>
      </c>
      <c r="H3721" t="s">
        <v>9</v>
      </c>
      <c r="I3721" t="s">
        <v>2288</v>
      </c>
      <c r="J3721" t="s">
        <v>1184</v>
      </c>
      <c r="K3721" t="s">
        <v>539</v>
      </c>
      <c r="M3721" t="s">
        <v>6</v>
      </c>
    </row>
    <row r="3722" spans="2:13" hidden="1">
      <c r="B3722">
        <v>3720</v>
      </c>
      <c r="C3722">
        <v>276</v>
      </c>
      <c r="D3722">
        <v>19</v>
      </c>
      <c r="E3722">
        <v>10</v>
      </c>
      <c r="F3722">
        <v>0</v>
      </c>
      <c r="G3722" t="s">
        <v>13</v>
      </c>
      <c r="H3722" t="s">
        <v>9</v>
      </c>
      <c r="I3722" t="s">
        <v>2288</v>
      </c>
      <c r="J3722" t="s">
        <v>214</v>
      </c>
      <c r="K3722" t="s">
        <v>2293</v>
      </c>
      <c r="M3722" t="s">
        <v>6</v>
      </c>
    </row>
    <row r="3723" spans="2:13" hidden="1">
      <c r="B3723">
        <v>3721</v>
      </c>
      <c r="C3723">
        <v>276</v>
      </c>
      <c r="D3723">
        <v>19</v>
      </c>
      <c r="E3723">
        <v>11</v>
      </c>
      <c r="F3723">
        <v>0</v>
      </c>
      <c r="G3723" t="s">
        <v>13</v>
      </c>
      <c r="H3723" t="s">
        <v>9</v>
      </c>
      <c r="I3723" t="s">
        <v>2288</v>
      </c>
      <c r="J3723" t="s">
        <v>214</v>
      </c>
      <c r="K3723" t="s">
        <v>2294</v>
      </c>
      <c r="M3723" t="s">
        <v>6</v>
      </c>
    </row>
    <row r="3724" spans="2:13" hidden="1">
      <c r="B3724">
        <v>3722</v>
      </c>
      <c r="C3724">
        <v>276</v>
      </c>
      <c r="D3724">
        <v>19</v>
      </c>
      <c r="E3724">
        <v>12</v>
      </c>
      <c r="F3724">
        <v>0</v>
      </c>
      <c r="G3724" t="s">
        <v>13</v>
      </c>
      <c r="H3724" t="s">
        <v>9</v>
      </c>
      <c r="I3724" t="s">
        <v>2288</v>
      </c>
      <c r="J3724" t="s">
        <v>55</v>
      </c>
      <c r="K3724" t="s">
        <v>2295</v>
      </c>
      <c r="M3724" t="s">
        <v>6</v>
      </c>
    </row>
    <row r="3725" spans="2:13" hidden="1">
      <c r="B3725">
        <v>3723</v>
      </c>
      <c r="C3725">
        <v>276</v>
      </c>
      <c r="D3725">
        <v>19</v>
      </c>
      <c r="E3725">
        <v>13</v>
      </c>
      <c r="F3725">
        <v>0</v>
      </c>
      <c r="G3725" t="s">
        <v>13</v>
      </c>
      <c r="H3725" t="s">
        <v>9</v>
      </c>
      <c r="I3725" t="s">
        <v>2288</v>
      </c>
      <c r="J3725" t="s">
        <v>1184</v>
      </c>
      <c r="K3725" t="s">
        <v>2296</v>
      </c>
      <c r="M3725" t="s">
        <v>6</v>
      </c>
    </row>
    <row r="3726" spans="2:13" hidden="1">
      <c r="B3726">
        <v>3724</v>
      </c>
      <c r="C3726">
        <v>276</v>
      </c>
      <c r="D3726">
        <v>19</v>
      </c>
      <c r="E3726">
        <v>14</v>
      </c>
      <c r="F3726">
        <v>0</v>
      </c>
      <c r="G3726" t="s">
        <v>13</v>
      </c>
      <c r="H3726" t="s">
        <v>9</v>
      </c>
      <c r="I3726" t="s">
        <v>2288</v>
      </c>
      <c r="J3726" t="s">
        <v>64</v>
      </c>
      <c r="K3726" t="s">
        <v>2297</v>
      </c>
      <c r="M3726" t="s">
        <v>6</v>
      </c>
    </row>
    <row r="3727" spans="2:13" hidden="1">
      <c r="B3727">
        <v>3725</v>
      </c>
      <c r="C3727">
        <v>276</v>
      </c>
      <c r="D3727">
        <v>19</v>
      </c>
      <c r="E3727">
        <v>15</v>
      </c>
      <c r="F3727">
        <v>0</v>
      </c>
      <c r="G3727" t="s">
        <v>13</v>
      </c>
      <c r="H3727" t="s">
        <v>9</v>
      </c>
      <c r="I3727" t="s">
        <v>2288</v>
      </c>
      <c r="J3727" t="s">
        <v>1184</v>
      </c>
      <c r="K3727" t="s">
        <v>2298</v>
      </c>
      <c r="M3727" t="s">
        <v>6</v>
      </c>
    </row>
    <row r="3728" spans="2:13" hidden="1">
      <c r="B3728">
        <v>3726</v>
      </c>
      <c r="C3728">
        <v>276</v>
      </c>
      <c r="D3728">
        <v>19</v>
      </c>
      <c r="E3728">
        <v>16</v>
      </c>
      <c r="F3728">
        <v>0</v>
      </c>
      <c r="G3728" t="s">
        <v>13</v>
      </c>
      <c r="H3728" t="s">
        <v>9</v>
      </c>
      <c r="I3728" t="s">
        <v>2288</v>
      </c>
      <c r="J3728" t="s">
        <v>214</v>
      </c>
      <c r="K3728" t="s">
        <v>2299</v>
      </c>
      <c r="M3728" t="s">
        <v>6</v>
      </c>
    </row>
    <row r="3729" spans="2:13" hidden="1">
      <c r="B3729">
        <v>3727</v>
      </c>
      <c r="C3729">
        <v>276</v>
      </c>
      <c r="D3729">
        <v>19</v>
      </c>
      <c r="E3729">
        <v>17</v>
      </c>
      <c r="F3729">
        <v>0</v>
      </c>
      <c r="G3729" t="s">
        <v>13</v>
      </c>
      <c r="H3729" t="s">
        <v>9</v>
      </c>
      <c r="I3729" t="s">
        <v>2288</v>
      </c>
      <c r="J3729" t="s">
        <v>214</v>
      </c>
      <c r="K3729" t="s">
        <v>2300</v>
      </c>
      <c r="M3729" t="s">
        <v>6</v>
      </c>
    </row>
    <row r="3730" spans="2:13" hidden="1">
      <c r="B3730">
        <v>3728</v>
      </c>
      <c r="C3730">
        <v>276</v>
      </c>
      <c r="D3730">
        <v>19</v>
      </c>
      <c r="E3730">
        <v>18</v>
      </c>
      <c r="F3730">
        <v>0</v>
      </c>
      <c r="G3730" t="s">
        <v>13</v>
      </c>
      <c r="H3730" t="s">
        <v>9</v>
      </c>
      <c r="I3730" t="s">
        <v>2288</v>
      </c>
      <c r="J3730" t="s">
        <v>55</v>
      </c>
      <c r="K3730" t="s">
        <v>2301</v>
      </c>
      <c r="M3730" t="s">
        <v>6</v>
      </c>
    </row>
    <row r="3731" spans="2:13" hidden="1">
      <c r="B3731">
        <v>3729</v>
      </c>
      <c r="C3731">
        <v>276</v>
      </c>
      <c r="D3731">
        <v>19</v>
      </c>
      <c r="E3731">
        <v>19</v>
      </c>
      <c r="F3731">
        <v>0</v>
      </c>
      <c r="G3731" t="s">
        <v>13</v>
      </c>
      <c r="H3731" t="s">
        <v>9</v>
      </c>
      <c r="I3731" t="s">
        <v>2288</v>
      </c>
      <c r="J3731" t="s">
        <v>64</v>
      </c>
      <c r="K3731" t="s">
        <v>733</v>
      </c>
      <c r="M3731" t="s">
        <v>6</v>
      </c>
    </row>
    <row r="3732" spans="2:13" hidden="1">
      <c r="B3732">
        <v>3730</v>
      </c>
      <c r="C3732">
        <v>277</v>
      </c>
      <c r="D3732">
        <v>8</v>
      </c>
      <c r="E3732">
        <v>0</v>
      </c>
      <c r="F3732">
        <v>0</v>
      </c>
      <c r="G3732" t="s">
        <v>18</v>
      </c>
      <c r="H3732" t="s">
        <v>52</v>
      </c>
      <c r="I3732" t="s">
        <v>2302</v>
      </c>
      <c r="J3732" t="s">
        <v>47</v>
      </c>
      <c r="K3732" t="s">
        <v>2302</v>
      </c>
      <c r="M3732" t="s">
        <v>6</v>
      </c>
    </row>
    <row r="3733" spans="2:13" hidden="1">
      <c r="B3733">
        <v>3731</v>
      </c>
      <c r="C3733">
        <v>277</v>
      </c>
      <c r="D3733">
        <v>8</v>
      </c>
      <c r="E3733">
        <v>1</v>
      </c>
      <c r="F3733">
        <v>0</v>
      </c>
      <c r="G3733" t="s">
        <v>18</v>
      </c>
      <c r="H3733" t="s">
        <v>52</v>
      </c>
      <c r="I3733" t="s">
        <v>2302</v>
      </c>
      <c r="J3733" t="s">
        <v>55</v>
      </c>
      <c r="K3733" t="s">
        <v>429</v>
      </c>
      <c r="M3733" t="s">
        <v>6</v>
      </c>
    </row>
    <row r="3734" spans="2:13" hidden="1">
      <c r="B3734">
        <v>3732</v>
      </c>
      <c r="C3734">
        <v>277</v>
      </c>
      <c r="D3734">
        <v>8</v>
      </c>
      <c r="E3734">
        <v>2</v>
      </c>
      <c r="F3734">
        <v>0</v>
      </c>
      <c r="G3734" t="s">
        <v>18</v>
      </c>
      <c r="H3734" t="s">
        <v>52</v>
      </c>
      <c r="I3734" t="s">
        <v>2302</v>
      </c>
      <c r="J3734" t="s">
        <v>55</v>
      </c>
      <c r="K3734" t="s">
        <v>2303</v>
      </c>
      <c r="M3734" t="s">
        <v>6</v>
      </c>
    </row>
    <row r="3735" spans="2:13" hidden="1">
      <c r="B3735">
        <v>3733</v>
      </c>
      <c r="C3735">
        <v>277</v>
      </c>
      <c r="D3735">
        <v>8</v>
      </c>
      <c r="E3735">
        <v>3</v>
      </c>
      <c r="F3735">
        <v>0</v>
      </c>
      <c r="G3735" t="s">
        <v>18</v>
      </c>
      <c r="H3735" t="s">
        <v>52</v>
      </c>
      <c r="I3735" t="s">
        <v>2302</v>
      </c>
      <c r="J3735" t="s">
        <v>55</v>
      </c>
      <c r="K3735" t="s">
        <v>155</v>
      </c>
      <c r="M3735" t="s">
        <v>6</v>
      </c>
    </row>
    <row r="3736" spans="2:13" hidden="1">
      <c r="B3736">
        <v>3734</v>
      </c>
      <c r="C3736">
        <v>277</v>
      </c>
      <c r="D3736">
        <v>8</v>
      </c>
      <c r="E3736">
        <v>4</v>
      </c>
      <c r="F3736">
        <v>0</v>
      </c>
      <c r="G3736" t="s">
        <v>18</v>
      </c>
      <c r="H3736" t="s">
        <v>52</v>
      </c>
      <c r="I3736" t="s">
        <v>2302</v>
      </c>
      <c r="J3736" t="s">
        <v>55</v>
      </c>
      <c r="K3736" t="s">
        <v>2304</v>
      </c>
      <c r="M3736" t="s">
        <v>6</v>
      </c>
    </row>
    <row r="3737" spans="2:13" hidden="1">
      <c r="B3737">
        <v>3735</v>
      </c>
      <c r="C3737">
        <v>277</v>
      </c>
      <c r="D3737">
        <v>8</v>
      </c>
      <c r="E3737">
        <v>5</v>
      </c>
      <c r="F3737">
        <v>0</v>
      </c>
      <c r="G3737" t="s">
        <v>18</v>
      </c>
      <c r="H3737" t="s">
        <v>52</v>
      </c>
      <c r="I3737" t="s">
        <v>2302</v>
      </c>
      <c r="J3737" t="s">
        <v>55</v>
      </c>
      <c r="K3737" t="s">
        <v>2305</v>
      </c>
      <c r="M3737" t="s">
        <v>6</v>
      </c>
    </row>
    <row r="3738" spans="2:13" hidden="1">
      <c r="B3738">
        <v>3736</v>
      </c>
      <c r="C3738">
        <v>277</v>
      </c>
      <c r="D3738">
        <v>8</v>
      </c>
      <c r="E3738">
        <v>6</v>
      </c>
      <c r="F3738">
        <v>0</v>
      </c>
      <c r="G3738" t="s">
        <v>18</v>
      </c>
      <c r="H3738" t="s">
        <v>52</v>
      </c>
      <c r="I3738" t="s">
        <v>2302</v>
      </c>
      <c r="J3738" t="s">
        <v>64</v>
      </c>
      <c r="K3738" t="s">
        <v>440</v>
      </c>
      <c r="M3738" t="s">
        <v>6</v>
      </c>
    </row>
    <row r="3739" spans="2:13" hidden="1">
      <c r="B3739">
        <v>3737</v>
      </c>
      <c r="C3739">
        <v>277</v>
      </c>
      <c r="D3739">
        <v>8</v>
      </c>
      <c r="E3739">
        <v>7</v>
      </c>
      <c r="F3739">
        <v>0</v>
      </c>
      <c r="G3739" t="s">
        <v>18</v>
      </c>
      <c r="H3739" t="s">
        <v>52</v>
      </c>
      <c r="I3739" t="s">
        <v>2302</v>
      </c>
      <c r="J3739" t="s">
        <v>55</v>
      </c>
      <c r="K3739" t="s">
        <v>442</v>
      </c>
      <c r="M3739" t="s">
        <v>6</v>
      </c>
    </row>
    <row r="3740" spans="2:13" hidden="1">
      <c r="B3740">
        <v>3738</v>
      </c>
      <c r="C3740">
        <v>277</v>
      </c>
      <c r="D3740">
        <v>8</v>
      </c>
      <c r="E3740">
        <v>8</v>
      </c>
      <c r="F3740">
        <v>0</v>
      </c>
      <c r="G3740" t="s">
        <v>18</v>
      </c>
      <c r="H3740" t="s">
        <v>52</v>
      </c>
      <c r="I3740" t="s">
        <v>2302</v>
      </c>
      <c r="J3740" t="s">
        <v>214</v>
      </c>
      <c r="K3740" t="s">
        <v>443</v>
      </c>
      <c r="M3740" t="s">
        <v>6</v>
      </c>
    </row>
    <row r="3741" spans="2:13" hidden="1">
      <c r="B3741">
        <v>3739</v>
      </c>
      <c r="C3741">
        <v>278</v>
      </c>
      <c r="D3741">
        <v>42</v>
      </c>
      <c r="E3741">
        <v>0</v>
      </c>
      <c r="F3741">
        <v>0</v>
      </c>
      <c r="G3741" t="s">
        <v>2023</v>
      </c>
      <c r="H3741" t="s">
        <v>52</v>
      </c>
      <c r="I3741" t="s">
        <v>2306</v>
      </c>
      <c r="J3741" t="s">
        <v>478</v>
      </c>
      <c r="K3741" t="s">
        <v>2306</v>
      </c>
      <c r="L3741" t="s">
        <v>481</v>
      </c>
      <c r="M3741" t="s">
        <v>6</v>
      </c>
    </row>
    <row r="3742" spans="2:13" hidden="1">
      <c r="B3742">
        <v>3740</v>
      </c>
      <c r="C3742">
        <v>278</v>
      </c>
      <c r="D3742">
        <v>42</v>
      </c>
      <c r="E3742">
        <v>1</v>
      </c>
      <c r="F3742">
        <v>0</v>
      </c>
      <c r="G3742" t="s">
        <v>2023</v>
      </c>
      <c r="H3742" t="s">
        <v>52</v>
      </c>
      <c r="I3742" t="s">
        <v>2306</v>
      </c>
      <c r="J3742" t="s">
        <v>55</v>
      </c>
      <c r="K3742" t="s">
        <v>429</v>
      </c>
      <c r="M3742" t="s">
        <v>6</v>
      </c>
    </row>
    <row r="3743" spans="2:13" hidden="1">
      <c r="B3743">
        <v>3741</v>
      </c>
      <c r="C3743">
        <v>278</v>
      </c>
      <c r="D3743">
        <v>42</v>
      </c>
      <c r="E3743">
        <v>2</v>
      </c>
      <c r="F3743">
        <v>0</v>
      </c>
      <c r="G3743" t="s">
        <v>2023</v>
      </c>
      <c r="H3743" t="s">
        <v>52</v>
      </c>
      <c r="I3743" t="s">
        <v>2306</v>
      </c>
      <c r="J3743" t="s">
        <v>55</v>
      </c>
      <c r="K3743" t="s">
        <v>2307</v>
      </c>
      <c r="L3743" t="s">
        <v>2040</v>
      </c>
      <c r="M3743" t="s">
        <v>6</v>
      </c>
    </row>
    <row r="3744" spans="2:13" hidden="1">
      <c r="B3744">
        <v>3742</v>
      </c>
      <c r="C3744">
        <v>278</v>
      </c>
      <c r="D3744">
        <v>42</v>
      </c>
      <c r="E3744">
        <v>3</v>
      </c>
      <c r="F3744">
        <v>0</v>
      </c>
      <c r="G3744" t="s">
        <v>2023</v>
      </c>
      <c r="H3744" t="s">
        <v>52</v>
      </c>
      <c r="I3744" t="s">
        <v>2306</v>
      </c>
      <c r="J3744" t="s">
        <v>55</v>
      </c>
      <c r="K3744" t="s">
        <v>2308</v>
      </c>
      <c r="L3744" t="s">
        <v>2040</v>
      </c>
      <c r="M3744" t="s">
        <v>6</v>
      </c>
    </row>
    <row r="3745" spans="2:13" hidden="1">
      <c r="B3745">
        <v>3743</v>
      </c>
      <c r="C3745">
        <v>278</v>
      </c>
      <c r="D3745">
        <v>42</v>
      </c>
      <c r="E3745">
        <v>4</v>
      </c>
      <c r="F3745">
        <v>0</v>
      </c>
      <c r="G3745" t="s">
        <v>2023</v>
      </c>
      <c r="H3745" t="s">
        <v>52</v>
      </c>
      <c r="I3745" t="s">
        <v>2306</v>
      </c>
      <c r="J3745" t="s">
        <v>55</v>
      </c>
      <c r="K3745" t="s">
        <v>2309</v>
      </c>
      <c r="L3745" t="s">
        <v>2040</v>
      </c>
      <c r="M3745" t="s">
        <v>6</v>
      </c>
    </row>
    <row r="3746" spans="2:13" hidden="1">
      <c r="B3746">
        <v>3744</v>
      </c>
      <c r="C3746">
        <v>278</v>
      </c>
      <c r="D3746">
        <v>42</v>
      </c>
      <c r="E3746">
        <v>5</v>
      </c>
      <c r="F3746">
        <v>0</v>
      </c>
      <c r="G3746" t="s">
        <v>2023</v>
      </c>
      <c r="H3746" t="s">
        <v>52</v>
      </c>
      <c r="I3746" t="s">
        <v>2306</v>
      </c>
      <c r="J3746" t="s">
        <v>55</v>
      </c>
      <c r="K3746" t="s">
        <v>913</v>
      </c>
      <c r="L3746" t="s">
        <v>2040</v>
      </c>
      <c r="M3746" t="s">
        <v>6</v>
      </c>
    </row>
    <row r="3747" spans="2:13" hidden="1">
      <c r="B3747">
        <v>3745</v>
      </c>
      <c r="C3747">
        <v>278</v>
      </c>
      <c r="D3747">
        <v>42</v>
      </c>
      <c r="E3747">
        <v>6</v>
      </c>
      <c r="F3747">
        <v>0</v>
      </c>
      <c r="G3747" t="s">
        <v>2023</v>
      </c>
      <c r="H3747" t="s">
        <v>52</v>
      </c>
      <c r="I3747" t="s">
        <v>2306</v>
      </c>
      <c r="J3747" t="s">
        <v>55</v>
      </c>
      <c r="K3747" t="s">
        <v>915</v>
      </c>
      <c r="L3747" t="s">
        <v>2040</v>
      </c>
      <c r="M3747" t="s">
        <v>6</v>
      </c>
    </row>
    <row r="3748" spans="2:13" hidden="1">
      <c r="B3748">
        <v>3746</v>
      </c>
      <c r="C3748">
        <v>278</v>
      </c>
      <c r="D3748">
        <v>42</v>
      </c>
      <c r="E3748">
        <v>7</v>
      </c>
      <c r="F3748">
        <v>0</v>
      </c>
      <c r="G3748" t="s">
        <v>2023</v>
      </c>
      <c r="H3748" t="s">
        <v>52</v>
      </c>
      <c r="I3748" t="s">
        <v>2306</v>
      </c>
      <c r="J3748" t="s">
        <v>55</v>
      </c>
      <c r="K3748" t="s">
        <v>916</v>
      </c>
      <c r="M3748" t="s">
        <v>6</v>
      </c>
    </row>
    <row r="3749" spans="2:13" hidden="1">
      <c r="B3749">
        <v>3747</v>
      </c>
      <c r="C3749">
        <v>278</v>
      </c>
      <c r="D3749">
        <v>42</v>
      </c>
      <c r="E3749">
        <v>8</v>
      </c>
      <c r="F3749">
        <v>0</v>
      </c>
      <c r="G3749" t="s">
        <v>2023</v>
      </c>
      <c r="H3749" t="s">
        <v>52</v>
      </c>
      <c r="I3749" t="s">
        <v>2306</v>
      </c>
      <c r="J3749" t="s">
        <v>479</v>
      </c>
      <c r="K3749" t="s">
        <v>2310</v>
      </c>
      <c r="M3749" t="s">
        <v>6</v>
      </c>
    </row>
    <row r="3750" spans="2:13" hidden="1">
      <c r="B3750">
        <v>3748</v>
      </c>
      <c r="C3750">
        <v>278</v>
      </c>
      <c r="D3750">
        <v>42</v>
      </c>
      <c r="E3750">
        <v>9</v>
      </c>
      <c r="F3750">
        <v>0</v>
      </c>
      <c r="G3750" t="s">
        <v>2023</v>
      </c>
      <c r="H3750" t="s">
        <v>52</v>
      </c>
      <c r="I3750" t="s">
        <v>2306</v>
      </c>
      <c r="J3750" t="s">
        <v>55</v>
      </c>
      <c r="K3750" t="s">
        <v>429</v>
      </c>
      <c r="M3750" t="s">
        <v>6</v>
      </c>
    </row>
    <row r="3751" spans="2:13" hidden="1">
      <c r="B3751">
        <v>3749</v>
      </c>
      <c r="C3751">
        <v>278</v>
      </c>
      <c r="D3751">
        <v>42</v>
      </c>
      <c r="E3751">
        <v>10</v>
      </c>
      <c r="F3751">
        <v>0</v>
      </c>
      <c r="G3751" t="s">
        <v>2023</v>
      </c>
      <c r="H3751" t="s">
        <v>52</v>
      </c>
      <c r="I3751" t="s">
        <v>2306</v>
      </c>
      <c r="J3751" t="s">
        <v>55</v>
      </c>
      <c r="K3751" t="s">
        <v>430</v>
      </c>
      <c r="M3751" t="s">
        <v>6</v>
      </c>
    </row>
    <row r="3752" spans="2:13" hidden="1">
      <c r="B3752">
        <v>3750</v>
      </c>
      <c r="C3752">
        <v>278</v>
      </c>
      <c r="D3752">
        <v>42</v>
      </c>
      <c r="E3752">
        <v>11</v>
      </c>
      <c r="F3752">
        <v>0</v>
      </c>
      <c r="G3752" t="s">
        <v>2023</v>
      </c>
      <c r="H3752" t="s">
        <v>52</v>
      </c>
      <c r="I3752" t="s">
        <v>2306</v>
      </c>
      <c r="J3752" t="s">
        <v>55</v>
      </c>
      <c r="K3752" t="s">
        <v>2025</v>
      </c>
      <c r="M3752" t="s">
        <v>6</v>
      </c>
    </row>
    <row r="3753" spans="2:13" hidden="1">
      <c r="B3753">
        <v>3751</v>
      </c>
      <c r="C3753">
        <v>278</v>
      </c>
      <c r="D3753">
        <v>42</v>
      </c>
      <c r="E3753">
        <v>12</v>
      </c>
      <c r="F3753">
        <v>0</v>
      </c>
      <c r="G3753" t="s">
        <v>2023</v>
      </c>
      <c r="H3753" t="s">
        <v>52</v>
      </c>
      <c r="I3753" t="s">
        <v>2306</v>
      </c>
      <c r="J3753" t="s">
        <v>55</v>
      </c>
      <c r="K3753" t="s">
        <v>2311</v>
      </c>
      <c r="M3753" t="s">
        <v>6</v>
      </c>
    </row>
    <row r="3754" spans="2:13" hidden="1">
      <c r="B3754">
        <v>3752</v>
      </c>
      <c r="C3754">
        <v>278</v>
      </c>
      <c r="D3754">
        <v>42</v>
      </c>
      <c r="E3754">
        <v>13</v>
      </c>
      <c r="F3754">
        <v>0</v>
      </c>
      <c r="G3754" t="s">
        <v>2023</v>
      </c>
      <c r="H3754" t="s">
        <v>52</v>
      </c>
      <c r="I3754" t="s">
        <v>2306</v>
      </c>
      <c r="J3754" t="s">
        <v>437</v>
      </c>
      <c r="K3754" t="s">
        <v>2312</v>
      </c>
      <c r="M3754" t="s">
        <v>6</v>
      </c>
    </row>
    <row r="3755" spans="2:13" hidden="1">
      <c r="B3755">
        <v>3753</v>
      </c>
      <c r="C3755">
        <v>278</v>
      </c>
      <c r="D3755">
        <v>42</v>
      </c>
      <c r="E3755">
        <v>14</v>
      </c>
      <c r="F3755">
        <v>0</v>
      </c>
      <c r="G3755" t="s">
        <v>2023</v>
      </c>
      <c r="H3755" t="s">
        <v>52</v>
      </c>
      <c r="I3755" t="s">
        <v>2306</v>
      </c>
      <c r="J3755" t="s">
        <v>437</v>
      </c>
      <c r="K3755" t="s">
        <v>2313</v>
      </c>
      <c r="M3755" t="s">
        <v>6</v>
      </c>
    </row>
    <row r="3756" spans="2:13" hidden="1">
      <c r="B3756">
        <v>3754</v>
      </c>
      <c r="C3756">
        <v>278</v>
      </c>
      <c r="D3756">
        <v>42</v>
      </c>
      <c r="E3756">
        <v>15</v>
      </c>
      <c r="F3756">
        <v>0</v>
      </c>
      <c r="G3756" t="s">
        <v>2023</v>
      </c>
      <c r="H3756" t="s">
        <v>52</v>
      </c>
      <c r="I3756" t="s">
        <v>2306</v>
      </c>
      <c r="J3756" t="s">
        <v>437</v>
      </c>
      <c r="K3756" t="s">
        <v>2314</v>
      </c>
      <c r="M3756" t="s">
        <v>6</v>
      </c>
    </row>
    <row r="3757" spans="2:13" hidden="1">
      <c r="B3757">
        <v>3755</v>
      </c>
      <c r="C3757">
        <v>278</v>
      </c>
      <c r="D3757">
        <v>42</v>
      </c>
      <c r="E3757">
        <v>16</v>
      </c>
      <c r="F3757">
        <v>0</v>
      </c>
      <c r="G3757" t="s">
        <v>2023</v>
      </c>
      <c r="H3757" t="s">
        <v>52</v>
      </c>
      <c r="I3757" t="s">
        <v>2306</v>
      </c>
      <c r="J3757" t="s">
        <v>437</v>
      </c>
      <c r="K3757" t="s">
        <v>2315</v>
      </c>
      <c r="M3757" t="s">
        <v>6</v>
      </c>
    </row>
    <row r="3758" spans="2:13" hidden="1">
      <c r="B3758">
        <v>3756</v>
      </c>
      <c r="C3758">
        <v>278</v>
      </c>
      <c r="D3758">
        <v>42</v>
      </c>
      <c r="E3758">
        <v>17</v>
      </c>
      <c r="F3758">
        <v>0</v>
      </c>
      <c r="G3758" t="s">
        <v>2023</v>
      </c>
      <c r="H3758" t="s">
        <v>52</v>
      </c>
      <c r="I3758" t="s">
        <v>2306</v>
      </c>
      <c r="J3758" t="s">
        <v>437</v>
      </c>
      <c r="K3758" t="s">
        <v>2316</v>
      </c>
      <c r="M3758" t="s">
        <v>6</v>
      </c>
    </row>
    <row r="3759" spans="2:13" hidden="1">
      <c r="B3759">
        <v>3757</v>
      </c>
      <c r="C3759">
        <v>278</v>
      </c>
      <c r="D3759">
        <v>42</v>
      </c>
      <c r="E3759">
        <v>18</v>
      </c>
      <c r="F3759">
        <v>0</v>
      </c>
      <c r="G3759" t="s">
        <v>2023</v>
      </c>
      <c r="H3759" t="s">
        <v>52</v>
      </c>
      <c r="I3759" t="s">
        <v>2306</v>
      </c>
      <c r="J3759" t="s">
        <v>55</v>
      </c>
      <c r="K3759" t="s">
        <v>441</v>
      </c>
      <c r="M3759" t="s">
        <v>6</v>
      </c>
    </row>
    <row r="3760" spans="2:13" hidden="1">
      <c r="B3760">
        <v>3758</v>
      </c>
      <c r="C3760">
        <v>278</v>
      </c>
      <c r="D3760">
        <v>42</v>
      </c>
      <c r="E3760">
        <v>19</v>
      </c>
      <c r="F3760">
        <v>0</v>
      </c>
      <c r="G3760" t="s">
        <v>2023</v>
      </c>
      <c r="H3760" t="s">
        <v>52</v>
      </c>
      <c r="I3760" t="s">
        <v>2306</v>
      </c>
      <c r="J3760" t="s">
        <v>437</v>
      </c>
      <c r="K3760" t="s">
        <v>438</v>
      </c>
      <c r="L3760" t="s">
        <v>439</v>
      </c>
      <c r="M3760" t="s">
        <v>6</v>
      </c>
    </row>
    <row r="3761" spans="2:13" hidden="1">
      <c r="B3761">
        <v>3759</v>
      </c>
      <c r="C3761">
        <v>278</v>
      </c>
      <c r="D3761">
        <v>42</v>
      </c>
      <c r="E3761">
        <v>20</v>
      </c>
      <c r="F3761">
        <v>0</v>
      </c>
      <c r="G3761" t="s">
        <v>2023</v>
      </c>
      <c r="H3761" t="s">
        <v>52</v>
      </c>
      <c r="I3761" t="s">
        <v>2306</v>
      </c>
      <c r="J3761" t="s">
        <v>64</v>
      </c>
      <c r="K3761" t="s">
        <v>440</v>
      </c>
      <c r="M3761" t="s">
        <v>6</v>
      </c>
    </row>
    <row r="3762" spans="2:13" hidden="1">
      <c r="B3762">
        <v>3760</v>
      </c>
      <c r="C3762">
        <v>278</v>
      </c>
      <c r="D3762">
        <v>42</v>
      </c>
      <c r="E3762">
        <v>21</v>
      </c>
      <c r="F3762">
        <v>0</v>
      </c>
      <c r="G3762" t="s">
        <v>2023</v>
      </c>
      <c r="H3762" t="s">
        <v>52</v>
      </c>
      <c r="I3762" t="s">
        <v>2306</v>
      </c>
      <c r="J3762" t="s">
        <v>479</v>
      </c>
      <c r="K3762" t="s">
        <v>2317</v>
      </c>
      <c r="M3762" t="s">
        <v>6</v>
      </c>
    </row>
    <row r="3763" spans="2:13" hidden="1">
      <c r="B3763">
        <v>3761</v>
      </c>
      <c r="C3763">
        <v>278</v>
      </c>
      <c r="D3763">
        <v>42</v>
      </c>
      <c r="E3763">
        <v>22</v>
      </c>
      <c r="F3763">
        <v>0</v>
      </c>
      <c r="G3763" t="s">
        <v>2023</v>
      </c>
      <c r="H3763" t="s">
        <v>52</v>
      </c>
      <c r="I3763" t="s">
        <v>2306</v>
      </c>
      <c r="J3763" t="s">
        <v>55</v>
      </c>
      <c r="K3763" t="s">
        <v>429</v>
      </c>
      <c r="M3763" t="s">
        <v>6</v>
      </c>
    </row>
    <row r="3764" spans="2:13" hidden="1">
      <c r="B3764">
        <v>3762</v>
      </c>
      <c r="C3764">
        <v>278</v>
      </c>
      <c r="D3764">
        <v>42</v>
      </c>
      <c r="E3764">
        <v>23</v>
      </c>
      <c r="F3764">
        <v>0</v>
      </c>
      <c r="G3764" t="s">
        <v>2023</v>
      </c>
      <c r="H3764" t="s">
        <v>52</v>
      </c>
      <c r="I3764" t="s">
        <v>2306</v>
      </c>
      <c r="J3764" t="s">
        <v>55</v>
      </c>
      <c r="K3764" t="s">
        <v>430</v>
      </c>
      <c r="M3764" t="s">
        <v>6</v>
      </c>
    </row>
    <row r="3765" spans="2:13" hidden="1">
      <c r="B3765">
        <v>3763</v>
      </c>
      <c r="C3765">
        <v>278</v>
      </c>
      <c r="D3765">
        <v>42</v>
      </c>
      <c r="E3765">
        <v>24</v>
      </c>
      <c r="F3765">
        <v>0</v>
      </c>
      <c r="G3765" t="s">
        <v>2023</v>
      </c>
      <c r="H3765" t="s">
        <v>52</v>
      </c>
      <c r="I3765" t="s">
        <v>2306</v>
      </c>
      <c r="J3765" t="s">
        <v>55</v>
      </c>
      <c r="K3765" t="s">
        <v>2025</v>
      </c>
      <c r="M3765" t="s">
        <v>6</v>
      </c>
    </row>
    <row r="3766" spans="2:13" hidden="1">
      <c r="B3766">
        <v>3764</v>
      </c>
      <c r="C3766">
        <v>278</v>
      </c>
      <c r="D3766">
        <v>42</v>
      </c>
      <c r="E3766">
        <v>25</v>
      </c>
      <c r="F3766">
        <v>0</v>
      </c>
      <c r="G3766" t="s">
        <v>2023</v>
      </c>
      <c r="H3766" t="s">
        <v>52</v>
      </c>
      <c r="I3766" t="s">
        <v>2306</v>
      </c>
      <c r="J3766" t="s">
        <v>55</v>
      </c>
      <c r="K3766" t="s">
        <v>2318</v>
      </c>
      <c r="M3766" t="s">
        <v>6</v>
      </c>
    </row>
    <row r="3767" spans="2:13" hidden="1">
      <c r="B3767">
        <v>3765</v>
      </c>
      <c r="C3767">
        <v>278</v>
      </c>
      <c r="D3767">
        <v>42</v>
      </c>
      <c r="E3767">
        <v>26</v>
      </c>
      <c r="F3767">
        <v>0</v>
      </c>
      <c r="G3767" t="s">
        <v>2023</v>
      </c>
      <c r="H3767" t="s">
        <v>52</v>
      </c>
      <c r="I3767" t="s">
        <v>2306</v>
      </c>
      <c r="J3767" t="s">
        <v>437</v>
      </c>
      <c r="K3767" t="s">
        <v>2319</v>
      </c>
      <c r="M3767" t="s">
        <v>6</v>
      </c>
    </row>
    <row r="3768" spans="2:13" hidden="1">
      <c r="B3768">
        <v>3766</v>
      </c>
      <c r="C3768">
        <v>278</v>
      </c>
      <c r="D3768">
        <v>42</v>
      </c>
      <c r="E3768">
        <v>27</v>
      </c>
      <c r="F3768">
        <v>0</v>
      </c>
      <c r="G3768" t="s">
        <v>2023</v>
      </c>
      <c r="H3768" t="s">
        <v>52</v>
      </c>
      <c r="I3768" t="s">
        <v>2306</v>
      </c>
      <c r="J3768" t="s">
        <v>437</v>
      </c>
      <c r="K3768" t="s">
        <v>2320</v>
      </c>
      <c r="M3768" t="s">
        <v>6</v>
      </c>
    </row>
    <row r="3769" spans="2:13" hidden="1">
      <c r="B3769">
        <v>3767</v>
      </c>
      <c r="C3769">
        <v>278</v>
      </c>
      <c r="D3769">
        <v>42</v>
      </c>
      <c r="E3769">
        <v>28</v>
      </c>
      <c r="F3769">
        <v>0</v>
      </c>
      <c r="G3769" t="s">
        <v>2023</v>
      </c>
      <c r="H3769" t="s">
        <v>52</v>
      </c>
      <c r="I3769" t="s">
        <v>2306</v>
      </c>
      <c r="J3769" t="s">
        <v>437</v>
      </c>
      <c r="K3769" t="s">
        <v>2321</v>
      </c>
      <c r="M3769" t="s">
        <v>6</v>
      </c>
    </row>
    <row r="3770" spans="2:13" hidden="1">
      <c r="B3770">
        <v>3768</v>
      </c>
      <c r="C3770">
        <v>278</v>
      </c>
      <c r="D3770">
        <v>42</v>
      </c>
      <c r="E3770">
        <v>29</v>
      </c>
      <c r="F3770">
        <v>0</v>
      </c>
      <c r="G3770" t="s">
        <v>2023</v>
      </c>
      <c r="H3770" t="s">
        <v>52</v>
      </c>
      <c r="I3770" t="s">
        <v>2306</v>
      </c>
      <c r="J3770" t="s">
        <v>437</v>
      </c>
      <c r="K3770" t="s">
        <v>2322</v>
      </c>
      <c r="M3770" t="s">
        <v>6</v>
      </c>
    </row>
    <row r="3771" spans="2:13" hidden="1">
      <c r="B3771">
        <v>3769</v>
      </c>
      <c r="C3771">
        <v>278</v>
      </c>
      <c r="D3771">
        <v>42</v>
      </c>
      <c r="E3771">
        <v>30</v>
      </c>
      <c r="F3771">
        <v>0</v>
      </c>
      <c r="G3771" t="s">
        <v>2023</v>
      </c>
      <c r="H3771" t="s">
        <v>52</v>
      </c>
      <c r="I3771" t="s">
        <v>2306</v>
      </c>
      <c r="J3771" t="s">
        <v>437</v>
      </c>
      <c r="K3771" t="s">
        <v>2323</v>
      </c>
      <c r="M3771" t="s">
        <v>6</v>
      </c>
    </row>
    <row r="3772" spans="2:13" hidden="1">
      <c r="B3772">
        <v>3770</v>
      </c>
      <c r="C3772">
        <v>278</v>
      </c>
      <c r="D3772">
        <v>42</v>
      </c>
      <c r="E3772">
        <v>31</v>
      </c>
      <c r="F3772">
        <v>0</v>
      </c>
      <c r="G3772" t="s">
        <v>2023</v>
      </c>
      <c r="H3772" t="s">
        <v>52</v>
      </c>
      <c r="I3772" t="s">
        <v>2306</v>
      </c>
      <c r="J3772" t="s">
        <v>437</v>
      </c>
      <c r="K3772" t="s">
        <v>2324</v>
      </c>
      <c r="M3772" t="s">
        <v>6</v>
      </c>
    </row>
    <row r="3773" spans="2:13" hidden="1">
      <c r="B3773">
        <v>3771</v>
      </c>
      <c r="C3773">
        <v>278</v>
      </c>
      <c r="D3773">
        <v>42</v>
      </c>
      <c r="E3773">
        <v>32</v>
      </c>
      <c r="F3773">
        <v>0</v>
      </c>
      <c r="G3773" t="s">
        <v>2023</v>
      </c>
      <c r="H3773" t="s">
        <v>52</v>
      </c>
      <c r="I3773" t="s">
        <v>2306</v>
      </c>
      <c r="J3773" t="s">
        <v>437</v>
      </c>
      <c r="K3773" t="s">
        <v>2325</v>
      </c>
      <c r="M3773" t="s">
        <v>6</v>
      </c>
    </row>
    <row r="3774" spans="2:13" hidden="1">
      <c r="B3774">
        <v>3772</v>
      </c>
      <c r="C3774">
        <v>278</v>
      </c>
      <c r="D3774">
        <v>42</v>
      </c>
      <c r="E3774">
        <v>33</v>
      </c>
      <c r="F3774">
        <v>0</v>
      </c>
      <c r="G3774" t="s">
        <v>2023</v>
      </c>
      <c r="H3774" t="s">
        <v>52</v>
      </c>
      <c r="I3774" t="s">
        <v>2306</v>
      </c>
      <c r="J3774" t="s">
        <v>437</v>
      </c>
      <c r="K3774" t="s">
        <v>2326</v>
      </c>
      <c r="M3774" t="s">
        <v>6</v>
      </c>
    </row>
    <row r="3775" spans="2:13" hidden="1">
      <c r="B3775">
        <v>3773</v>
      </c>
      <c r="C3775">
        <v>278</v>
      </c>
      <c r="D3775">
        <v>42</v>
      </c>
      <c r="E3775">
        <v>34</v>
      </c>
      <c r="F3775">
        <v>0</v>
      </c>
      <c r="G3775" t="s">
        <v>2023</v>
      </c>
      <c r="H3775" t="s">
        <v>52</v>
      </c>
      <c r="I3775" t="s">
        <v>2306</v>
      </c>
      <c r="J3775" t="s">
        <v>437</v>
      </c>
      <c r="K3775" t="s">
        <v>2327</v>
      </c>
      <c r="M3775" t="s">
        <v>6</v>
      </c>
    </row>
    <row r="3776" spans="2:13" hidden="1">
      <c r="B3776">
        <v>3774</v>
      </c>
      <c r="C3776">
        <v>278</v>
      </c>
      <c r="D3776">
        <v>42</v>
      </c>
      <c r="E3776">
        <v>35</v>
      </c>
      <c r="F3776">
        <v>0</v>
      </c>
      <c r="G3776" t="s">
        <v>2023</v>
      </c>
      <c r="H3776" t="s">
        <v>52</v>
      </c>
      <c r="I3776" t="s">
        <v>2306</v>
      </c>
      <c r="J3776" t="s">
        <v>437</v>
      </c>
      <c r="K3776" t="s">
        <v>2328</v>
      </c>
      <c r="M3776" t="s">
        <v>6</v>
      </c>
    </row>
    <row r="3777" spans="2:13" hidden="1">
      <c r="B3777">
        <v>3775</v>
      </c>
      <c r="C3777">
        <v>278</v>
      </c>
      <c r="D3777">
        <v>42</v>
      </c>
      <c r="E3777">
        <v>36</v>
      </c>
      <c r="F3777">
        <v>0</v>
      </c>
      <c r="G3777" t="s">
        <v>2023</v>
      </c>
      <c r="H3777" t="s">
        <v>52</v>
      </c>
      <c r="I3777" t="s">
        <v>2306</v>
      </c>
      <c r="J3777" t="s">
        <v>437</v>
      </c>
      <c r="K3777" t="s">
        <v>2329</v>
      </c>
      <c r="M3777" t="s">
        <v>6</v>
      </c>
    </row>
    <row r="3778" spans="2:13" hidden="1">
      <c r="B3778">
        <v>3776</v>
      </c>
      <c r="C3778">
        <v>278</v>
      </c>
      <c r="D3778">
        <v>42</v>
      </c>
      <c r="E3778">
        <v>37</v>
      </c>
      <c r="F3778">
        <v>0</v>
      </c>
      <c r="G3778" t="s">
        <v>2023</v>
      </c>
      <c r="H3778" t="s">
        <v>52</v>
      </c>
      <c r="I3778" t="s">
        <v>2306</v>
      </c>
      <c r="J3778" t="s">
        <v>437</v>
      </c>
      <c r="K3778" t="s">
        <v>2173</v>
      </c>
      <c r="M3778" t="s">
        <v>6</v>
      </c>
    </row>
    <row r="3779" spans="2:13" hidden="1">
      <c r="B3779">
        <v>3777</v>
      </c>
      <c r="C3779">
        <v>278</v>
      </c>
      <c r="D3779">
        <v>42</v>
      </c>
      <c r="E3779">
        <v>38</v>
      </c>
      <c r="F3779">
        <v>0</v>
      </c>
      <c r="G3779" t="s">
        <v>2023</v>
      </c>
      <c r="H3779" t="s">
        <v>52</v>
      </c>
      <c r="I3779" t="s">
        <v>2306</v>
      </c>
      <c r="J3779" t="s">
        <v>437</v>
      </c>
      <c r="K3779" t="s">
        <v>2174</v>
      </c>
      <c r="M3779" t="s">
        <v>6</v>
      </c>
    </row>
    <row r="3780" spans="2:13" hidden="1">
      <c r="B3780">
        <v>3778</v>
      </c>
      <c r="C3780">
        <v>278</v>
      </c>
      <c r="D3780">
        <v>42</v>
      </c>
      <c r="E3780">
        <v>39</v>
      </c>
      <c r="F3780">
        <v>0</v>
      </c>
      <c r="G3780" t="s">
        <v>2023</v>
      </c>
      <c r="H3780" t="s">
        <v>52</v>
      </c>
      <c r="I3780" t="s">
        <v>2306</v>
      </c>
      <c r="J3780" t="s">
        <v>437</v>
      </c>
      <c r="K3780" t="s">
        <v>2175</v>
      </c>
      <c r="M3780" t="s">
        <v>6</v>
      </c>
    </row>
    <row r="3781" spans="2:13" hidden="1">
      <c r="B3781">
        <v>3779</v>
      </c>
      <c r="C3781">
        <v>278</v>
      </c>
      <c r="D3781">
        <v>42</v>
      </c>
      <c r="E3781">
        <v>40</v>
      </c>
      <c r="F3781">
        <v>0</v>
      </c>
      <c r="G3781" t="s">
        <v>2023</v>
      </c>
      <c r="H3781" t="s">
        <v>52</v>
      </c>
      <c r="I3781" t="s">
        <v>2306</v>
      </c>
      <c r="J3781" t="s">
        <v>55</v>
      </c>
      <c r="K3781" t="s">
        <v>441</v>
      </c>
      <c r="M3781" t="s">
        <v>6</v>
      </c>
    </row>
    <row r="3782" spans="2:13" hidden="1">
      <c r="B3782">
        <v>3780</v>
      </c>
      <c r="C3782">
        <v>278</v>
      </c>
      <c r="D3782">
        <v>42</v>
      </c>
      <c r="E3782">
        <v>41</v>
      </c>
      <c r="F3782">
        <v>0</v>
      </c>
      <c r="G3782" t="s">
        <v>2023</v>
      </c>
      <c r="H3782" t="s">
        <v>52</v>
      </c>
      <c r="I3782" t="s">
        <v>2306</v>
      </c>
      <c r="J3782" t="s">
        <v>437</v>
      </c>
      <c r="K3782" t="s">
        <v>438</v>
      </c>
      <c r="L3782" t="s">
        <v>439</v>
      </c>
      <c r="M3782" t="s">
        <v>6</v>
      </c>
    </row>
    <row r="3783" spans="2:13" hidden="1">
      <c r="B3783">
        <v>3781</v>
      </c>
      <c r="C3783">
        <v>278</v>
      </c>
      <c r="D3783">
        <v>42</v>
      </c>
      <c r="E3783">
        <v>42</v>
      </c>
      <c r="F3783">
        <v>0</v>
      </c>
      <c r="G3783" t="s">
        <v>2023</v>
      </c>
      <c r="H3783" t="s">
        <v>52</v>
      </c>
      <c r="I3783" t="s">
        <v>2306</v>
      </c>
      <c r="J3783" t="s">
        <v>64</v>
      </c>
      <c r="K3783" t="s">
        <v>440</v>
      </c>
      <c r="M3783" t="s">
        <v>6</v>
      </c>
    </row>
    <row r="3784" spans="2:13" hidden="1">
      <c r="B3784">
        <v>3782</v>
      </c>
      <c r="C3784">
        <v>279</v>
      </c>
      <c r="D3784">
        <v>33</v>
      </c>
      <c r="E3784">
        <v>0</v>
      </c>
      <c r="F3784">
        <v>0</v>
      </c>
      <c r="G3784" t="s">
        <v>2023</v>
      </c>
      <c r="H3784" t="s">
        <v>52</v>
      </c>
      <c r="I3784" t="s">
        <v>2330</v>
      </c>
      <c r="J3784" t="s">
        <v>54</v>
      </c>
      <c r="K3784" t="s">
        <v>2330</v>
      </c>
      <c r="M3784" t="s">
        <v>6</v>
      </c>
    </row>
    <row r="3785" spans="2:13" hidden="1">
      <c r="B3785">
        <v>3783</v>
      </c>
      <c r="C3785">
        <v>279</v>
      </c>
      <c r="D3785">
        <v>33</v>
      </c>
      <c r="E3785">
        <v>1</v>
      </c>
      <c r="F3785">
        <v>0</v>
      </c>
      <c r="G3785" t="s">
        <v>2023</v>
      </c>
      <c r="H3785" t="s">
        <v>52</v>
      </c>
      <c r="I3785" t="s">
        <v>2330</v>
      </c>
      <c r="J3785" t="s">
        <v>479</v>
      </c>
      <c r="K3785" t="s">
        <v>2331</v>
      </c>
      <c r="M3785" t="s">
        <v>6</v>
      </c>
    </row>
    <row r="3786" spans="2:13" hidden="1">
      <c r="B3786">
        <v>3784</v>
      </c>
      <c r="C3786">
        <v>279</v>
      </c>
      <c r="D3786">
        <v>33</v>
      </c>
      <c r="E3786">
        <v>2</v>
      </c>
      <c r="F3786">
        <v>0</v>
      </c>
      <c r="G3786" t="s">
        <v>2023</v>
      </c>
      <c r="H3786" t="s">
        <v>52</v>
      </c>
      <c r="I3786" t="s">
        <v>2330</v>
      </c>
      <c r="J3786" t="s">
        <v>55</v>
      </c>
      <c r="K3786" t="s">
        <v>2025</v>
      </c>
      <c r="M3786" t="s">
        <v>6</v>
      </c>
    </row>
    <row r="3787" spans="2:13" hidden="1">
      <c r="B3787">
        <v>3785</v>
      </c>
      <c r="C3787">
        <v>279</v>
      </c>
      <c r="D3787">
        <v>33</v>
      </c>
      <c r="E3787">
        <v>3</v>
      </c>
      <c r="F3787">
        <v>0</v>
      </c>
      <c r="G3787" t="s">
        <v>2023</v>
      </c>
      <c r="H3787" t="s">
        <v>52</v>
      </c>
      <c r="I3787" t="s">
        <v>2330</v>
      </c>
      <c r="J3787" t="s">
        <v>55</v>
      </c>
      <c r="K3787" t="s">
        <v>2332</v>
      </c>
      <c r="M3787" t="s">
        <v>6</v>
      </c>
    </row>
    <row r="3788" spans="2:13" hidden="1">
      <c r="B3788">
        <v>3786</v>
      </c>
      <c r="C3788">
        <v>279</v>
      </c>
      <c r="D3788">
        <v>33</v>
      </c>
      <c r="E3788">
        <v>4</v>
      </c>
      <c r="F3788">
        <v>0</v>
      </c>
      <c r="G3788" t="s">
        <v>2023</v>
      </c>
      <c r="H3788" t="s">
        <v>52</v>
      </c>
      <c r="I3788" t="s">
        <v>2330</v>
      </c>
      <c r="J3788" t="s">
        <v>55</v>
      </c>
      <c r="K3788" t="s">
        <v>2333</v>
      </c>
      <c r="M3788" t="s">
        <v>6</v>
      </c>
    </row>
    <row r="3789" spans="2:13" hidden="1">
      <c r="B3789">
        <v>3787</v>
      </c>
      <c r="C3789">
        <v>279</v>
      </c>
      <c r="D3789">
        <v>33</v>
      </c>
      <c r="E3789">
        <v>5</v>
      </c>
      <c r="F3789">
        <v>0</v>
      </c>
      <c r="G3789" t="s">
        <v>2023</v>
      </c>
      <c r="H3789" t="s">
        <v>52</v>
      </c>
      <c r="I3789" t="s">
        <v>2330</v>
      </c>
      <c r="J3789" t="s">
        <v>55</v>
      </c>
      <c r="K3789" t="s">
        <v>2334</v>
      </c>
      <c r="M3789" t="s">
        <v>6</v>
      </c>
    </row>
    <row r="3790" spans="2:13" hidden="1">
      <c r="B3790">
        <v>3788</v>
      </c>
      <c r="C3790">
        <v>279</v>
      </c>
      <c r="D3790">
        <v>33</v>
      </c>
      <c r="E3790">
        <v>6</v>
      </c>
      <c r="F3790">
        <v>0</v>
      </c>
      <c r="G3790" t="s">
        <v>2023</v>
      </c>
      <c r="H3790" t="s">
        <v>52</v>
      </c>
      <c r="I3790" t="s">
        <v>2330</v>
      </c>
      <c r="J3790" t="s">
        <v>64</v>
      </c>
      <c r="K3790" t="s">
        <v>2335</v>
      </c>
      <c r="M3790" t="s">
        <v>6</v>
      </c>
    </row>
    <row r="3791" spans="2:13" hidden="1">
      <c r="B3791">
        <v>3789</v>
      </c>
      <c r="C3791">
        <v>279</v>
      </c>
      <c r="D3791">
        <v>33</v>
      </c>
      <c r="E3791">
        <v>7</v>
      </c>
      <c r="F3791">
        <v>0</v>
      </c>
      <c r="G3791" t="s">
        <v>2023</v>
      </c>
      <c r="H3791" t="s">
        <v>52</v>
      </c>
      <c r="I3791" t="s">
        <v>2330</v>
      </c>
      <c r="J3791" t="s">
        <v>479</v>
      </c>
      <c r="K3791" t="s">
        <v>2336</v>
      </c>
      <c r="M3791" t="s">
        <v>6</v>
      </c>
    </row>
    <row r="3792" spans="2:13" hidden="1">
      <c r="B3792">
        <v>3790</v>
      </c>
      <c r="C3792">
        <v>279</v>
      </c>
      <c r="D3792">
        <v>33</v>
      </c>
      <c r="E3792">
        <v>8</v>
      </c>
      <c r="F3792">
        <v>0</v>
      </c>
      <c r="G3792" t="s">
        <v>2023</v>
      </c>
      <c r="H3792" t="s">
        <v>52</v>
      </c>
      <c r="I3792" t="s">
        <v>2330</v>
      </c>
      <c r="J3792" t="s">
        <v>55</v>
      </c>
      <c r="K3792" t="s">
        <v>2337</v>
      </c>
      <c r="M3792" t="s">
        <v>6</v>
      </c>
    </row>
    <row r="3793" spans="2:13" hidden="1">
      <c r="B3793">
        <v>3791</v>
      </c>
      <c r="C3793">
        <v>279</v>
      </c>
      <c r="D3793">
        <v>33</v>
      </c>
      <c r="E3793">
        <v>9</v>
      </c>
      <c r="F3793">
        <v>0</v>
      </c>
      <c r="G3793" t="s">
        <v>2023</v>
      </c>
      <c r="H3793" t="s">
        <v>52</v>
      </c>
      <c r="I3793" t="s">
        <v>2330</v>
      </c>
      <c r="J3793" t="s">
        <v>55</v>
      </c>
      <c r="K3793" t="s">
        <v>2338</v>
      </c>
      <c r="M3793" t="s">
        <v>6</v>
      </c>
    </row>
    <row r="3794" spans="2:13" hidden="1">
      <c r="B3794">
        <v>3792</v>
      </c>
      <c r="C3794">
        <v>279</v>
      </c>
      <c r="D3794">
        <v>33</v>
      </c>
      <c r="E3794">
        <v>10</v>
      </c>
      <c r="F3794">
        <v>0</v>
      </c>
      <c r="G3794" t="s">
        <v>2023</v>
      </c>
      <c r="H3794" t="s">
        <v>52</v>
      </c>
      <c r="I3794" t="s">
        <v>2330</v>
      </c>
      <c r="J3794" t="s">
        <v>479</v>
      </c>
      <c r="K3794" t="s">
        <v>2339</v>
      </c>
      <c r="M3794" t="s">
        <v>6</v>
      </c>
    </row>
    <row r="3795" spans="2:13" hidden="1">
      <c r="B3795">
        <v>3793</v>
      </c>
      <c r="C3795">
        <v>279</v>
      </c>
      <c r="D3795">
        <v>33</v>
      </c>
      <c r="E3795">
        <v>11</v>
      </c>
      <c r="F3795">
        <v>0</v>
      </c>
      <c r="G3795" t="s">
        <v>2023</v>
      </c>
      <c r="H3795" t="s">
        <v>52</v>
      </c>
      <c r="I3795" t="s">
        <v>2330</v>
      </c>
      <c r="J3795" t="s">
        <v>55</v>
      </c>
      <c r="K3795" t="s">
        <v>2340</v>
      </c>
      <c r="M3795" t="s">
        <v>6</v>
      </c>
    </row>
    <row r="3796" spans="2:13" hidden="1">
      <c r="B3796">
        <v>3794</v>
      </c>
      <c r="C3796">
        <v>279</v>
      </c>
      <c r="D3796">
        <v>33</v>
      </c>
      <c r="E3796">
        <v>12</v>
      </c>
      <c r="F3796">
        <v>0</v>
      </c>
      <c r="G3796" t="s">
        <v>2023</v>
      </c>
      <c r="H3796" t="s">
        <v>52</v>
      </c>
      <c r="I3796" t="s">
        <v>2330</v>
      </c>
      <c r="J3796" t="s">
        <v>55</v>
      </c>
      <c r="K3796" t="s">
        <v>429</v>
      </c>
      <c r="M3796" t="s">
        <v>6</v>
      </c>
    </row>
    <row r="3797" spans="2:13" hidden="1">
      <c r="B3797">
        <v>3795</v>
      </c>
      <c r="C3797">
        <v>279</v>
      </c>
      <c r="D3797">
        <v>33</v>
      </c>
      <c r="E3797">
        <v>13</v>
      </c>
      <c r="F3797">
        <v>0</v>
      </c>
      <c r="G3797" t="s">
        <v>2023</v>
      </c>
      <c r="H3797" t="s">
        <v>52</v>
      </c>
      <c r="I3797" t="s">
        <v>2330</v>
      </c>
      <c r="J3797" t="s">
        <v>55</v>
      </c>
      <c r="K3797" t="s">
        <v>430</v>
      </c>
      <c r="M3797" t="s">
        <v>6</v>
      </c>
    </row>
    <row r="3798" spans="2:13" hidden="1">
      <c r="B3798">
        <v>3796</v>
      </c>
      <c r="C3798">
        <v>279</v>
      </c>
      <c r="D3798">
        <v>33</v>
      </c>
      <c r="E3798">
        <v>14</v>
      </c>
      <c r="F3798">
        <v>0</v>
      </c>
      <c r="G3798" t="s">
        <v>2023</v>
      </c>
      <c r="H3798" t="s">
        <v>52</v>
      </c>
      <c r="I3798" t="s">
        <v>2330</v>
      </c>
      <c r="J3798" t="s">
        <v>55</v>
      </c>
      <c r="K3798" t="s">
        <v>2341</v>
      </c>
      <c r="M3798" t="s">
        <v>6</v>
      </c>
    </row>
    <row r="3799" spans="2:13" hidden="1">
      <c r="B3799">
        <v>3797</v>
      </c>
      <c r="C3799">
        <v>279</v>
      </c>
      <c r="D3799">
        <v>33</v>
      </c>
      <c r="E3799">
        <v>15</v>
      </c>
      <c r="F3799">
        <v>0</v>
      </c>
      <c r="G3799" t="s">
        <v>2023</v>
      </c>
      <c r="H3799" t="s">
        <v>52</v>
      </c>
      <c r="I3799" t="s">
        <v>2330</v>
      </c>
      <c r="J3799" t="s">
        <v>55</v>
      </c>
      <c r="K3799" t="s">
        <v>2342</v>
      </c>
      <c r="M3799" t="s">
        <v>6</v>
      </c>
    </row>
    <row r="3800" spans="2:13" hidden="1">
      <c r="B3800">
        <v>3798</v>
      </c>
      <c r="C3800">
        <v>279</v>
      </c>
      <c r="D3800">
        <v>33</v>
      </c>
      <c r="E3800">
        <v>16</v>
      </c>
      <c r="F3800">
        <v>0</v>
      </c>
      <c r="G3800" t="s">
        <v>2023</v>
      </c>
      <c r="H3800" t="s">
        <v>52</v>
      </c>
      <c r="I3800" t="s">
        <v>2330</v>
      </c>
      <c r="J3800" t="s">
        <v>55</v>
      </c>
      <c r="K3800" t="s">
        <v>2343</v>
      </c>
      <c r="M3800" t="s">
        <v>6</v>
      </c>
    </row>
    <row r="3801" spans="2:13" hidden="1">
      <c r="B3801">
        <v>3799</v>
      </c>
      <c r="C3801">
        <v>279</v>
      </c>
      <c r="D3801">
        <v>33</v>
      </c>
      <c r="E3801">
        <v>17</v>
      </c>
      <c r="F3801">
        <v>0</v>
      </c>
      <c r="G3801" t="s">
        <v>2023</v>
      </c>
      <c r="H3801" t="s">
        <v>52</v>
      </c>
      <c r="I3801" t="s">
        <v>2330</v>
      </c>
      <c r="J3801" t="s">
        <v>55</v>
      </c>
      <c r="K3801" t="s">
        <v>2344</v>
      </c>
      <c r="M3801" t="s">
        <v>6</v>
      </c>
    </row>
    <row r="3802" spans="2:13" hidden="1">
      <c r="B3802">
        <v>3800</v>
      </c>
      <c r="C3802">
        <v>279</v>
      </c>
      <c r="D3802">
        <v>33</v>
      </c>
      <c r="E3802">
        <v>18</v>
      </c>
      <c r="F3802">
        <v>0</v>
      </c>
      <c r="G3802" t="s">
        <v>2023</v>
      </c>
      <c r="H3802" t="s">
        <v>52</v>
      </c>
      <c r="I3802" t="s">
        <v>2330</v>
      </c>
      <c r="J3802" t="s">
        <v>55</v>
      </c>
      <c r="K3802" t="s">
        <v>2345</v>
      </c>
      <c r="M3802" t="s">
        <v>6</v>
      </c>
    </row>
    <row r="3803" spans="2:13" hidden="1">
      <c r="B3803">
        <v>3801</v>
      </c>
      <c r="C3803">
        <v>279</v>
      </c>
      <c r="D3803">
        <v>33</v>
      </c>
      <c r="E3803">
        <v>19</v>
      </c>
      <c r="F3803">
        <v>0</v>
      </c>
      <c r="G3803" t="s">
        <v>2023</v>
      </c>
      <c r="H3803" t="s">
        <v>52</v>
      </c>
      <c r="I3803" t="s">
        <v>2330</v>
      </c>
      <c r="J3803" t="s">
        <v>55</v>
      </c>
      <c r="K3803" t="s">
        <v>2346</v>
      </c>
      <c r="M3803" t="s">
        <v>6</v>
      </c>
    </row>
    <row r="3804" spans="2:13" hidden="1">
      <c r="B3804">
        <v>3802</v>
      </c>
      <c r="C3804">
        <v>279</v>
      </c>
      <c r="D3804">
        <v>33</v>
      </c>
      <c r="E3804">
        <v>20</v>
      </c>
      <c r="F3804">
        <v>0</v>
      </c>
      <c r="G3804" t="s">
        <v>2023</v>
      </c>
      <c r="H3804" t="s">
        <v>52</v>
      </c>
      <c r="I3804" t="s">
        <v>2330</v>
      </c>
      <c r="J3804" t="s">
        <v>55</v>
      </c>
      <c r="K3804" t="s">
        <v>436</v>
      </c>
      <c r="M3804" t="s">
        <v>6</v>
      </c>
    </row>
    <row r="3805" spans="2:13" hidden="1">
      <c r="B3805">
        <v>3803</v>
      </c>
      <c r="C3805">
        <v>279</v>
      </c>
      <c r="D3805">
        <v>33</v>
      </c>
      <c r="E3805">
        <v>21</v>
      </c>
      <c r="F3805">
        <v>0</v>
      </c>
      <c r="G3805" t="s">
        <v>2023</v>
      </c>
      <c r="H3805" t="s">
        <v>52</v>
      </c>
      <c r="I3805" t="s">
        <v>2330</v>
      </c>
      <c r="J3805" t="s">
        <v>437</v>
      </c>
      <c r="K3805" t="s">
        <v>438</v>
      </c>
      <c r="L3805" t="s">
        <v>439</v>
      </c>
      <c r="M3805" t="s">
        <v>6</v>
      </c>
    </row>
    <row r="3806" spans="2:13" hidden="1">
      <c r="B3806">
        <v>3804</v>
      </c>
      <c r="C3806">
        <v>279</v>
      </c>
      <c r="D3806">
        <v>33</v>
      </c>
      <c r="E3806">
        <v>22</v>
      </c>
      <c r="F3806">
        <v>0</v>
      </c>
      <c r="G3806" t="s">
        <v>2023</v>
      </c>
      <c r="H3806" t="s">
        <v>52</v>
      </c>
      <c r="I3806" t="s">
        <v>2330</v>
      </c>
      <c r="J3806" t="s">
        <v>64</v>
      </c>
      <c r="K3806" t="s">
        <v>440</v>
      </c>
      <c r="M3806" t="s">
        <v>6</v>
      </c>
    </row>
    <row r="3807" spans="2:13" hidden="1">
      <c r="B3807">
        <v>3805</v>
      </c>
      <c r="C3807">
        <v>279</v>
      </c>
      <c r="D3807">
        <v>33</v>
      </c>
      <c r="E3807">
        <v>23</v>
      </c>
      <c r="F3807">
        <v>0</v>
      </c>
      <c r="G3807" t="s">
        <v>2023</v>
      </c>
      <c r="H3807" t="s">
        <v>52</v>
      </c>
      <c r="I3807" t="s">
        <v>2330</v>
      </c>
      <c r="J3807" t="s">
        <v>55</v>
      </c>
      <c r="K3807" t="s">
        <v>442</v>
      </c>
      <c r="M3807" t="s">
        <v>6</v>
      </c>
    </row>
    <row r="3808" spans="2:13" hidden="1">
      <c r="B3808">
        <v>3806</v>
      </c>
      <c r="C3808">
        <v>279</v>
      </c>
      <c r="D3808">
        <v>33</v>
      </c>
      <c r="E3808">
        <v>24</v>
      </c>
      <c r="F3808">
        <v>0</v>
      </c>
      <c r="G3808" t="s">
        <v>2023</v>
      </c>
      <c r="H3808" t="s">
        <v>52</v>
      </c>
      <c r="I3808" t="s">
        <v>2330</v>
      </c>
      <c r="J3808" t="s">
        <v>214</v>
      </c>
      <c r="K3808" t="s">
        <v>443</v>
      </c>
      <c r="M3808" t="s">
        <v>6</v>
      </c>
    </row>
    <row r="3809" spans="2:13" hidden="1">
      <c r="B3809">
        <v>3807</v>
      </c>
      <c r="C3809">
        <v>279</v>
      </c>
      <c r="D3809">
        <v>33</v>
      </c>
      <c r="E3809">
        <v>25</v>
      </c>
      <c r="F3809">
        <v>0</v>
      </c>
      <c r="G3809" t="s">
        <v>2023</v>
      </c>
      <c r="H3809" t="s">
        <v>52</v>
      </c>
      <c r="I3809" t="s">
        <v>2330</v>
      </c>
      <c r="J3809" t="s">
        <v>479</v>
      </c>
      <c r="K3809" t="s">
        <v>2347</v>
      </c>
      <c r="M3809" t="s">
        <v>6</v>
      </c>
    </row>
    <row r="3810" spans="2:13" hidden="1">
      <c r="B3810">
        <v>3808</v>
      </c>
      <c r="C3810">
        <v>279</v>
      </c>
      <c r="D3810">
        <v>33</v>
      </c>
      <c r="E3810">
        <v>26</v>
      </c>
      <c r="F3810">
        <v>0</v>
      </c>
      <c r="G3810" t="s">
        <v>2023</v>
      </c>
      <c r="H3810" t="s">
        <v>52</v>
      </c>
      <c r="I3810" t="s">
        <v>2330</v>
      </c>
      <c r="J3810" t="s">
        <v>55</v>
      </c>
      <c r="K3810" t="s">
        <v>2348</v>
      </c>
      <c r="M3810" t="s">
        <v>6</v>
      </c>
    </row>
    <row r="3811" spans="2:13" hidden="1">
      <c r="B3811">
        <v>3809</v>
      </c>
      <c r="C3811">
        <v>279</v>
      </c>
      <c r="D3811">
        <v>33</v>
      </c>
      <c r="E3811">
        <v>27</v>
      </c>
      <c r="F3811">
        <v>0</v>
      </c>
      <c r="G3811" t="s">
        <v>2023</v>
      </c>
      <c r="H3811" t="s">
        <v>52</v>
      </c>
      <c r="I3811" t="s">
        <v>2330</v>
      </c>
      <c r="J3811" t="s">
        <v>55</v>
      </c>
      <c r="K3811" t="s">
        <v>2349</v>
      </c>
      <c r="M3811" t="s">
        <v>6</v>
      </c>
    </row>
    <row r="3812" spans="2:13" hidden="1">
      <c r="B3812">
        <v>3810</v>
      </c>
      <c r="C3812">
        <v>279</v>
      </c>
      <c r="D3812">
        <v>33</v>
      </c>
      <c r="E3812">
        <v>28</v>
      </c>
      <c r="F3812">
        <v>0</v>
      </c>
      <c r="G3812" t="s">
        <v>2023</v>
      </c>
      <c r="H3812" t="s">
        <v>52</v>
      </c>
      <c r="I3812" t="s">
        <v>2330</v>
      </c>
      <c r="J3812" t="s">
        <v>55</v>
      </c>
      <c r="K3812" t="s">
        <v>2350</v>
      </c>
      <c r="M3812" t="s">
        <v>6</v>
      </c>
    </row>
    <row r="3813" spans="2:13" hidden="1">
      <c r="B3813">
        <v>3811</v>
      </c>
      <c r="C3813">
        <v>279</v>
      </c>
      <c r="D3813">
        <v>33</v>
      </c>
      <c r="E3813">
        <v>29</v>
      </c>
      <c r="F3813">
        <v>0</v>
      </c>
      <c r="G3813" t="s">
        <v>2023</v>
      </c>
      <c r="H3813" t="s">
        <v>52</v>
      </c>
      <c r="I3813" t="s">
        <v>2330</v>
      </c>
      <c r="J3813" t="s">
        <v>437</v>
      </c>
      <c r="K3813" t="s">
        <v>438</v>
      </c>
      <c r="L3813" t="s">
        <v>439</v>
      </c>
      <c r="M3813" t="s">
        <v>6</v>
      </c>
    </row>
    <row r="3814" spans="2:13" hidden="1">
      <c r="B3814">
        <v>3812</v>
      </c>
      <c r="C3814">
        <v>279</v>
      </c>
      <c r="D3814">
        <v>33</v>
      </c>
      <c r="E3814">
        <v>30</v>
      </c>
      <c r="F3814">
        <v>0</v>
      </c>
      <c r="G3814" t="s">
        <v>2023</v>
      </c>
      <c r="H3814" t="s">
        <v>52</v>
      </c>
      <c r="I3814" t="s">
        <v>2330</v>
      </c>
      <c r="J3814" t="s">
        <v>64</v>
      </c>
      <c r="K3814" t="s">
        <v>440</v>
      </c>
      <c r="M3814" t="s">
        <v>6</v>
      </c>
    </row>
    <row r="3815" spans="2:13" hidden="1">
      <c r="B3815">
        <v>3813</v>
      </c>
      <c r="C3815">
        <v>279</v>
      </c>
      <c r="D3815">
        <v>33</v>
      </c>
      <c r="E3815">
        <v>31</v>
      </c>
      <c r="F3815">
        <v>0</v>
      </c>
      <c r="G3815" t="s">
        <v>2023</v>
      </c>
      <c r="H3815" t="s">
        <v>52</v>
      </c>
      <c r="I3815" t="s">
        <v>2330</v>
      </c>
      <c r="J3815" t="s">
        <v>55</v>
      </c>
      <c r="K3815" t="s">
        <v>442</v>
      </c>
      <c r="M3815" t="s">
        <v>6</v>
      </c>
    </row>
    <row r="3816" spans="2:13" hidden="1">
      <c r="B3816">
        <v>3814</v>
      </c>
      <c r="C3816">
        <v>279</v>
      </c>
      <c r="D3816">
        <v>33</v>
      </c>
      <c r="E3816">
        <v>32</v>
      </c>
      <c r="F3816">
        <v>0</v>
      </c>
      <c r="G3816" t="s">
        <v>2023</v>
      </c>
      <c r="H3816" t="s">
        <v>52</v>
      </c>
      <c r="I3816" t="s">
        <v>2330</v>
      </c>
      <c r="J3816" t="s">
        <v>214</v>
      </c>
      <c r="K3816" t="s">
        <v>443</v>
      </c>
      <c r="M3816" t="s">
        <v>6</v>
      </c>
    </row>
    <row r="3817" spans="2:13" hidden="1">
      <c r="B3817">
        <v>3815</v>
      </c>
      <c r="C3817">
        <v>279</v>
      </c>
      <c r="D3817">
        <v>33</v>
      </c>
      <c r="E3817">
        <v>33</v>
      </c>
      <c r="F3817">
        <v>0</v>
      </c>
      <c r="G3817" t="s">
        <v>2023</v>
      </c>
      <c r="H3817" t="s">
        <v>52</v>
      </c>
      <c r="I3817" t="s">
        <v>2330</v>
      </c>
      <c r="J3817" t="s">
        <v>64</v>
      </c>
      <c r="K3817" t="s">
        <v>2351</v>
      </c>
      <c r="M3817" t="s">
        <v>6</v>
      </c>
    </row>
    <row r="3818" spans="2:13" hidden="1">
      <c r="B3818">
        <v>3816</v>
      </c>
      <c r="C3818">
        <v>280</v>
      </c>
      <c r="D3818">
        <v>7</v>
      </c>
      <c r="E3818">
        <v>0</v>
      </c>
      <c r="F3818">
        <v>0</v>
      </c>
      <c r="G3818" t="s">
        <v>2023</v>
      </c>
      <c r="H3818" t="s">
        <v>52</v>
      </c>
      <c r="I3818" t="s">
        <v>2352</v>
      </c>
      <c r="J3818" t="s">
        <v>478</v>
      </c>
      <c r="K3818" t="s">
        <v>2352</v>
      </c>
      <c r="M3818" t="s">
        <v>6</v>
      </c>
    </row>
    <row r="3819" spans="2:13" hidden="1">
      <c r="B3819">
        <v>3817</v>
      </c>
      <c r="C3819">
        <v>280</v>
      </c>
      <c r="D3819">
        <v>7</v>
      </c>
      <c r="E3819">
        <v>1</v>
      </c>
      <c r="F3819">
        <v>0</v>
      </c>
      <c r="G3819" t="s">
        <v>2023</v>
      </c>
      <c r="H3819" t="s">
        <v>52</v>
      </c>
      <c r="I3819" t="s">
        <v>2352</v>
      </c>
      <c r="J3819" t="s">
        <v>437</v>
      </c>
      <c r="K3819" t="s">
        <v>2353</v>
      </c>
      <c r="L3819" t="s">
        <v>2354</v>
      </c>
      <c r="M3819" t="s">
        <v>6</v>
      </c>
    </row>
    <row r="3820" spans="2:13" hidden="1">
      <c r="B3820">
        <v>3818</v>
      </c>
      <c r="C3820">
        <v>280</v>
      </c>
      <c r="D3820">
        <v>7</v>
      </c>
      <c r="E3820">
        <v>2</v>
      </c>
      <c r="F3820">
        <v>0</v>
      </c>
      <c r="G3820" t="s">
        <v>2023</v>
      </c>
      <c r="H3820" t="s">
        <v>52</v>
      </c>
      <c r="I3820" t="s">
        <v>2352</v>
      </c>
      <c r="J3820" t="s">
        <v>437</v>
      </c>
      <c r="K3820" t="s">
        <v>2355</v>
      </c>
      <c r="L3820" t="s">
        <v>2356</v>
      </c>
      <c r="M3820" t="s">
        <v>6</v>
      </c>
    </row>
    <row r="3821" spans="2:13" hidden="1">
      <c r="B3821">
        <v>3819</v>
      </c>
      <c r="C3821">
        <v>280</v>
      </c>
      <c r="D3821">
        <v>7</v>
      </c>
      <c r="E3821">
        <v>3</v>
      </c>
      <c r="F3821">
        <v>0</v>
      </c>
      <c r="G3821" t="s">
        <v>2023</v>
      </c>
      <c r="H3821" t="s">
        <v>52</v>
      </c>
      <c r="I3821" t="s">
        <v>2352</v>
      </c>
      <c r="J3821" t="s">
        <v>55</v>
      </c>
      <c r="K3821" t="s">
        <v>2357</v>
      </c>
      <c r="M3821" t="s">
        <v>6</v>
      </c>
    </row>
    <row r="3822" spans="2:13" hidden="1">
      <c r="B3822">
        <v>3820</v>
      </c>
      <c r="C3822">
        <v>280</v>
      </c>
      <c r="D3822">
        <v>7</v>
      </c>
      <c r="E3822">
        <v>4</v>
      </c>
      <c r="F3822">
        <v>0</v>
      </c>
      <c r="G3822" t="s">
        <v>2023</v>
      </c>
      <c r="H3822" t="s">
        <v>52</v>
      </c>
      <c r="I3822" t="s">
        <v>2352</v>
      </c>
      <c r="J3822" t="s">
        <v>214</v>
      </c>
      <c r="K3822" t="s">
        <v>2358</v>
      </c>
      <c r="M3822" t="s">
        <v>6</v>
      </c>
    </row>
    <row r="3823" spans="2:13" hidden="1">
      <c r="B3823">
        <v>3821</v>
      </c>
      <c r="C3823">
        <v>280</v>
      </c>
      <c r="D3823">
        <v>7</v>
      </c>
      <c r="E3823">
        <v>5</v>
      </c>
      <c r="F3823">
        <v>0</v>
      </c>
      <c r="G3823" t="s">
        <v>2023</v>
      </c>
      <c r="H3823" t="s">
        <v>52</v>
      </c>
      <c r="I3823" t="s">
        <v>2352</v>
      </c>
      <c r="J3823" t="s">
        <v>214</v>
      </c>
      <c r="K3823" t="s">
        <v>2359</v>
      </c>
      <c r="M3823" t="s">
        <v>6</v>
      </c>
    </row>
    <row r="3824" spans="2:13" hidden="1">
      <c r="B3824">
        <v>3822</v>
      </c>
      <c r="C3824">
        <v>280</v>
      </c>
      <c r="D3824">
        <v>7</v>
      </c>
      <c r="E3824">
        <v>6</v>
      </c>
      <c r="F3824">
        <v>0</v>
      </c>
      <c r="G3824" t="s">
        <v>2023</v>
      </c>
      <c r="H3824" t="s">
        <v>52</v>
      </c>
      <c r="I3824" t="s">
        <v>2352</v>
      </c>
      <c r="J3824" t="s">
        <v>214</v>
      </c>
      <c r="K3824" t="s">
        <v>2360</v>
      </c>
      <c r="M3824" t="s">
        <v>6</v>
      </c>
    </row>
    <row r="3825" spans="2:13" hidden="1">
      <c r="B3825">
        <v>3823</v>
      </c>
      <c r="C3825">
        <v>280</v>
      </c>
      <c r="D3825">
        <v>7</v>
      </c>
      <c r="E3825">
        <v>7</v>
      </c>
      <c r="F3825">
        <v>0</v>
      </c>
      <c r="G3825" t="s">
        <v>2023</v>
      </c>
      <c r="H3825" t="s">
        <v>52</v>
      </c>
      <c r="I3825" t="s">
        <v>2352</v>
      </c>
      <c r="J3825" t="s">
        <v>55</v>
      </c>
      <c r="K3825" t="s">
        <v>2361</v>
      </c>
      <c r="M3825" t="s">
        <v>6</v>
      </c>
    </row>
    <row r="3826" spans="2:13" hidden="1">
      <c r="B3826">
        <v>3824</v>
      </c>
      <c r="C3826">
        <v>281</v>
      </c>
      <c r="D3826">
        <v>27</v>
      </c>
      <c r="E3826">
        <v>0</v>
      </c>
      <c r="F3826">
        <v>0</v>
      </c>
      <c r="G3826" t="s">
        <v>2023</v>
      </c>
      <c r="H3826" t="s">
        <v>52</v>
      </c>
      <c r="I3826" t="s">
        <v>2362</v>
      </c>
      <c r="J3826" t="s">
        <v>478</v>
      </c>
      <c r="K3826" t="s">
        <v>2362</v>
      </c>
      <c r="L3826" t="s">
        <v>481</v>
      </c>
      <c r="M3826" t="s">
        <v>6</v>
      </c>
    </row>
    <row r="3827" spans="2:13" hidden="1">
      <c r="B3827">
        <v>3825</v>
      </c>
      <c r="C3827">
        <v>281</v>
      </c>
      <c r="D3827">
        <v>27</v>
      </c>
      <c r="E3827">
        <v>1</v>
      </c>
      <c r="F3827">
        <v>0</v>
      </c>
      <c r="G3827" t="s">
        <v>2023</v>
      </c>
      <c r="H3827" t="s">
        <v>52</v>
      </c>
      <c r="I3827" t="s">
        <v>2362</v>
      </c>
      <c r="J3827" t="s">
        <v>55</v>
      </c>
      <c r="K3827" t="s">
        <v>429</v>
      </c>
      <c r="L3827" t="s">
        <v>481</v>
      </c>
      <c r="M3827" t="s">
        <v>6</v>
      </c>
    </row>
    <row r="3828" spans="2:13" hidden="1">
      <c r="B3828">
        <v>3826</v>
      </c>
      <c r="C3828">
        <v>281</v>
      </c>
      <c r="D3828">
        <v>27</v>
      </c>
      <c r="E3828">
        <v>2</v>
      </c>
      <c r="F3828">
        <v>0</v>
      </c>
      <c r="G3828" t="s">
        <v>2023</v>
      </c>
      <c r="H3828" t="s">
        <v>52</v>
      </c>
      <c r="I3828" t="s">
        <v>2362</v>
      </c>
      <c r="J3828" t="s">
        <v>55</v>
      </c>
      <c r="K3828" t="s">
        <v>430</v>
      </c>
      <c r="L3828" t="s">
        <v>481</v>
      </c>
      <c r="M3828" t="s">
        <v>6</v>
      </c>
    </row>
    <row r="3829" spans="2:13" hidden="1">
      <c r="B3829">
        <v>3827</v>
      </c>
      <c r="C3829">
        <v>281</v>
      </c>
      <c r="D3829">
        <v>27</v>
      </c>
      <c r="E3829">
        <v>3</v>
      </c>
      <c r="F3829">
        <v>0</v>
      </c>
      <c r="G3829" t="s">
        <v>2023</v>
      </c>
      <c r="H3829" t="s">
        <v>52</v>
      </c>
      <c r="I3829" t="s">
        <v>2362</v>
      </c>
      <c r="J3829" t="s">
        <v>55</v>
      </c>
      <c r="K3829" t="s">
        <v>2176</v>
      </c>
      <c r="M3829" t="s">
        <v>6</v>
      </c>
    </row>
    <row r="3830" spans="2:13" hidden="1">
      <c r="B3830">
        <v>3828</v>
      </c>
      <c r="C3830">
        <v>281</v>
      </c>
      <c r="D3830">
        <v>27</v>
      </c>
      <c r="E3830">
        <v>4</v>
      </c>
      <c r="F3830">
        <v>0</v>
      </c>
      <c r="G3830" t="s">
        <v>2023</v>
      </c>
      <c r="H3830" t="s">
        <v>52</v>
      </c>
      <c r="I3830" t="s">
        <v>2362</v>
      </c>
      <c r="J3830" t="s">
        <v>437</v>
      </c>
      <c r="K3830" t="s">
        <v>438</v>
      </c>
      <c r="L3830" t="s">
        <v>439</v>
      </c>
      <c r="M3830" t="s">
        <v>6</v>
      </c>
    </row>
    <row r="3831" spans="2:13" hidden="1">
      <c r="B3831">
        <v>3829</v>
      </c>
      <c r="C3831">
        <v>281</v>
      </c>
      <c r="D3831">
        <v>27</v>
      </c>
      <c r="E3831">
        <v>5</v>
      </c>
      <c r="F3831">
        <v>0</v>
      </c>
      <c r="G3831" t="s">
        <v>2023</v>
      </c>
      <c r="H3831" t="s">
        <v>52</v>
      </c>
      <c r="I3831" t="s">
        <v>2362</v>
      </c>
      <c r="J3831" t="s">
        <v>55</v>
      </c>
      <c r="K3831" t="s">
        <v>2177</v>
      </c>
      <c r="M3831" t="s">
        <v>6</v>
      </c>
    </row>
    <row r="3832" spans="2:13" hidden="1">
      <c r="B3832">
        <v>3830</v>
      </c>
      <c r="C3832">
        <v>281</v>
      </c>
      <c r="D3832">
        <v>27</v>
      </c>
      <c r="E3832">
        <v>6</v>
      </c>
      <c r="F3832">
        <v>0</v>
      </c>
      <c r="G3832" t="s">
        <v>2023</v>
      </c>
      <c r="H3832" t="s">
        <v>52</v>
      </c>
      <c r="I3832" t="s">
        <v>2362</v>
      </c>
      <c r="J3832" t="s">
        <v>437</v>
      </c>
      <c r="K3832" t="s">
        <v>438</v>
      </c>
      <c r="L3832" t="s">
        <v>439</v>
      </c>
      <c r="M3832" t="s">
        <v>6</v>
      </c>
    </row>
    <row r="3833" spans="2:13" hidden="1">
      <c r="B3833">
        <v>3831</v>
      </c>
      <c r="C3833">
        <v>281</v>
      </c>
      <c r="D3833">
        <v>27</v>
      </c>
      <c r="E3833">
        <v>7</v>
      </c>
      <c r="F3833">
        <v>0</v>
      </c>
      <c r="G3833" t="s">
        <v>2023</v>
      </c>
      <c r="H3833" t="s">
        <v>52</v>
      </c>
      <c r="I3833" t="s">
        <v>2362</v>
      </c>
      <c r="J3833" t="s">
        <v>55</v>
      </c>
      <c r="K3833" t="s">
        <v>2178</v>
      </c>
      <c r="M3833" t="s">
        <v>6</v>
      </c>
    </row>
    <row r="3834" spans="2:13" hidden="1">
      <c r="B3834">
        <v>3832</v>
      </c>
      <c r="C3834">
        <v>281</v>
      </c>
      <c r="D3834">
        <v>27</v>
      </c>
      <c r="E3834">
        <v>8</v>
      </c>
      <c r="F3834">
        <v>0</v>
      </c>
      <c r="G3834" t="s">
        <v>2023</v>
      </c>
      <c r="H3834" t="s">
        <v>52</v>
      </c>
      <c r="I3834" t="s">
        <v>2362</v>
      </c>
      <c r="J3834" t="s">
        <v>437</v>
      </c>
      <c r="K3834" t="s">
        <v>438</v>
      </c>
      <c r="L3834" t="s">
        <v>439</v>
      </c>
      <c r="M3834" t="s">
        <v>6</v>
      </c>
    </row>
    <row r="3835" spans="2:13" hidden="1">
      <c r="B3835">
        <v>3833</v>
      </c>
      <c r="C3835">
        <v>281</v>
      </c>
      <c r="D3835">
        <v>27</v>
      </c>
      <c r="E3835">
        <v>9</v>
      </c>
      <c r="F3835">
        <v>0</v>
      </c>
      <c r="G3835" t="s">
        <v>2023</v>
      </c>
      <c r="H3835" t="s">
        <v>52</v>
      </c>
      <c r="I3835" t="s">
        <v>2362</v>
      </c>
      <c r="J3835" t="s">
        <v>64</v>
      </c>
      <c r="K3835" t="s">
        <v>440</v>
      </c>
      <c r="M3835" t="s">
        <v>6</v>
      </c>
    </row>
    <row r="3836" spans="2:13" hidden="1">
      <c r="B3836">
        <v>3834</v>
      </c>
      <c r="C3836">
        <v>281</v>
      </c>
      <c r="D3836">
        <v>27</v>
      </c>
      <c r="E3836">
        <v>10</v>
      </c>
      <c r="F3836">
        <v>0</v>
      </c>
      <c r="G3836" t="s">
        <v>2023</v>
      </c>
      <c r="H3836" t="s">
        <v>52</v>
      </c>
      <c r="I3836" t="s">
        <v>2362</v>
      </c>
      <c r="J3836" t="s">
        <v>55</v>
      </c>
      <c r="K3836" t="s">
        <v>2363</v>
      </c>
      <c r="M3836" t="s">
        <v>6</v>
      </c>
    </row>
    <row r="3837" spans="2:13" hidden="1">
      <c r="B3837">
        <v>3835</v>
      </c>
      <c r="C3837">
        <v>281</v>
      </c>
      <c r="D3837">
        <v>27</v>
      </c>
      <c r="E3837">
        <v>11</v>
      </c>
      <c r="F3837">
        <v>0</v>
      </c>
      <c r="G3837" t="s">
        <v>2023</v>
      </c>
      <c r="H3837" t="s">
        <v>52</v>
      </c>
      <c r="I3837" t="s">
        <v>2362</v>
      </c>
      <c r="J3837" t="s">
        <v>55</v>
      </c>
      <c r="K3837" t="s">
        <v>2364</v>
      </c>
      <c r="M3837" t="s">
        <v>6</v>
      </c>
    </row>
    <row r="3838" spans="2:13" hidden="1">
      <c r="B3838">
        <v>3836</v>
      </c>
      <c r="C3838">
        <v>281</v>
      </c>
      <c r="D3838">
        <v>27</v>
      </c>
      <c r="E3838">
        <v>12</v>
      </c>
      <c r="F3838">
        <v>0</v>
      </c>
      <c r="G3838" t="s">
        <v>2023</v>
      </c>
      <c r="H3838" t="s">
        <v>52</v>
      </c>
      <c r="I3838" t="s">
        <v>2362</v>
      </c>
      <c r="J3838" t="s">
        <v>55</v>
      </c>
      <c r="K3838" t="s">
        <v>2365</v>
      </c>
      <c r="M3838" t="s">
        <v>6</v>
      </c>
    </row>
    <row r="3839" spans="2:13" hidden="1">
      <c r="B3839">
        <v>3837</v>
      </c>
      <c r="C3839">
        <v>281</v>
      </c>
      <c r="D3839">
        <v>27</v>
      </c>
      <c r="E3839">
        <v>13</v>
      </c>
      <c r="F3839">
        <v>0</v>
      </c>
      <c r="G3839" t="s">
        <v>2023</v>
      </c>
      <c r="H3839" t="s">
        <v>52</v>
      </c>
      <c r="I3839" t="s">
        <v>2362</v>
      </c>
      <c r="J3839" t="s">
        <v>55</v>
      </c>
      <c r="K3839" t="s">
        <v>2366</v>
      </c>
      <c r="M3839" t="s">
        <v>6</v>
      </c>
    </row>
    <row r="3840" spans="2:13" hidden="1">
      <c r="B3840">
        <v>3838</v>
      </c>
      <c r="C3840">
        <v>281</v>
      </c>
      <c r="D3840">
        <v>27</v>
      </c>
      <c r="E3840">
        <v>14</v>
      </c>
      <c r="F3840">
        <v>0</v>
      </c>
      <c r="G3840" t="s">
        <v>2023</v>
      </c>
      <c r="H3840" t="s">
        <v>52</v>
      </c>
      <c r="I3840" t="s">
        <v>2362</v>
      </c>
      <c r="J3840" t="s">
        <v>55</v>
      </c>
      <c r="K3840" t="s">
        <v>2367</v>
      </c>
      <c r="M3840" t="s">
        <v>6</v>
      </c>
    </row>
    <row r="3841" spans="2:13" hidden="1">
      <c r="B3841">
        <v>3839</v>
      </c>
      <c r="C3841">
        <v>281</v>
      </c>
      <c r="D3841">
        <v>27</v>
      </c>
      <c r="E3841">
        <v>15</v>
      </c>
      <c r="F3841">
        <v>0</v>
      </c>
      <c r="G3841" t="s">
        <v>2023</v>
      </c>
      <c r="H3841" t="s">
        <v>52</v>
      </c>
      <c r="I3841" t="s">
        <v>2362</v>
      </c>
      <c r="J3841" t="s">
        <v>55</v>
      </c>
      <c r="K3841" t="s">
        <v>2368</v>
      </c>
      <c r="M3841" t="s">
        <v>6</v>
      </c>
    </row>
    <row r="3842" spans="2:13" hidden="1">
      <c r="B3842">
        <v>3840</v>
      </c>
      <c r="C3842">
        <v>281</v>
      </c>
      <c r="D3842">
        <v>27</v>
      </c>
      <c r="E3842">
        <v>16</v>
      </c>
      <c r="F3842">
        <v>0</v>
      </c>
      <c r="G3842" t="s">
        <v>2023</v>
      </c>
      <c r="H3842" t="s">
        <v>52</v>
      </c>
      <c r="I3842" t="s">
        <v>2362</v>
      </c>
      <c r="J3842" t="s">
        <v>55</v>
      </c>
      <c r="K3842" t="s">
        <v>2369</v>
      </c>
      <c r="M3842" t="s">
        <v>6</v>
      </c>
    </row>
    <row r="3843" spans="2:13" hidden="1">
      <c r="B3843">
        <v>3841</v>
      </c>
      <c r="C3843">
        <v>281</v>
      </c>
      <c r="D3843">
        <v>27</v>
      </c>
      <c r="E3843">
        <v>17</v>
      </c>
      <c r="F3843">
        <v>0</v>
      </c>
      <c r="G3843" t="s">
        <v>2023</v>
      </c>
      <c r="H3843" t="s">
        <v>52</v>
      </c>
      <c r="I3843" t="s">
        <v>2362</v>
      </c>
      <c r="J3843" t="s">
        <v>55</v>
      </c>
      <c r="K3843" t="s">
        <v>2370</v>
      </c>
      <c r="M3843" t="s">
        <v>6</v>
      </c>
    </row>
    <row r="3844" spans="2:13" hidden="1">
      <c r="B3844">
        <v>3842</v>
      </c>
      <c r="C3844">
        <v>281</v>
      </c>
      <c r="D3844">
        <v>27</v>
      </c>
      <c r="E3844">
        <v>18</v>
      </c>
      <c r="F3844">
        <v>0</v>
      </c>
      <c r="G3844" t="s">
        <v>2023</v>
      </c>
      <c r="H3844" t="s">
        <v>52</v>
      </c>
      <c r="I3844" t="s">
        <v>2362</v>
      </c>
      <c r="J3844" t="s">
        <v>55</v>
      </c>
      <c r="K3844" t="s">
        <v>2371</v>
      </c>
      <c r="M3844" t="s">
        <v>6</v>
      </c>
    </row>
    <row r="3845" spans="2:13" hidden="1">
      <c r="B3845">
        <v>3843</v>
      </c>
      <c r="C3845">
        <v>281</v>
      </c>
      <c r="D3845">
        <v>27</v>
      </c>
      <c r="E3845">
        <v>19</v>
      </c>
      <c r="F3845">
        <v>0</v>
      </c>
      <c r="G3845" t="s">
        <v>2023</v>
      </c>
      <c r="H3845" t="s">
        <v>52</v>
      </c>
      <c r="I3845" t="s">
        <v>2362</v>
      </c>
      <c r="J3845" t="s">
        <v>55</v>
      </c>
      <c r="K3845" t="s">
        <v>2372</v>
      </c>
      <c r="M3845" t="s">
        <v>6</v>
      </c>
    </row>
    <row r="3846" spans="2:13" hidden="1">
      <c r="B3846">
        <v>3844</v>
      </c>
      <c r="C3846">
        <v>281</v>
      </c>
      <c r="D3846">
        <v>27</v>
      </c>
      <c r="E3846">
        <v>20</v>
      </c>
      <c r="F3846">
        <v>0</v>
      </c>
      <c r="G3846" t="s">
        <v>2023</v>
      </c>
      <c r="H3846" t="s">
        <v>52</v>
      </c>
      <c r="I3846" t="s">
        <v>2362</v>
      </c>
      <c r="J3846" t="s">
        <v>55</v>
      </c>
      <c r="K3846" t="s">
        <v>2373</v>
      </c>
      <c r="M3846" t="s">
        <v>6</v>
      </c>
    </row>
    <row r="3847" spans="2:13" hidden="1">
      <c r="B3847">
        <v>3845</v>
      </c>
      <c r="C3847">
        <v>281</v>
      </c>
      <c r="D3847">
        <v>27</v>
      </c>
      <c r="E3847">
        <v>21</v>
      </c>
      <c r="F3847">
        <v>0</v>
      </c>
      <c r="G3847" t="s">
        <v>2023</v>
      </c>
      <c r="H3847" t="s">
        <v>52</v>
      </c>
      <c r="I3847" t="s">
        <v>2362</v>
      </c>
      <c r="J3847" t="s">
        <v>55</v>
      </c>
      <c r="K3847" t="s">
        <v>2374</v>
      </c>
      <c r="M3847" t="s">
        <v>6</v>
      </c>
    </row>
    <row r="3848" spans="2:13" hidden="1">
      <c r="B3848">
        <v>3846</v>
      </c>
      <c r="C3848">
        <v>281</v>
      </c>
      <c r="D3848">
        <v>27</v>
      </c>
      <c r="E3848">
        <v>22</v>
      </c>
      <c r="F3848">
        <v>0</v>
      </c>
      <c r="G3848" t="s">
        <v>2023</v>
      </c>
      <c r="H3848" t="s">
        <v>52</v>
      </c>
      <c r="I3848" t="s">
        <v>2362</v>
      </c>
      <c r="J3848" t="s">
        <v>55</v>
      </c>
      <c r="K3848" t="s">
        <v>2375</v>
      </c>
      <c r="M3848" t="s">
        <v>6</v>
      </c>
    </row>
    <row r="3849" spans="2:13" hidden="1">
      <c r="B3849">
        <v>3847</v>
      </c>
      <c r="C3849">
        <v>281</v>
      </c>
      <c r="D3849">
        <v>27</v>
      </c>
      <c r="E3849">
        <v>23</v>
      </c>
      <c r="F3849">
        <v>0</v>
      </c>
      <c r="G3849" t="s">
        <v>2023</v>
      </c>
      <c r="H3849" t="s">
        <v>52</v>
      </c>
      <c r="I3849" t="s">
        <v>2362</v>
      </c>
      <c r="J3849" t="s">
        <v>55</v>
      </c>
      <c r="K3849" t="s">
        <v>2376</v>
      </c>
      <c r="M3849" t="s">
        <v>6</v>
      </c>
    </row>
    <row r="3850" spans="2:13" hidden="1">
      <c r="B3850">
        <v>3848</v>
      </c>
      <c r="C3850">
        <v>281</v>
      </c>
      <c r="D3850">
        <v>27</v>
      </c>
      <c r="E3850">
        <v>24</v>
      </c>
      <c r="F3850">
        <v>0</v>
      </c>
      <c r="G3850" t="s">
        <v>2023</v>
      </c>
      <c r="H3850" t="s">
        <v>52</v>
      </c>
      <c r="I3850" t="s">
        <v>2362</v>
      </c>
      <c r="J3850" t="s">
        <v>55</v>
      </c>
      <c r="K3850" t="s">
        <v>2175</v>
      </c>
      <c r="M3850" t="s">
        <v>6</v>
      </c>
    </row>
    <row r="3851" spans="2:13" hidden="1">
      <c r="B3851">
        <v>3849</v>
      </c>
      <c r="C3851">
        <v>281</v>
      </c>
      <c r="D3851">
        <v>27</v>
      </c>
      <c r="E3851">
        <v>25</v>
      </c>
      <c r="F3851">
        <v>0</v>
      </c>
      <c r="G3851" t="s">
        <v>2023</v>
      </c>
      <c r="H3851" t="s">
        <v>52</v>
      </c>
      <c r="I3851" t="s">
        <v>2362</v>
      </c>
      <c r="J3851" t="s">
        <v>55</v>
      </c>
      <c r="K3851" t="s">
        <v>441</v>
      </c>
      <c r="M3851" t="s">
        <v>6</v>
      </c>
    </row>
    <row r="3852" spans="2:13" hidden="1">
      <c r="B3852">
        <v>3850</v>
      </c>
      <c r="C3852">
        <v>281</v>
      </c>
      <c r="D3852">
        <v>27</v>
      </c>
      <c r="E3852">
        <v>26</v>
      </c>
      <c r="F3852">
        <v>0</v>
      </c>
      <c r="G3852" t="s">
        <v>2023</v>
      </c>
      <c r="H3852" t="s">
        <v>52</v>
      </c>
      <c r="I3852" t="s">
        <v>2362</v>
      </c>
      <c r="J3852" t="s">
        <v>437</v>
      </c>
      <c r="K3852" t="s">
        <v>438</v>
      </c>
      <c r="L3852" t="s">
        <v>439</v>
      </c>
      <c r="M3852" t="s">
        <v>6</v>
      </c>
    </row>
    <row r="3853" spans="2:13" hidden="1">
      <c r="B3853">
        <v>3851</v>
      </c>
      <c r="C3853">
        <v>281</v>
      </c>
      <c r="D3853">
        <v>27</v>
      </c>
      <c r="E3853">
        <v>27</v>
      </c>
      <c r="F3853">
        <v>0</v>
      </c>
      <c r="G3853" t="s">
        <v>2023</v>
      </c>
      <c r="H3853" t="s">
        <v>52</v>
      </c>
      <c r="I3853" t="s">
        <v>2362</v>
      </c>
      <c r="J3853" t="s">
        <v>64</v>
      </c>
      <c r="K3853" t="s">
        <v>440</v>
      </c>
      <c r="M3853" t="s">
        <v>6</v>
      </c>
    </row>
    <row r="3854" spans="2:13" hidden="1">
      <c r="B3854">
        <v>3852</v>
      </c>
      <c r="C3854">
        <v>282</v>
      </c>
      <c r="D3854">
        <v>17</v>
      </c>
      <c r="E3854">
        <v>0</v>
      </c>
      <c r="F3854">
        <v>0</v>
      </c>
      <c r="G3854" t="s">
        <v>2377</v>
      </c>
      <c r="H3854" t="s">
        <v>52</v>
      </c>
      <c r="I3854" t="s">
        <v>2378</v>
      </c>
      <c r="J3854" t="s">
        <v>478</v>
      </c>
      <c r="K3854" t="s">
        <v>2378</v>
      </c>
      <c r="L3854" t="s">
        <v>481</v>
      </c>
      <c r="M3854" t="s">
        <v>6</v>
      </c>
    </row>
    <row r="3855" spans="2:13" hidden="1">
      <c r="B3855">
        <v>3853</v>
      </c>
      <c r="C3855">
        <v>282</v>
      </c>
      <c r="D3855">
        <v>17</v>
      </c>
      <c r="E3855">
        <v>1</v>
      </c>
      <c r="F3855">
        <v>0</v>
      </c>
      <c r="G3855" t="s">
        <v>2377</v>
      </c>
      <c r="H3855" t="s">
        <v>52</v>
      </c>
      <c r="I3855" t="s">
        <v>2378</v>
      </c>
      <c r="J3855" t="s">
        <v>55</v>
      </c>
      <c r="K3855" t="s">
        <v>429</v>
      </c>
      <c r="M3855" t="s">
        <v>6</v>
      </c>
    </row>
    <row r="3856" spans="2:13" hidden="1">
      <c r="B3856">
        <v>3854</v>
      </c>
      <c r="C3856">
        <v>282</v>
      </c>
      <c r="D3856">
        <v>17</v>
      </c>
      <c r="E3856">
        <v>2</v>
      </c>
      <c r="F3856">
        <v>0</v>
      </c>
      <c r="G3856" t="s">
        <v>2377</v>
      </c>
      <c r="H3856" t="s">
        <v>52</v>
      </c>
      <c r="I3856" t="s">
        <v>2378</v>
      </c>
      <c r="J3856" t="s">
        <v>55</v>
      </c>
      <c r="K3856" t="s">
        <v>430</v>
      </c>
      <c r="M3856" t="s">
        <v>6</v>
      </c>
    </row>
    <row r="3857" spans="2:13" hidden="1">
      <c r="B3857">
        <v>3855</v>
      </c>
      <c r="C3857">
        <v>282</v>
      </c>
      <c r="D3857">
        <v>17</v>
      </c>
      <c r="E3857">
        <v>3</v>
      </c>
      <c r="F3857">
        <v>0</v>
      </c>
      <c r="G3857" t="s">
        <v>2377</v>
      </c>
      <c r="H3857" t="s">
        <v>52</v>
      </c>
      <c r="I3857" t="s">
        <v>2378</v>
      </c>
      <c r="J3857" t="s">
        <v>55</v>
      </c>
      <c r="K3857" t="s">
        <v>2069</v>
      </c>
      <c r="M3857" t="s">
        <v>6</v>
      </c>
    </row>
    <row r="3858" spans="2:13" hidden="1">
      <c r="B3858">
        <v>3856</v>
      </c>
      <c r="C3858">
        <v>282</v>
      </c>
      <c r="D3858">
        <v>17</v>
      </c>
      <c r="E3858">
        <v>4</v>
      </c>
      <c r="F3858">
        <v>0</v>
      </c>
      <c r="G3858" t="s">
        <v>2377</v>
      </c>
      <c r="H3858" t="s">
        <v>52</v>
      </c>
      <c r="I3858" t="s">
        <v>2378</v>
      </c>
      <c r="J3858" t="s">
        <v>437</v>
      </c>
      <c r="K3858" t="s">
        <v>2272</v>
      </c>
      <c r="L3858" t="s">
        <v>2040</v>
      </c>
      <c r="M3858" t="s">
        <v>6</v>
      </c>
    </row>
    <row r="3859" spans="2:13" hidden="1">
      <c r="B3859">
        <v>3857</v>
      </c>
      <c r="C3859">
        <v>282</v>
      </c>
      <c r="D3859">
        <v>17</v>
      </c>
      <c r="E3859">
        <v>5</v>
      </c>
      <c r="F3859">
        <v>0</v>
      </c>
      <c r="G3859" t="s">
        <v>2377</v>
      </c>
      <c r="H3859" t="s">
        <v>52</v>
      </c>
      <c r="I3859" t="s">
        <v>2378</v>
      </c>
      <c r="J3859" t="s">
        <v>437</v>
      </c>
      <c r="K3859" t="s">
        <v>1256</v>
      </c>
      <c r="L3859" t="s">
        <v>2040</v>
      </c>
      <c r="M3859" t="s">
        <v>6</v>
      </c>
    </row>
    <row r="3860" spans="2:13" hidden="1">
      <c r="B3860">
        <v>3858</v>
      </c>
      <c r="C3860">
        <v>282</v>
      </c>
      <c r="D3860">
        <v>17</v>
      </c>
      <c r="E3860">
        <v>6</v>
      </c>
      <c r="F3860">
        <v>0</v>
      </c>
      <c r="G3860" t="s">
        <v>2377</v>
      </c>
      <c r="H3860" t="s">
        <v>52</v>
      </c>
      <c r="I3860" t="s">
        <v>2378</v>
      </c>
      <c r="J3860" t="s">
        <v>55</v>
      </c>
      <c r="K3860" t="s">
        <v>441</v>
      </c>
      <c r="M3860" t="s">
        <v>6</v>
      </c>
    </row>
    <row r="3861" spans="2:13" hidden="1">
      <c r="B3861">
        <v>3859</v>
      </c>
      <c r="C3861">
        <v>282</v>
      </c>
      <c r="D3861">
        <v>17</v>
      </c>
      <c r="E3861">
        <v>7</v>
      </c>
      <c r="F3861">
        <v>0</v>
      </c>
      <c r="G3861" t="s">
        <v>2377</v>
      </c>
      <c r="H3861" t="s">
        <v>52</v>
      </c>
      <c r="I3861" t="s">
        <v>2378</v>
      </c>
      <c r="J3861" t="s">
        <v>437</v>
      </c>
      <c r="K3861" t="s">
        <v>438</v>
      </c>
      <c r="L3861" t="s">
        <v>439</v>
      </c>
      <c r="M3861" t="s">
        <v>6</v>
      </c>
    </row>
    <row r="3862" spans="2:13" hidden="1">
      <c r="B3862">
        <v>3860</v>
      </c>
      <c r="C3862">
        <v>282</v>
      </c>
      <c r="D3862">
        <v>17</v>
      </c>
      <c r="E3862">
        <v>8</v>
      </c>
      <c r="F3862">
        <v>0</v>
      </c>
      <c r="G3862" t="s">
        <v>2377</v>
      </c>
      <c r="H3862" t="s">
        <v>52</v>
      </c>
      <c r="I3862" t="s">
        <v>2378</v>
      </c>
      <c r="J3862" t="s">
        <v>64</v>
      </c>
      <c r="K3862" t="s">
        <v>440</v>
      </c>
      <c r="M3862" t="s">
        <v>6</v>
      </c>
    </row>
    <row r="3863" spans="2:13" hidden="1">
      <c r="B3863">
        <v>3861</v>
      </c>
      <c r="C3863">
        <v>282</v>
      </c>
      <c r="D3863">
        <v>17</v>
      </c>
      <c r="E3863">
        <v>9</v>
      </c>
      <c r="F3863">
        <v>0</v>
      </c>
      <c r="G3863" t="s">
        <v>2377</v>
      </c>
      <c r="H3863" t="s">
        <v>52</v>
      </c>
      <c r="I3863" t="s">
        <v>2378</v>
      </c>
      <c r="J3863" t="s">
        <v>55</v>
      </c>
      <c r="K3863" t="s">
        <v>2074</v>
      </c>
      <c r="M3863" t="s">
        <v>6</v>
      </c>
    </row>
    <row r="3864" spans="2:13" hidden="1">
      <c r="B3864">
        <v>3862</v>
      </c>
      <c r="C3864">
        <v>282</v>
      </c>
      <c r="D3864">
        <v>17</v>
      </c>
      <c r="E3864">
        <v>10</v>
      </c>
      <c r="F3864">
        <v>0</v>
      </c>
      <c r="G3864" t="s">
        <v>2377</v>
      </c>
      <c r="H3864" t="s">
        <v>52</v>
      </c>
      <c r="I3864" t="s">
        <v>2378</v>
      </c>
      <c r="J3864" t="s">
        <v>55</v>
      </c>
      <c r="K3864" t="s">
        <v>2274</v>
      </c>
      <c r="M3864" t="s">
        <v>6</v>
      </c>
    </row>
    <row r="3865" spans="2:13" hidden="1">
      <c r="B3865">
        <v>3863</v>
      </c>
      <c r="C3865">
        <v>282</v>
      </c>
      <c r="D3865">
        <v>17</v>
      </c>
      <c r="E3865">
        <v>11</v>
      </c>
      <c r="F3865">
        <v>0</v>
      </c>
      <c r="G3865" t="s">
        <v>2377</v>
      </c>
      <c r="H3865" t="s">
        <v>52</v>
      </c>
      <c r="I3865" t="s">
        <v>2378</v>
      </c>
      <c r="J3865" t="s">
        <v>55</v>
      </c>
      <c r="K3865" t="s">
        <v>1111</v>
      </c>
      <c r="M3865" t="s">
        <v>6</v>
      </c>
    </row>
    <row r="3866" spans="2:13" hidden="1">
      <c r="B3866">
        <v>3864</v>
      </c>
      <c r="C3866">
        <v>282</v>
      </c>
      <c r="D3866">
        <v>17</v>
      </c>
      <c r="E3866">
        <v>12</v>
      </c>
      <c r="F3866">
        <v>0</v>
      </c>
      <c r="G3866" t="s">
        <v>2377</v>
      </c>
      <c r="H3866" t="s">
        <v>52</v>
      </c>
      <c r="I3866" t="s">
        <v>2378</v>
      </c>
      <c r="J3866" t="s">
        <v>55</v>
      </c>
      <c r="K3866" t="s">
        <v>2275</v>
      </c>
      <c r="M3866" t="s">
        <v>6</v>
      </c>
    </row>
    <row r="3867" spans="2:13" hidden="1">
      <c r="B3867">
        <v>3865</v>
      </c>
      <c r="C3867">
        <v>282</v>
      </c>
      <c r="D3867">
        <v>17</v>
      </c>
      <c r="E3867">
        <v>13</v>
      </c>
      <c r="F3867">
        <v>0</v>
      </c>
      <c r="G3867" t="s">
        <v>2377</v>
      </c>
      <c r="H3867" t="s">
        <v>52</v>
      </c>
      <c r="I3867" t="s">
        <v>2378</v>
      </c>
      <c r="J3867" t="s">
        <v>55</v>
      </c>
      <c r="K3867" t="s">
        <v>2276</v>
      </c>
      <c r="M3867" t="s">
        <v>6</v>
      </c>
    </row>
    <row r="3868" spans="2:13" hidden="1">
      <c r="B3868">
        <v>3866</v>
      </c>
      <c r="C3868">
        <v>282</v>
      </c>
      <c r="D3868">
        <v>17</v>
      </c>
      <c r="E3868">
        <v>14</v>
      </c>
      <c r="F3868">
        <v>0</v>
      </c>
      <c r="G3868" t="s">
        <v>2377</v>
      </c>
      <c r="H3868" t="s">
        <v>52</v>
      </c>
      <c r="I3868" t="s">
        <v>2378</v>
      </c>
      <c r="J3868" t="s">
        <v>55</v>
      </c>
      <c r="K3868" t="s">
        <v>2277</v>
      </c>
      <c r="M3868" t="s">
        <v>6</v>
      </c>
    </row>
    <row r="3869" spans="2:13" hidden="1">
      <c r="B3869">
        <v>3867</v>
      </c>
      <c r="C3869">
        <v>282</v>
      </c>
      <c r="D3869">
        <v>17</v>
      </c>
      <c r="E3869">
        <v>15</v>
      </c>
      <c r="F3869">
        <v>0</v>
      </c>
      <c r="G3869" t="s">
        <v>2377</v>
      </c>
      <c r="H3869" t="s">
        <v>52</v>
      </c>
      <c r="I3869" t="s">
        <v>2378</v>
      </c>
      <c r="J3869" t="s">
        <v>55</v>
      </c>
      <c r="K3869" t="s">
        <v>1119</v>
      </c>
      <c r="M3869" t="s">
        <v>6</v>
      </c>
    </row>
    <row r="3870" spans="2:13" hidden="1">
      <c r="B3870">
        <v>3868</v>
      </c>
      <c r="C3870">
        <v>282</v>
      </c>
      <c r="D3870">
        <v>17</v>
      </c>
      <c r="E3870">
        <v>16</v>
      </c>
      <c r="F3870">
        <v>0</v>
      </c>
      <c r="G3870" t="s">
        <v>2377</v>
      </c>
      <c r="H3870" t="s">
        <v>52</v>
      </c>
      <c r="I3870" t="s">
        <v>2378</v>
      </c>
      <c r="J3870" t="s">
        <v>55</v>
      </c>
      <c r="K3870" t="s">
        <v>2076</v>
      </c>
      <c r="M3870" t="s">
        <v>6</v>
      </c>
    </row>
    <row r="3871" spans="2:13" hidden="1">
      <c r="B3871">
        <v>3869</v>
      </c>
      <c r="C3871">
        <v>282</v>
      </c>
      <c r="D3871">
        <v>17</v>
      </c>
      <c r="E3871">
        <v>17</v>
      </c>
      <c r="F3871">
        <v>0</v>
      </c>
      <c r="G3871" t="s">
        <v>2377</v>
      </c>
      <c r="H3871" t="s">
        <v>52</v>
      </c>
      <c r="I3871" t="s">
        <v>2378</v>
      </c>
      <c r="J3871" t="s">
        <v>437</v>
      </c>
      <c r="K3871" t="s">
        <v>438</v>
      </c>
      <c r="L3871" t="s">
        <v>439</v>
      </c>
      <c r="M3871" t="s">
        <v>6</v>
      </c>
    </row>
    <row r="3872" spans="2:13" hidden="1">
      <c r="B3872">
        <v>3870</v>
      </c>
      <c r="C3872">
        <v>283</v>
      </c>
      <c r="D3872">
        <v>11</v>
      </c>
      <c r="E3872">
        <v>0</v>
      </c>
      <c r="F3872">
        <v>0</v>
      </c>
      <c r="G3872" t="s">
        <v>1067</v>
      </c>
      <c r="H3872" t="s">
        <v>9</v>
      </c>
      <c r="I3872" t="s">
        <v>2379</v>
      </c>
      <c r="J3872" t="s">
        <v>54</v>
      </c>
      <c r="K3872" t="s">
        <v>2379</v>
      </c>
      <c r="M3872" t="s">
        <v>6</v>
      </c>
    </row>
    <row r="3873" spans="2:13" hidden="1">
      <c r="B3873">
        <v>3871</v>
      </c>
      <c r="C3873">
        <v>283</v>
      </c>
      <c r="D3873">
        <v>11</v>
      </c>
      <c r="E3873">
        <v>1</v>
      </c>
      <c r="F3873">
        <v>0</v>
      </c>
      <c r="G3873" t="s">
        <v>1067</v>
      </c>
      <c r="H3873" t="s">
        <v>9</v>
      </c>
      <c r="I3873" t="s">
        <v>2379</v>
      </c>
      <c r="J3873" t="s">
        <v>55</v>
      </c>
      <c r="K3873" t="s">
        <v>1144</v>
      </c>
      <c r="M3873" t="s">
        <v>6</v>
      </c>
    </row>
    <row r="3874" spans="2:13" hidden="1">
      <c r="B3874">
        <v>3872</v>
      </c>
      <c r="C3874">
        <v>283</v>
      </c>
      <c r="D3874">
        <v>11</v>
      </c>
      <c r="E3874">
        <v>2</v>
      </c>
      <c r="F3874">
        <v>0</v>
      </c>
      <c r="G3874" t="s">
        <v>1067</v>
      </c>
      <c r="H3874" t="s">
        <v>9</v>
      </c>
      <c r="I3874" t="s">
        <v>2379</v>
      </c>
      <c r="J3874" t="s">
        <v>55</v>
      </c>
      <c r="K3874" t="s">
        <v>1145</v>
      </c>
      <c r="M3874" t="s">
        <v>6</v>
      </c>
    </row>
    <row r="3875" spans="2:13" hidden="1">
      <c r="B3875">
        <v>3873</v>
      </c>
      <c r="C3875">
        <v>283</v>
      </c>
      <c r="D3875">
        <v>11</v>
      </c>
      <c r="E3875">
        <v>3</v>
      </c>
      <c r="F3875">
        <v>0</v>
      </c>
      <c r="G3875" t="s">
        <v>1067</v>
      </c>
      <c r="H3875" t="s">
        <v>9</v>
      </c>
      <c r="I3875" t="s">
        <v>2379</v>
      </c>
      <c r="J3875" t="s">
        <v>55</v>
      </c>
      <c r="K3875" t="s">
        <v>1146</v>
      </c>
      <c r="M3875" t="s">
        <v>6</v>
      </c>
    </row>
    <row r="3876" spans="2:13" hidden="1">
      <c r="B3876">
        <v>3874</v>
      </c>
      <c r="C3876">
        <v>283</v>
      </c>
      <c r="D3876">
        <v>11</v>
      </c>
      <c r="E3876">
        <v>4</v>
      </c>
      <c r="F3876">
        <v>0</v>
      </c>
      <c r="G3876" t="s">
        <v>1067</v>
      </c>
      <c r="H3876" t="s">
        <v>9</v>
      </c>
      <c r="I3876" t="s">
        <v>2379</v>
      </c>
      <c r="J3876" t="s">
        <v>55</v>
      </c>
      <c r="K3876" t="s">
        <v>2380</v>
      </c>
      <c r="M3876" t="s">
        <v>6</v>
      </c>
    </row>
    <row r="3877" spans="2:13" hidden="1">
      <c r="B3877">
        <v>3875</v>
      </c>
      <c r="C3877">
        <v>283</v>
      </c>
      <c r="D3877">
        <v>11</v>
      </c>
      <c r="E3877">
        <v>5</v>
      </c>
      <c r="F3877">
        <v>0</v>
      </c>
      <c r="G3877" t="s">
        <v>1067</v>
      </c>
      <c r="H3877" t="s">
        <v>9</v>
      </c>
      <c r="I3877" t="s">
        <v>2379</v>
      </c>
      <c r="J3877" t="s">
        <v>55</v>
      </c>
      <c r="K3877" t="s">
        <v>2381</v>
      </c>
      <c r="M3877" t="s">
        <v>6</v>
      </c>
    </row>
    <row r="3878" spans="2:13" hidden="1">
      <c r="B3878">
        <v>3876</v>
      </c>
      <c r="C3878">
        <v>283</v>
      </c>
      <c r="D3878">
        <v>11</v>
      </c>
      <c r="E3878">
        <v>6</v>
      </c>
      <c r="F3878">
        <v>0</v>
      </c>
      <c r="G3878" t="s">
        <v>1067</v>
      </c>
      <c r="H3878" t="s">
        <v>9</v>
      </c>
      <c r="I3878" t="s">
        <v>2379</v>
      </c>
      <c r="J3878" t="s">
        <v>55</v>
      </c>
      <c r="K3878" t="s">
        <v>2382</v>
      </c>
      <c r="M3878" t="s">
        <v>6</v>
      </c>
    </row>
    <row r="3879" spans="2:13" hidden="1">
      <c r="B3879">
        <v>3877</v>
      </c>
      <c r="C3879">
        <v>283</v>
      </c>
      <c r="D3879">
        <v>11</v>
      </c>
      <c r="E3879">
        <v>7</v>
      </c>
      <c r="F3879">
        <v>0</v>
      </c>
      <c r="G3879" t="s">
        <v>1067</v>
      </c>
      <c r="H3879" t="s">
        <v>9</v>
      </c>
      <c r="I3879" t="s">
        <v>2379</v>
      </c>
      <c r="J3879" t="s">
        <v>55</v>
      </c>
      <c r="K3879" t="s">
        <v>2383</v>
      </c>
      <c r="M3879" t="s">
        <v>6</v>
      </c>
    </row>
    <row r="3880" spans="2:13" hidden="1">
      <c r="B3880">
        <v>3878</v>
      </c>
      <c r="C3880">
        <v>283</v>
      </c>
      <c r="D3880">
        <v>11</v>
      </c>
      <c r="E3880">
        <v>8</v>
      </c>
      <c r="F3880">
        <v>0</v>
      </c>
      <c r="G3880" t="s">
        <v>1067</v>
      </c>
      <c r="H3880" t="s">
        <v>9</v>
      </c>
      <c r="I3880" t="s">
        <v>2379</v>
      </c>
      <c r="J3880" t="s">
        <v>55</v>
      </c>
      <c r="K3880" t="s">
        <v>2384</v>
      </c>
      <c r="M3880" t="s">
        <v>6</v>
      </c>
    </row>
    <row r="3881" spans="2:13" hidden="1">
      <c r="B3881">
        <v>3879</v>
      </c>
      <c r="C3881">
        <v>283</v>
      </c>
      <c r="D3881">
        <v>11</v>
      </c>
      <c r="E3881">
        <v>9</v>
      </c>
      <c r="F3881">
        <v>0</v>
      </c>
      <c r="G3881" t="s">
        <v>1067</v>
      </c>
      <c r="H3881" t="s">
        <v>9</v>
      </c>
      <c r="I3881" t="s">
        <v>2379</v>
      </c>
      <c r="J3881" t="s">
        <v>55</v>
      </c>
      <c r="K3881" t="s">
        <v>2385</v>
      </c>
      <c r="M3881" t="s">
        <v>6</v>
      </c>
    </row>
    <row r="3882" spans="2:13" hidden="1">
      <c r="B3882">
        <v>3880</v>
      </c>
      <c r="C3882">
        <v>283</v>
      </c>
      <c r="D3882">
        <v>11</v>
      </c>
      <c r="E3882">
        <v>10</v>
      </c>
      <c r="F3882">
        <v>0</v>
      </c>
      <c r="G3882" t="s">
        <v>1067</v>
      </c>
      <c r="H3882" t="s">
        <v>9</v>
      </c>
      <c r="I3882" t="s">
        <v>2379</v>
      </c>
      <c r="J3882" t="s">
        <v>55</v>
      </c>
      <c r="K3882" t="s">
        <v>93</v>
      </c>
      <c r="M3882" t="s">
        <v>6</v>
      </c>
    </row>
    <row r="3883" spans="2:13" hidden="1">
      <c r="B3883">
        <v>3881</v>
      </c>
      <c r="C3883">
        <v>283</v>
      </c>
      <c r="D3883">
        <v>11</v>
      </c>
      <c r="E3883">
        <v>11</v>
      </c>
      <c r="F3883">
        <v>0</v>
      </c>
      <c r="G3883" t="s">
        <v>1067</v>
      </c>
      <c r="H3883" t="s">
        <v>9</v>
      </c>
      <c r="I3883" t="s">
        <v>2379</v>
      </c>
      <c r="J3883" t="s">
        <v>64</v>
      </c>
      <c r="K3883" t="s">
        <v>94</v>
      </c>
      <c r="M3883" t="s">
        <v>6</v>
      </c>
    </row>
  </sheetData>
  <sheetProtection sort="0" autoFilter="0" pivotTables="0"/>
  <conditionalFormatting sqref="J1 L1:M1 J840 L840:M840 L3890:M3891 J3890:J3891 J2:M690 J692:M839 J691:K691 M691 J3892:M1048576 J841:M3889">
    <cfRule type="expression" dxfId="131" priority="1">
      <formula>OR($J1="checklist", $J1="checklist-flat")</formula>
    </cfRule>
  </conditionalFormatting>
  <conditionalFormatting sqref="K1">
    <cfRule type="expression" dxfId="130" priority="2341">
      <formula>OR($J840="checklist", $J840="checklist-flat")</formula>
    </cfRule>
  </conditionalFormatting>
  <conditionalFormatting sqref="K3890">
    <cfRule type="expression" dxfId="129" priority="2343">
      <formula>OR($J3891="checklist", $J3891="checklist-flat")</formula>
    </cfRule>
  </conditionalFormatting>
  <conditionalFormatting sqref="A1">
    <cfRule type="expression" dxfId="128" priority="2345">
      <formula>OR($J691="checklist", $J691="checklist-flat")</formula>
    </cfRule>
  </conditionalFormatting>
  <pageMargins left="0.7" right="0.7" top="0.75" bottom="0.75" header="0.3" footer="0.3"/>
  <pageSetup paperSize="9" fitToWidth="0" fitToHeight="0" orientation="landscape"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5</v>
      </c>
      <c r="B3" t="s">
        <v>46</v>
      </c>
      <c r="C3" s="9" t="s">
        <v>2386</v>
      </c>
      <c r="D3" t="s">
        <v>2387</v>
      </c>
      <c r="E3" t="s">
        <v>2388</v>
      </c>
      <c r="F3" t="s">
        <v>3</v>
      </c>
      <c r="G3" t="s">
        <v>478</v>
      </c>
      <c r="H3" t="s">
        <v>48</v>
      </c>
      <c r="I3" t="s">
        <v>49</v>
      </c>
      <c r="J3" t="s">
        <v>50</v>
      </c>
      <c r="K3" t="s">
        <v>2389</v>
      </c>
      <c r="L3" t="s">
        <v>2390</v>
      </c>
      <c r="M3" t="s">
        <v>2391</v>
      </c>
      <c r="N3" t="s">
        <v>2392</v>
      </c>
    </row>
    <row r="4" spans="1:14" ht="15" customHeight="1">
      <c r="A4" t="s">
        <v>28</v>
      </c>
      <c r="B4" t="str">
        <f ca="1">IF(OR(changes[[#This Row],[Type]]="Checklist",changes[[#This Row],[Type]]="checklist-flat"),1+IF(changes[[#This Row],[Type of change]] = "Edit",COUNTIFS($I$4:changes[[#This Row],[Name]],changes[[#This Row],[Name]], $E$4:changes[[#This Row],[Type of change]], "Edit")),B3)</f>
        <v>Version</v>
      </c>
      <c r="C4" s="16">
        <v>44483</v>
      </c>
      <c r="D4" s="1" t="s">
        <v>2393</v>
      </c>
      <c r="E4" t="s">
        <v>19</v>
      </c>
      <c r="F4" s="10"/>
      <c r="G4" s="10" t="s">
        <v>478</v>
      </c>
      <c r="J4" s="24"/>
    </row>
    <row r="5" spans="1:14">
      <c r="A5" t="s">
        <v>28</v>
      </c>
      <c r="B5" t="str">
        <f ca="1">IF(OR(changes[[#This Row],[Type]]="Checklist",changes[[#This Row],[Type]]="checklist-flat"),1+IF(changes[[#This Row],[Type of change]] = "Edit",COUNTIFS($I$4:changes[[#This Row],[Name]],changes[[#This Row],[Name]], $E$4:changes[[#This Row],[Type of change]], "Edit")),B4)</f>
        <v>Version</v>
      </c>
      <c r="C5" s="16">
        <v>44483</v>
      </c>
      <c r="D5" s="1" t="s">
        <v>2393</v>
      </c>
      <c r="E5" t="s">
        <v>19</v>
      </c>
      <c r="F5" s="10"/>
      <c r="G5" s="10" t="s">
        <v>478</v>
      </c>
    </row>
    <row r="6" spans="1:14" ht="15.75">
      <c r="A6" t="s">
        <v>28</v>
      </c>
      <c r="B6">
        <f ca="1">IF(OR(changes[[#This Row],[Type]]="Checklist",changes[[#This Row],[Type]]="checklist-flat"),1+IF(changes[[#This Row],[Type of change]] = "Edit",COUNTIFS($I$4:changes[[#This Row],[Name]],changes[[#This Row],[Name]], $E$4:changes[[#This Row],[Type of change]], "Edit")),B5)</f>
        <v>2</v>
      </c>
      <c r="C6" s="16">
        <v>44483</v>
      </c>
      <c r="D6" s="1" t="s">
        <v>2394</v>
      </c>
      <c r="E6" t="s">
        <v>15</v>
      </c>
      <c r="F6" s="10"/>
      <c r="G6" s="10" t="s">
        <v>1684</v>
      </c>
      <c r="H6" s="11" t="s">
        <v>478</v>
      </c>
      <c r="I6" s="11" t="s">
        <v>1684</v>
      </c>
      <c r="J6" s="2"/>
      <c r="K6" s="2"/>
      <c r="M6" s="2"/>
    </row>
    <row r="7" spans="1:14" ht="15.75">
      <c r="A7" t="s">
        <v>28</v>
      </c>
      <c r="B7">
        <f ca="1">IF(OR(changes[[#This Row],[Type]]="Checklist",changes[[#This Row],[Type]]="checklist-flat"),1+IF(changes[[#This Row],[Type of change]] = "Edit",COUNTIFS($I$4:changes[[#This Row],[Name]],changes[[#This Row],[Name]], $E$4:changes[[#This Row],[Type of change]], "Edit")),B6)</f>
        <v>2</v>
      </c>
      <c r="C7" s="16">
        <v>44483</v>
      </c>
      <c r="D7" s="1" t="s">
        <v>2394</v>
      </c>
      <c r="E7" t="s">
        <v>15</v>
      </c>
      <c r="F7" s="10"/>
      <c r="G7" s="10" t="s">
        <v>1684</v>
      </c>
      <c r="H7" s="11" t="s">
        <v>55</v>
      </c>
      <c r="I7" s="11" t="s">
        <v>1685</v>
      </c>
      <c r="J7" s="2"/>
      <c r="K7" s="2"/>
      <c r="M7" s="2"/>
    </row>
    <row r="8" spans="1:14" ht="15.75">
      <c r="A8" t="s">
        <v>28</v>
      </c>
      <c r="B8">
        <f ca="1">IF(OR(changes[[#This Row],[Type]]="Checklist",changes[[#This Row],[Type]]="checklist-flat"),1+IF(changes[[#This Row],[Type of change]] = "Edit",COUNTIFS($I$4:changes[[#This Row],[Name]],changes[[#This Row],[Name]], $E$4:changes[[#This Row],[Type of change]], "Edit")),B7)</f>
        <v>2</v>
      </c>
      <c r="C8" s="16">
        <v>44483</v>
      </c>
      <c r="D8" s="1" t="s">
        <v>2394</v>
      </c>
      <c r="E8" t="s">
        <v>15</v>
      </c>
      <c r="F8" s="10"/>
      <c r="G8" s="10" t="s">
        <v>1684</v>
      </c>
      <c r="H8" s="11" t="s">
        <v>951</v>
      </c>
      <c r="I8" s="11" t="s">
        <v>1686</v>
      </c>
      <c r="J8" s="2"/>
      <c r="K8" s="2"/>
      <c r="M8" s="2"/>
    </row>
    <row r="9" spans="1:14" ht="15.75">
      <c r="A9" t="s">
        <v>28</v>
      </c>
      <c r="B9">
        <f ca="1">IF(OR(changes[[#This Row],[Type]]="Checklist",changes[[#This Row],[Type]]="checklist-flat"),1+IF(changes[[#This Row],[Type of change]] = "Edit",COUNTIFS($I$4:changes[[#This Row],[Name]],changes[[#This Row],[Name]], $E$4:changes[[#This Row],[Type of change]], "Edit")),B8)</f>
        <v>2</v>
      </c>
      <c r="C9" s="16">
        <v>44483</v>
      </c>
      <c r="D9" s="1" t="s">
        <v>2394</v>
      </c>
      <c r="E9" t="s">
        <v>15</v>
      </c>
      <c r="F9" s="10"/>
      <c r="G9" s="10" t="s">
        <v>1684</v>
      </c>
      <c r="H9" s="11" t="s">
        <v>951</v>
      </c>
      <c r="I9" s="11" t="s">
        <v>1687</v>
      </c>
      <c r="J9" s="2"/>
      <c r="K9" s="2"/>
      <c r="M9" s="2"/>
    </row>
    <row r="10" spans="1:14" ht="15.75">
      <c r="A10" t="s">
        <v>28</v>
      </c>
      <c r="B10">
        <f ca="1">IF(OR(changes[[#This Row],[Type]]="Checklist",changes[[#This Row],[Type]]="checklist-flat"),1+IF(changes[[#This Row],[Type of change]] = "Edit",COUNTIFS($I$4:changes[[#This Row],[Name]],changes[[#This Row],[Name]], $E$4:changes[[#This Row],[Type of change]], "Edit")),B9)</f>
        <v>2</v>
      </c>
      <c r="C10" s="16">
        <v>44483</v>
      </c>
      <c r="D10" s="1" t="s">
        <v>2394</v>
      </c>
      <c r="E10" t="s">
        <v>15</v>
      </c>
      <c r="F10" s="10"/>
      <c r="G10" s="10" t="s">
        <v>1684</v>
      </c>
      <c r="H10" s="11" t="s">
        <v>951</v>
      </c>
      <c r="I10" s="11" t="s">
        <v>1688</v>
      </c>
      <c r="J10" s="2"/>
      <c r="K10" s="2"/>
      <c r="M10" s="2"/>
    </row>
    <row r="11" spans="1:14" ht="15.75">
      <c r="A11" t="s">
        <v>28</v>
      </c>
      <c r="B11">
        <f ca="1">IF(OR(changes[[#This Row],[Type]]="Checklist",changes[[#This Row],[Type]]="checklist-flat"),1+IF(changes[[#This Row],[Type of change]] = "Edit",COUNTIFS($I$4:changes[[#This Row],[Name]],changes[[#This Row],[Name]], $E$4:changes[[#This Row],[Type of change]], "Edit")),B10)</f>
        <v>2</v>
      </c>
      <c r="C11" s="16">
        <v>44483</v>
      </c>
      <c r="D11" s="1" t="s">
        <v>2394</v>
      </c>
      <c r="E11" t="s">
        <v>15</v>
      </c>
      <c r="F11" s="10"/>
      <c r="G11" s="10" t="s">
        <v>1684</v>
      </c>
      <c r="H11" s="11" t="s">
        <v>951</v>
      </c>
      <c r="I11" s="11" t="s">
        <v>1689</v>
      </c>
      <c r="J11" s="2"/>
      <c r="K11" s="2"/>
      <c r="M11" s="2"/>
    </row>
    <row r="12" spans="1:14" ht="15.75">
      <c r="A12" t="s">
        <v>28</v>
      </c>
      <c r="B12">
        <f ca="1">IF(OR(changes[[#This Row],[Type]]="Checklist",changes[[#This Row],[Type]]="checklist-flat"),1+IF(changes[[#This Row],[Type of change]] = "Edit",COUNTIFS($I$4:changes[[#This Row],[Name]],changes[[#This Row],[Name]], $E$4:changes[[#This Row],[Type of change]], "Edit")),B11)</f>
        <v>2</v>
      </c>
      <c r="C12" s="16">
        <v>44483</v>
      </c>
      <c r="D12" s="1" t="s">
        <v>2394</v>
      </c>
      <c r="E12" t="s">
        <v>15</v>
      </c>
      <c r="F12" s="10"/>
      <c r="G12" s="10" t="s">
        <v>1684</v>
      </c>
      <c r="H12" s="11" t="s">
        <v>55</v>
      </c>
      <c r="I12" s="11" t="s">
        <v>1690</v>
      </c>
      <c r="J12" s="2"/>
      <c r="K12" s="2"/>
      <c r="M12" s="2"/>
    </row>
    <row r="13" spans="1:14" ht="15.75">
      <c r="A13" t="s">
        <v>28</v>
      </c>
      <c r="B13">
        <f ca="1">IF(OR(changes[[#This Row],[Type]]="Checklist",changes[[#This Row],[Type]]="checklist-flat"),1+IF(changes[[#This Row],[Type of change]] = "Edit",COUNTIFS($I$4:changes[[#This Row],[Name]],changes[[#This Row],[Name]], $E$4:changes[[#This Row],[Type of change]], "Edit")),B12)</f>
        <v>2</v>
      </c>
      <c r="C13" s="16">
        <v>44483</v>
      </c>
      <c r="D13" s="1" t="s">
        <v>2394</v>
      </c>
      <c r="E13" t="s">
        <v>15</v>
      </c>
      <c r="F13" s="10"/>
      <c r="G13" s="10" t="s">
        <v>1684</v>
      </c>
      <c r="H13" s="11" t="s">
        <v>55</v>
      </c>
      <c r="I13" s="11" t="s">
        <v>1691</v>
      </c>
      <c r="J13" s="2"/>
      <c r="K13" s="2"/>
      <c r="M13" s="2"/>
    </row>
    <row r="14" spans="1:14" ht="15.75">
      <c r="A14" t="s">
        <v>28</v>
      </c>
      <c r="B14">
        <f ca="1">IF(OR(changes[[#This Row],[Type]]="Checklist",changes[[#This Row],[Type]]="checklist-flat"),1+IF(changes[[#This Row],[Type of change]] = "Edit",COUNTIFS($I$4:changes[[#This Row],[Name]],changes[[#This Row],[Name]], $E$4:changes[[#This Row],[Type of change]], "Edit")),B13)</f>
        <v>2</v>
      </c>
      <c r="C14" s="16">
        <v>44483</v>
      </c>
      <c r="D14" s="1" t="s">
        <v>2394</v>
      </c>
      <c r="E14" t="s">
        <v>15</v>
      </c>
      <c r="F14" s="10"/>
      <c r="G14" s="10" t="s">
        <v>1684</v>
      </c>
      <c r="H14" s="11" t="s">
        <v>951</v>
      </c>
      <c r="I14" s="11" t="s">
        <v>1692</v>
      </c>
      <c r="J14" s="2"/>
      <c r="K14" s="2"/>
      <c r="M14" s="2"/>
    </row>
    <row r="15" spans="1:14" ht="15.75">
      <c r="A15" t="s">
        <v>28</v>
      </c>
      <c r="B15">
        <f ca="1">IF(OR(changes[[#This Row],[Type]]="Checklist",changes[[#This Row],[Type]]="checklist-flat"),1+IF(changes[[#This Row],[Type of change]] = "Edit",COUNTIFS($I$4:changes[[#This Row],[Name]],changes[[#This Row],[Name]], $E$4:changes[[#This Row],[Type of change]], "Edit")),B14)</f>
        <v>2</v>
      </c>
      <c r="C15" s="16">
        <v>44483</v>
      </c>
      <c r="D15" s="1" t="s">
        <v>2394</v>
      </c>
      <c r="E15" t="s">
        <v>15</v>
      </c>
      <c r="F15" s="10"/>
      <c r="G15" s="10" t="s">
        <v>1684</v>
      </c>
      <c r="H15" s="11" t="s">
        <v>55</v>
      </c>
      <c r="I15" s="11" t="s">
        <v>1690</v>
      </c>
      <c r="J15" s="2"/>
      <c r="K15" s="2"/>
      <c r="M15" s="2"/>
    </row>
    <row r="16" spans="1:14" ht="15.75">
      <c r="A16" t="s">
        <v>28</v>
      </c>
      <c r="B16">
        <f ca="1">IF(OR(changes[[#This Row],[Type]]="Checklist",changes[[#This Row],[Type]]="checklist-flat"),1+IF(changes[[#This Row],[Type of change]] = "Edit",COUNTIFS($I$4:changes[[#This Row],[Name]],changes[[#This Row],[Name]], $E$4:changes[[#This Row],[Type of change]], "Edit")),B15)</f>
        <v>2</v>
      </c>
      <c r="C16" s="16">
        <v>44483</v>
      </c>
      <c r="D16" s="1" t="s">
        <v>2394</v>
      </c>
      <c r="E16" t="s">
        <v>15</v>
      </c>
      <c r="F16" s="10"/>
      <c r="G16" s="10" t="s">
        <v>1684</v>
      </c>
      <c r="H16" s="11" t="s">
        <v>55</v>
      </c>
      <c r="I16" s="11" t="s">
        <v>62</v>
      </c>
      <c r="J16" s="2"/>
      <c r="K16" s="2"/>
      <c r="M16" s="2"/>
    </row>
    <row r="17" spans="1:13" ht="15.75">
      <c r="A17" t="s">
        <v>28</v>
      </c>
      <c r="B17">
        <f ca="1">IF(OR(changes[[#This Row],[Type]]="Checklist",changes[[#This Row],[Type]]="checklist-flat"),1+IF(changes[[#This Row],[Type of change]] = "Edit",COUNTIFS($I$4:changes[[#This Row],[Name]],changes[[#This Row],[Name]], $E$4:changes[[#This Row],[Type of change]], "Edit")),B16)</f>
        <v>3</v>
      </c>
      <c r="C17" s="16">
        <v>44483</v>
      </c>
      <c r="D17" s="1" t="s">
        <v>2394</v>
      </c>
      <c r="E17" t="s">
        <v>15</v>
      </c>
      <c r="F17" s="10"/>
      <c r="G17" s="10" t="s">
        <v>1684</v>
      </c>
      <c r="H17" s="11" t="s">
        <v>478</v>
      </c>
      <c r="I17" s="11" t="s">
        <v>1684</v>
      </c>
      <c r="J17" s="2"/>
      <c r="K17" s="2"/>
      <c r="M17" s="2"/>
    </row>
    <row r="18" spans="1:13" ht="15.75">
      <c r="A18" t="s">
        <v>28</v>
      </c>
      <c r="B18">
        <f ca="1">IF(OR(changes[[#This Row],[Type]]="Checklist",changes[[#This Row],[Type]]="checklist-flat"),1+IF(changes[[#This Row],[Type of change]] = "Edit",COUNTIFS($I$4:changes[[#This Row],[Name]],changes[[#This Row],[Name]], $E$4:changes[[#This Row],[Type of change]], "Edit")),B17)</f>
        <v>3</v>
      </c>
      <c r="C18" s="16">
        <v>44483</v>
      </c>
      <c r="D18" s="1" t="s">
        <v>2394</v>
      </c>
      <c r="E18" t="s">
        <v>15</v>
      </c>
      <c r="F18" s="10"/>
      <c r="G18" s="10" t="s">
        <v>1684</v>
      </c>
      <c r="H18" s="11" t="s">
        <v>55</v>
      </c>
      <c r="I18" s="11" t="s">
        <v>1685</v>
      </c>
      <c r="J18" s="2"/>
      <c r="K18" s="2"/>
      <c r="M18" s="2"/>
    </row>
    <row r="19" spans="1:13" ht="15.75">
      <c r="A19" t="s">
        <v>28</v>
      </c>
      <c r="B19">
        <f ca="1">IF(OR(changes[[#This Row],[Type]]="Checklist",changes[[#This Row],[Type]]="checklist-flat"),1+IF(changes[[#This Row],[Type of change]] = "Edit",COUNTIFS($I$4:changes[[#This Row],[Name]],changes[[#This Row],[Name]], $E$4:changes[[#This Row],[Type of change]], "Edit")),B18)</f>
        <v>3</v>
      </c>
      <c r="C19" s="16">
        <v>44483</v>
      </c>
      <c r="D19" s="1" t="s">
        <v>2394</v>
      </c>
      <c r="E19" t="s">
        <v>15</v>
      </c>
      <c r="F19" s="10"/>
      <c r="G19" s="10" t="s">
        <v>1684</v>
      </c>
      <c r="H19" s="11" t="s">
        <v>951</v>
      </c>
      <c r="I19" s="11" t="s">
        <v>1686</v>
      </c>
      <c r="J19" s="2"/>
      <c r="K19" s="2"/>
      <c r="M19" s="2"/>
    </row>
    <row r="20" spans="1:13" ht="15.75">
      <c r="A20" t="s">
        <v>28</v>
      </c>
      <c r="B20">
        <f ca="1">IF(OR(changes[[#This Row],[Type]]="Checklist",changes[[#This Row],[Type]]="checklist-flat"),1+IF(changes[[#This Row],[Type of change]] = "Edit",COUNTIFS($I$4:changes[[#This Row],[Name]],changes[[#This Row],[Name]], $E$4:changes[[#This Row],[Type of change]], "Edit")),B19)</f>
        <v>3</v>
      </c>
      <c r="C20" s="16">
        <v>44483</v>
      </c>
      <c r="D20" s="1" t="s">
        <v>2394</v>
      </c>
      <c r="E20" t="s">
        <v>15</v>
      </c>
      <c r="F20" s="10"/>
      <c r="G20" s="10" t="s">
        <v>1684</v>
      </c>
      <c r="H20" s="11" t="s">
        <v>951</v>
      </c>
      <c r="I20" s="11" t="s">
        <v>1687</v>
      </c>
      <c r="J20" s="2"/>
      <c r="K20" s="2"/>
      <c r="M20" s="2"/>
    </row>
    <row r="21" spans="1:13" ht="15.75">
      <c r="A21" t="s">
        <v>28</v>
      </c>
      <c r="B21">
        <f ca="1">IF(OR(changes[[#This Row],[Type]]="Checklist",changes[[#This Row],[Type]]="checklist-flat"),1+IF(changes[[#This Row],[Type of change]] = "Edit",COUNTIFS($I$4:changes[[#This Row],[Name]],changes[[#This Row],[Name]], $E$4:changes[[#This Row],[Type of change]], "Edit")),B20)</f>
        <v>3</v>
      </c>
      <c r="C21" s="16">
        <v>44483</v>
      </c>
      <c r="D21" s="1" t="s">
        <v>2394</v>
      </c>
      <c r="E21" t="s">
        <v>15</v>
      </c>
      <c r="F21" s="10"/>
      <c r="G21" s="10" t="s">
        <v>1684</v>
      </c>
      <c r="H21" s="11" t="s">
        <v>951</v>
      </c>
      <c r="I21" s="11" t="s">
        <v>1688</v>
      </c>
      <c r="J21" s="2"/>
      <c r="K21" s="2"/>
      <c r="M21" s="2"/>
    </row>
    <row r="22" spans="1:13" ht="15.75">
      <c r="A22" t="s">
        <v>28</v>
      </c>
      <c r="B22">
        <f ca="1">IF(OR(changes[[#This Row],[Type]]="Checklist",changes[[#This Row],[Type]]="checklist-flat"),1+IF(changes[[#This Row],[Type of change]] = "Edit",COUNTIFS($I$4:changes[[#This Row],[Name]],changes[[#This Row],[Name]], $E$4:changes[[#This Row],[Type of change]], "Edit")),B21)</f>
        <v>3</v>
      </c>
      <c r="C22" s="16">
        <v>44483</v>
      </c>
      <c r="D22" s="1" t="s">
        <v>2394</v>
      </c>
      <c r="E22" t="s">
        <v>15</v>
      </c>
      <c r="F22" s="10"/>
      <c r="G22" s="10" t="s">
        <v>1684</v>
      </c>
      <c r="H22" s="11" t="s">
        <v>951</v>
      </c>
      <c r="I22" s="11" t="s">
        <v>1689</v>
      </c>
      <c r="J22" s="2"/>
      <c r="K22" s="2"/>
      <c r="M22" s="2"/>
    </row>
    <row r="23" spans="1:13" ht="15.75">
      <c r="A23" t="s">
        <v>28</v>
      </c>
      <c r="B23">
        <f ca="1">IF(OR(changes[[#This Row],[Type]]="Checklist",changes[[#This Row],[Type]]="checklist-flat"),1+IF(changes[[#This Row],[Type of change]] = "Edit",COUNTIFS($I$4:changes[[#This Row],[Name]],changes[[#This Row],[Name]], $E$4:changes[[#This Row],[Type of change]], "Edit")),B22)</f>
        <v>3</v>
      </c>
      <c r="C23" s="16">
        <v>44483</v>
      </c>
      <c r="D23" s="1" t="s">
        <v>2394</v>
      </c>
      <c r="E23" t="s">
        <v>15</v>
      </c>
      <c r="F23" s="10"/>
      <c r="G23" s="10" t="s">
        <v>1684</v>
      </c>
      <c r="H23" s="11" t="s">
        <v>55</v>
      </c>
      <c r="I23" s="11" t="s">
        <v>1690</v>
      </c>
      <c r="J23" s="2"/>
      <c r="K23" s="2"/>
      <c r="M23" s="2"/>
    </row>
    <row r="24" spans="1:13" ht="15.75">
      <c r="A24" t="s">
        <v>28</v>
      </c>
      <c r="B24">
        <f ca="1">IF(OR(changes[[#This Row],[Type]]="Checklist",changes[[#This Row],[Type]]="checklist-flat"),1+IF(changes[[#This Row],[Type of change]] = "Edit",COUNTIFS($I$4:changes[[#This Row],[Name]],changes[[#This Row],[Name]], $E$4:changes[[#This Row],[Type of change]], "Edit")),B23)</f>
        <v>3</v>
      </c>
      <c r="C24" s="16">
        <v>44483</v>
      </c>
      <c r="D24" s="1" t="s">
        <v>2394</v>
      </c>
      <c r="E24" t="s">
        <v>15</v>
      </c>
      <c r="F24" s="10"/>
      <c r="G24" s="10" t="s">
        <v>1684</v>
      </c>
      <c r="H24" s="11" t="s">
        <v>55</v>
      </c>
      <c r="I24" s="11" t="s">
        <v>1691</v>
      </c>
      <c r="J24" s="2"/>
      <c r="K24" s="2"/>
      <c r="M24" s="2"/>
    </row>
    <row r="25" spans="1:13" ht="15.75">
      <c r="A25" t="s">
        <v>28</v>
      </c>
      <c r="B25">
        <f ca="1">IF(OR(changes[[#This Row],[Type]]="Checklist",changes[[#This Row],[Type]]="checklist-flat"),1+IF(changes[[#This Row],[Type of change]] = "Edit",COUNTIFS($I$4:changes[[#This Row],[Name]],changes[[#This Row],[Name]], $E$4:changes[[#This Row],[Type of change]], "Edit")),B24)</f>
        <v>3</v>
      </c>
      <c r="C25" s="16">
        <v>44483</v>
      </c>
      <c r="D25" s="1" t="s">
        <v>2394</v>
      </c>
      <c r="E25" t="s">
        <v>15</v>
      </c>
      <c r="F25" s="10"/>
      <c r="G25" s="10" t="s">
        <v>1684</v>
      </c>
      <c r="H25" s="11" t="s">
        <v>951</v>
      </c>
      <c r="I25" s="11" t="s">
        <v>1692</v>
      </c>
      <c r="J25" s="2"/>
      <c r="K25" s="2"/>
      <c r="M25" s="2"/>
    </row>
    <row r="26" spans="1:13" ht="15.75">
      <c r="A26" t="s">
        <v>28</v>
      </c>
      <c r="B26">
        <f ca="1">IF(OR(changes[[#This Row],[Type]]="Checklist",changes[[#This Row],[Type]]="checklist-flat"),1+IF(changes[[#This Row],[Type of change]] = "Edit",COUNTIFS($I$4:changes[[#This Row],[Name]],changes[[#This Row],[Name]], $E$4:changes[[#This Row],[Type of change]], "Edit")),B25)</f>
        <v>3</v>
      </c>
      <c r="C26" s="16">
        <v>44483</v>
      </c>
      <c r="D26" s="1" t="s">
        <v>2394</v>
      </c>
      <c r="E26" t="s">
        <v>15</v>
      </c>
      <c r="F26" s="10"/>
      <c r="G26" s="10" t="s">
        <v>1684</v>
      </c>
      <c r="H26" s="11" t="s">
        <v>55</v>
      </c>
      <c r="I26" s="11" t="s">
        <v>1690</v>
      </c>
      <c r="J26" s="2"/>
      <c r="K26" s="2"/>
      <c r="M26" s="2"/>
    </row>
    <row r="27" spans="1:13" ht="15.75">
      <c r="A27" t="s">
        <v>28</v>
      </c>
      <c r="B27">
        <f ca="1">IF(OR(changes[[#This Row],[Type]]="Checklist",changes[[#This Row],[Type]]="checklist-flat"),1+IF(changes[[#This Row],[Type of change]] = "Edit",COUNTIFS($I$4:changes[[#This Row],[Name]],changes[[#This Row],[Name]], $E$4:changes[[#This Row],[Type of change]], "Edit")),B26)</f>
        <v>3</v>
      </c>
      <c r="C27" s="16">
        <v>44483</v>
      </c>
      <c r="D27" s="1" t="s">
        <v>2394</v>
      </c>
      <c r="E27" t="s">
        <v>15</v>
      </c>
      <c r="F27" s="10"/>
      <c r="G27" s="10" t="s">
        <v>1684</v>
      </c>
      <c r="H27" s="11" t="s">
        <v>55</v>
      </c>
      <c r="I27" s="11" t="s">
        <v>63</v>
      </c>
      <c r="J27" s="2"/>
      <c r="K27" s="2"/>
      <c r="M27" s="2"/>
    </row>
    <row r="28" spans="1:13" ht="15.75">
      <c r="A28" t="s">
        <v>28</v>
      </c>
      <c r="B28">
        <f ca="1">IF(OR(changes[[#This Row],[Type]]="Checklist",changes[[#This Row],[Type]]="checklist-flat"),1+IF(changes[[#This Row],[Type of change]] = "Edit",COUNTIFS($I$4:changes[[#This Row],[Name]],changes[[#This Row],[Name]], $E$4:changes[[#This Row],[Type of change]], "Edit")),B27)</f>
        <v>3</v>
      </c>
      <c r="C28" s="16">
        <v>44483</v>
      </c>
      <c r="D28" s="1" t="s">
        <v>2394</v>
      </c>
      <c r="E28" t="s">
        <v>15</v>
      </c>
      <c r="F28" s="10"/>
      <c r="G28" s="10" t="s">
        <v>1684</v>
      </c>
      <c r="H28" s="11" t="s">
        <v>994</v>
      </c>
      <c r="I28" s="11" t="s">
        <v>65</v>
      </c>
      <c r="J28" s="2"/>
      <c r="K28" s="2"/>
      <c r="M28" s="2"/>
    </row>
    <row r="29" spans="1:13" ht="15.75">
      <c r="A29" t="s">
        <v>28</v>
      </c>
      <c r="B29">
        <f ca="1">IF(OR(changes[[#This Row],[Type]]="Checklist",changes[[#This Row],[Type]]="checklist-flat"),1+IF(changes[[#This Row],[Type of change]] = "Edit",COUNTIFS($I$4:changes[[#This Row],[Name]],changes[[#This Row],[Name]], $E$4:changes[[#This Row],[Type of change]], "Edit")),B28)</f>
        <v>3</v>
      </c>
      <c r="C29" s="16">
        <v>44483</v>
      </c>
      <c r="D29" s="1" t="s">
        <v>2394</v>
      </c>
      <c r="E29" t="s">
        <v>15</v>
      </c>
      <c r="F29" s="10"/>
      <c r="G29" s="10" t="s">
        <v>1684</v>
      </c>
      <c r="H29" s="11" t="s">
        <v>55</v>
      </c>
      <c r="I29" s="11" t="s">
        <v>1679</v>
      </c>
      <c r="J29" s="2"/>
      <c r="K29" s="2"/>
      <c r="M29" s="2"/>
    </row>
    <row r="30" spans="1:13" ht="15.75">
      <c r="A30" t="s">
        <v>28</v>
      </c>
      <c r="B30">
        <f ca="1">IF(OR(changes[[#This Row],[Type]]="Checklist",changes[[#This Row],[Type]]="checklist-flat"),1+IF(changes[[#This Row],[Type of change]] = "Edit",COUNTIFS($I$4:changes[[#This Row],[Name]],changes[[#This Row],[Name]], $E$4:changes[[#This Row],[Type of change]], "Edit")),B29)</f>
        <v>2</v>
      </c>
      <c r="C30" s="16">
        <v>44483</v>
      </c>
      <c r="D30" s="1" t="s">
        <v>2394</v>
      </c>
      <c r="E30" t="s">
        <v>15</v>
      </c>
      <c r="F30" s="10"/>
      <c r="G30" s="10" t="s">
        <v>1993</v>
      </c>
      <c r="H30" s="11" t="s">
        <v>478</v>
      </c>
      <c r="I30" s="11" t="s">
        <v>1993</v>
      </c>
      <c r="J30" s="2"/>
      <c r="K30" s="2"/>
      <c r="M30" s="2"/>
    </row>
    <row r="31" spans="1:13" ht="15.75">
      <c r="A31" t="s">
        <v>28</v>
      </c>
      <c r="B31">
        <f ca="1">IF(OR(changes[[#This Row],[Type]]="Checklist",changes[[#This Row],[Type]]="checklist-flat"),1+IF(changes[[#This Row],[Type of change]] = "Edit",COUNTIFS($I$4:changes[[#This Row],[Name]],changes[[#This Row],[Name]], $E$4:changes[[#This Row],[Type of change]], "Edit")),B30)</f>
        <v>2</v>
      </c>
      <c r="C31" s="16">
        <v>44483</v>
      </c>
      <c r="D31" s="1" t="s">
        <v>2394</v>
      </c>
      <c r="E31" t="s">
        <v>15</v>
      </c>
      <c r="F31" s="10"/>
      <c r="G31" s="10" t="s">
        <v>1993</v>
      </c>
      <c r="H31" s="11" t="s">
        <v>479</v>
      </c>
      <c r="I31" s="11" t="s">
        <v>1982</v>
      </c>
      <c r="J31" s="2"/>
      <c r="K31" s="2"/>
      <c r="M31" s="2"/>
    </row>
    <row r="32" spans="1:13" ht="15.75">
      <c r="A32" t="s">
        <v>28</v>
      </c>
      <c r="B32">
        <f ca="1">IF(OR(changes[[#This Row],[Type]]="Checklist",changes[[#This Row],[Type]]="checklist-flat"),1+IF(changes[[#This Row],[Type of change]] = "Edit",COUNTIFS($I$4:changes[[#This Row],[Name]],changes[[#This Row],[Name]], $E$4:changes[[#This Row],[Type of change]], "Edit")),B31)</f>
        <v>2</v>
      </c>
      <c r="C32" s="16">
        <v>44483</v>
      </c>
      <c r="D32" s="1" t="s">
        <v>2394</v>
      </c>
      <c r="E32" t="s">
        <v>15</v>
      </c>
      <c r="F32" s="10"/>
      <c r="G32" s="10" t="s">
        <v>1993</v>
      </c>
      <c r="H32" s="11" t="s">
        <v>55</v>
      </c>
      <c r="I32" s="11" t="s">
        <v>2395</v>
      </c>
      <c r="J32" s="2"/>
      <c r="K32" s="2"/>
      <c r="M32" s="2"/>
    </row>
    <row r="33" spans="1:13" ht="15.75">
      <c r="A33" t="s">
        <v>28</v>
      </c>
      <c r="B33">
        <f ca="1">IF(OR(changes[[#This Row],[Type]]="Checklist",changes[[#This Row],[Type]]="checklist-flat"),1+IF(changes[[#This Row],[Type of change]] = "Edit",COUNTIFS($I$4:changes[[#This Row],[Name]],changes[[#This Row],[Name]], $E$4:changes[[#This Row],[Type of change]], "Edit")),B32)</f>
        <v>2</v>
      </c>
      <c r="C33" s="16">
        <v>44483</v>
      </c>
      <c r="D33" s="1" t="s">
        <v>2394</v>
      </c>
      <c r="E33" t="s">
        <v>15</v>
      </c>
      <c r="F33" s="10"/>
      <c r="G33" s="10" t="s">
        <v>1993</v>
      </c>
      <c r="H33" s="11" t="s">
        <v>55</v>
      </c>
      <c r="I33" s="11" t="s">
        <v>1995</v>
      </c>
      <c r="J33" s="2"/>
      <c r="K33" s="2"/>
      <c r="M33" s="2"/>
    </row>
    <row r="34" spans="1:13" ht="15.75">
      <c r="A34" t="s">
        <v>28</v>
      </c>
      <c r="B34">
        <f ca="1">IF(OR(changes[[#This Row],[Type]]="Checklist",changes[[#This Row],[Type]]="checklist-flat"),1+IF(changes[[#This Row],[Type of change]] = "Edit",COUNTIFS($I$4:changes[[#This Row],[Name]],changes[[#This Row],[Name]], $E$4:changes[[#This Row],[Type of change]], "Edit")),B33)</f>
        <v>2</v>
      </c>
      <c r="C34" s="16">
        <v>44483</v>
      </c>
      <c r="D34" s="1" t="s">
        <v>2394</v>
      </c>
      <c r="E34" t="s">
        <v>15</v>
      </c>
      <c r="F34" s="10"/>
      <c r="G34" s="10" t="s">
        <v>1993</v>
      </c>
      <c r="H34" s="11" t="s">
        <v>479</v>
      </c>
      <c r="I34" s="11" t="s">
        <v>1625</v>
      </c>
      <c r="J34" s="2"/>
      <c r="K34" s="2"/>
      <c r="M34" s="2"/>
    </row>
    <row r="35" spans="1:13" ht="15.75">
      <c r="A35" t="s">
        <v>28</v>
      </c>
      <c r="B35">
        <f ca="1">IF(OR(changes[[#This Row],[Type]]="Checklist",changes[[#This Row],[Type]]="checklist-flat"),1+IF(changes[[#This Row],[Type of change]] = "Edit",COUNTIFS($I$4:changes[[#This Row],[Name]],changes[[#This Row],[Name]], $E$4:changes[[#This Row],[Type of change]], "Edit")),B34)</f>
        <v>2</v>
      </c>
      <c r="C35" s="16">
        <v>44483</v>
      </c>
      <c r="D35" s="1" t="s">
        <v>2394</v>
      </c>
      <c r="E35" t="s">
        <v>15</v>
      </c>
      <c r="F35" s="10"/>
      <c r="G35" s="10" t="s">
        <v>1993</v>
      </c>
      <c r="H35" s="11" t="s">
        <v>55</v>
      </c>
      <c r="I35" s="11" t="s">
        <v>1996</v>
      </c>
      <c r="J35" s="2"/>
      <c r="K35" s="2"/>
      <c r="M35" s="2"/>
    </row>
    <row r="36" spans="1:13" ht="15.75">
      <c r="A36" t="s">
        <v>28</v>
      </c>
      <c r="B36">
        <f ca="1">IF(OR(changes[[#This Row],[Type]]="Checklist",changes[[#This Row],[Type]]="checklist-flat"),1+IF(changes[[#This Row],[Type of change]] = "Edit",COUNTIFS($I$4:changes[[#This Row],[Name]],changes[[#This Row],[Name]], $E$4:changes[[#This Row],[Type of change]], "Edit")),B35)</f>
        <v>2</v>
      </c>
      <c r="C36" s="16">
        <v>44483</v>
      </c>
      <c r="D36" s="1" t="s">
        <v>2394</v>
      </c>
      <c r="E36" t="s">
        <v>15</v>
      </c>
      <c r="F36" s="10"/>
      <c r="G36" s="10" t="s">
        <v>1993</v>
      </c>
      <c r="H36" s="11" t="s">
        <v>55</v>
      </c>
      <c r="I36" s="11" t="s">
        <v>1997</v>
      </c>
      <c r="J36" s="2"/>
      <c r="K36" s="2"/>
      <c r="M36" s="2"/>
    </row>
    <row r="37" spans="1:13" ht="15.75">
      <c r="A37" t="s">
        <v>28</v>
      </c>
      <c r="B37">
        <f ca="1">IF(OR(changes[[#This Row],[Type]]="Checklist",changes[[#This Row],[Type]]="checklist-flat"),1+IF(changes[[#This Row],[Type of change]] = "Edit",COUNTIFS($I$4:changes[[#This Row],[Name]],changes[[#This Row],[Name]], $E$4:changes[[#This Row],[Type of change]], "Edit")),B36)</f>
        <v>2</v>
      </c>
      <c r="C37" s="16">
        <v>44483</v>
      </c>
      <c r="D37" s="1" t="s">
        <v>2394</v>
      </c>
      <c r="E37" t="s">
        <v>15</v>
      </c>
      <c r="F37" s="10"/>
      <c r="G37" s="10" t="s">
        <v>1993</v>
      </c>
      <c r="H37" s="11" t="s">
        <v>55</v>
      </c>
      <c r="I37" s="11" t="s">
        <v>1998</v>
      </c>
      <c r="J37" s="2"/>
      <c r="K37" s="2"/>
      <c r="M37" s="2"/>
    </row>
    <row r="38" spans="1:13" ht="15.75">
      <c r="A38" t="s">
        <v>28</v>
      </c>
      <c r="B38">
        <f ca="1">IF(OR(changes[[#This Row],[Type]]="Checklist",changes[[#This Row],[Type]]="checklist-flat"),1+IF(changes[[#This Row],[Type of change]] = "Edit",COUNTIFS($I$4:changes[[#This Row],[Name]],changes[[#This Row],[Name]], $E$4:changes[[#This Row],[Type of change]], "Edit")),B37)</f>
        <v>2</v>
      </c>
      <c r="C38" s="16">
        <v>44483</v>
      </c>
      <c r="D38" s="1" t="s">
        <v>2394</v>
      </c>
      <c r="E38" t="s">
        <v>15</v>
      </c>
      <c r="F38" s="10"/>
      <c r="G38" s="10" t="s">
        <v>1993</v>
      </c>
      <c r="H38" s="11" t="s">
        <v>55</v>
      </c>
      <c r="I38" s="11" t="s">
        <v>1999</v>
      </c>
      <c r="J38" s="2"/>
      <c r="K38" s="2"/>
      <c r="M38" s="2"/>
    </row>
    <row r="39" spans="1:13" ht="15.75" customHeight="1">
      <c r="A39" t="s">
        <v>28</v>
      </c>
      <c r="B39">
        <f ca="1">IF(OR(changes[[#This Row],[Type]]="Checklist",changes[[#This Row],[Type]]="checklist-flat"),1+IF(changes[[#This Row],[Type of change]] = "Edit",COUNTIFS($I$4:changes[[#This Row],[Name]],changes[[#This Row],[Name]], $E$4:changes[[#This Row],[Type of change]], "Edit")),B38)</f>
        <v>1</v>
      </c>
      <c r="C39" s="16">
        <v>44483</v>
      </c>
      <c r="D39" s="1" t="s">
        <v>2394</v>
      </c>
      <c r="E39" s="1" t="s">
        <v>2396</v>
      </c>
      <c r="F39" s="10"/>
      <c r="G39" s="10" t="s">
        <v>2397</v>
      </c>
      <c r="H39" s="1" t="s">
        <v>478</v>
      </c>
      <c r="I39" s="1" t="s">
        <v>2397</v>
      </c>
      <c r="J39" s="1"/>
      <c r="K39" s="2"/>
      <c r="M39" s="2"/>
    </row>
    <row r="40" spans="1:13" ht="15.75" customHeight="1">
      <c r="A40" t="s">
        <v>28</v>
      </c>
      <c r="B40">
        <f ca="1">IF(OR(changes[[#This Row],[Type]]="Checklist",changes[[#This Row],[Type]]="checklist-flat"),1+IF(changes[[#This Row],[Type of change]] = "Edit",COUNTIFS($I$4:changes[[#This Row],[Name]],changes[[#This Row],[Name]], $E$4:changes[[#This Row],[Type of change]], "Edit")),B39)</f>
        <v>1</v>
      </c>
      <c r="C40" s="16">
        <v>44483</v>
      </c>
      <c r="D40" s="1" t="s">
        <v>2394</v>
      </c>
      <c r="E40" s="1" t="s">
        <v>2396</v>
      </c>
      <c r="F40" s="10"/>
      <c r="G40" s="10" t="s">
        <v>2397</v>
      </c>
      <c r="H40" s="1" t="s">
        <v>55</v>
      </c>
      <c r="I40" s="1" t="s">
        <v>1962</v>
      </c>
      <c r="J40" s="1"/>
      <c r="K40" s="2"/>
      <c r="M40" s="2"/>
    </row>
    <row r="41" spans="1:13" ht="15.75" customHeight="1">
      <c r="A41" t="s">
        <v>28</v>
      </c>
      <c r="B41">
        <f ca="1">IF(OR(changes[[#This Row],[Type]]="Checklist",changes[[#This Row],[Type]]="checklist-flat"),1+IF(changes[[#This Row],[Type of change]] = "Edit",COUNTIFS($I$4:changes[[#This Row],[Name]],changes[[#This Row],[Name]], $E$4:changes[[#This Row],[Type of change]], "Edit")),B40)</f>
        <v>1</v>
      </c>
      <c r="C41" s="16">
        <v>44483</v>
      </c>
      <c r="D41" s="1" t="s">
        <v>2394</v>
      </c>
      <c r="E41" s="1" t="s">
        <v>2396</v>
      </c>
      <c r="F41" s="10"/>
      <c r="G41" s="10" t="s">
        <v>2397</v>
      </c>
      <c r="H41" s="1" t="s">
        <v>55</v>
      </c>
      <c r="I41" s="1" t="s">
        <v>1963</v>
      </c>
      <c r="J41" s="1"/>
      <c r="K41" s="2"/>
      <c r="M41" s="2"/>
    </row>
    <row r="42" spans="1:13" ht="15.75" customHeight="1">
      <c r="A42" t="s">
        <v>28</v>
      </c>
      <c r="B42">
        <f ca="1">IF(OR(changes[[#This Row],[Type]]="Checklist",changes[[#This Row],[Type]]="checklist-flat"),1+IF(changes[[#This Row],[Type of change]] = "Edit",COUNTIFS($I$4:changes[[#This Row],[Name]],changes[[#This Row],[Name]], $E$4:changes[[#This Row],[Type of change]], "Edit")),B41)</f>
        <v>1</v>
      </c>
      <c r="C42" s="16">
        <v>44483</v>
      </c>
      <c r="D42" s="1" t="s">
        <v>2394</v>
      </c>
      <c r="E42" s="1" t="s">
        <v>2396</v>
      </c>
      <c r="F42" s="10"/>
      <c r="G42" s="10" t="s">
        <v>2397</v>
      </c>
      <c r="H42" s="1" t="s">
        <v>55</v>
      </c>
      <c r="I42" s="1" t="s">
        <v>1964</v>
      </c>
      <c r="J42" s="1"/>
      <c r="K42" s="2"/>
      <c r="M42" s="2"/>
    </row>
    <row r="43" spans="1:13" ht="15.75" customHeight="1">
      <c r="A43" t="s">
        <v>28</v>
      </c>
      <c r="B43">
        <f ca="1">IF(OR(changes[[#This Row],[Type]]="Checklist",changes[[#This Row],[Type]]="checklist-flat"),1+IF(changes[[#This Row],[Type of change]] = "Edit",COUNTIFS($I$4:changes[[#This Row],[Name]],changes[[#This Row],[Name]], $E$4:changes[[#This Row],[Type of change]], "Edit")),B42)</f>
        <v>1</v>
      </c>
      <c r="C43" s="16">
        <v>44483</v>
      </c>
      <c r="D43" s="1" t="s">
        <v>2394</v>
      </c>
      <c r="E43" s="1" t="s">
        <v>2396</v>
      </c>
      <c r="F43" s="10"/>
      <c r="G43" s="10" t="s">
        <v>2397</v>
      </c>
      <c r="H43" s="1" t="s">
        <v>55</v>
      </c>
      <c r="I43" s="1" t="s">
        <v>1965</v>
      </c>
      <c r="J43" s="1"/>
      <c r="K43" s="2"/>
      <c r="M43" s="2"/>
    </row>
    <row r="44" spans="1:13" ht="15.75" customHeight="1">
      <c r="A44" t="s">
        <v>28</v>
      </c>
      <c r="B44">
        <f ca="1">IF(OR(changes[[#This Row],[Type]]="Checklist",changes[[#This Row],[Type]]="checklist-flat"),1+IF(changes[[#This Row],[Type of change]] = "Edit",COUNTIFS($I$4:changes[[#This Row],[Name]],changes[[#This Row],[Name]], $E$4:changes[[#This Row],[Type of change]], "Edit")),B43)</f>
        <v>1</v>
      </c>
      <c r="C44" s="16">
        <v>44483</v>
      </c>
      <c r="D44" s="1" t="s">
        <v>2394</v>
      </c>
      <c r="E44" s="1" t="s">
        <v>2396</v>
      </c>
      <c r="F44" s="10"/>
      <c r="G44" s="10" t="s">
        <v>2397</v>
      </c>
      <c r="H44" s="1" t="s">
        <v>55</v>
      </c>
      <c r="I44" s="1" t="s">
        <v>1966</v>
      </c>
      <c r="J44" s="1"/>
      <c r="K44" s="2"/>
      <c r="M44" s="2"/>
    </row>
    <row r="45" spans="1:13" ht="15.75" customHeight="1">
      <c r="A45" t="s">
        <v>28</v>
      </c>
      <c r="B45">
        <f ca="1">IF(OR(changes[[#This Row],[Type]]="Checklist",changes[[#This Row],[Type]]="checklist-flat"),1+IF(changes[[#This Row],[Type of change]] = "Edit",COUNTIFS($I$4:changes[[#This Row],[Name]],changes[[#This Row],[Name]], $E$4:changes[[#This Row],[Type of change]], "Edit")),B44)</f>
        <v>1</v>
      </c>
      <c r="C45" s="16">
        <v>44483</v>
      </c>
      <c r="D45" s="1" t="s">
        <v>2394</v>
      </c>
      <c r="E45" s="1" t="s">
        <v>2396</v>
      </c>
      <c r="F45" s="10"/>
      <c r="G45" s="10" t="s">
        <v>2397</v>
      </c>
      <c r="H45" s="1" t="s">
        <v>55</v>
      </c>
      <c r="I45" s="1" t="s">
        <v>1967</v>
      </c>
      <c r="J45" s="1"/>
      <c r="K45" s="2"/>
      <c r="M45" s="2"/>
    </row>
    <row r="46" spans="1:13" ht="15.75" customHeight="1">
      <c r="A46" t="s">
        <v>28</v>
      </c>
      <c r="B46">
        <f ca="1">IF(OR(changes[[#This Row],[Type]]="Checklist",changes[[#This Row],[Type]]="checklist-flat"),1+IF(changes[[#This Row],[Type of change]] = "Edit",COUNTIFS($I$4:changes[[#This Row],[Name]],changes[[#This Row],[Name]], $E$4:changes[[#This Row],[Type of change]], "Edit")),B45)</f>
        <v>1</v>
      </c>
      <c r="C46" s="16">
        <v>44483</v>
      </c>
      <c r="D46" s="1" t="s">
        <v>2394</v>
      </c>
      <c r="E46" s="1" t="s">
        <v>2396</v>
      </c>
      <c r="F46" s="10"/>
      <c r="G46" s="10" t="s">
        <v>2397</v>
      </c>
      <c r="H46" s="1" t="s">
        <v>55</v>
      </c>
      <c r="I46" s="1" t="s">
        <v>1969</v>
      </c>
      <c r="J46" s="1"/>
      <c r="K46" s="2"/>
      <c r="M46" s="2"/>
    </row>
    <row r="47" spans="1:13" ht="15.75" customHeight="1">
      <c r="A47" t="s">
        <v>28</v>
      </c>
      <c r="B47">
        <f ca="1">IF(OR(changes[[#This Row],[Type]]="Checklist",changes[[#This Row],[Type]]="checklist-flat"),1+IF(changes[[#This Row],[Type of change]] = "Edit",COUNTIFS($I$4:changes[[#This Row],[Name]],changes[[#This Row],[Name]], $E$4:changes[[#This Row],[Type of change]], "Edit")),B46)</f>
        <v>1</v>
      </c>
      <c r="C47" s="16">
        <v>44483</v>
      </c>
      <c r="D47" s="1" t="s">
        <v>2394</v>
      </c>
      <c r="E47" s="1" t="s">
        <v>2396</v>
      </c>
      <c r="F47" s="10"/>
      <c r="G47" s="10" t="s">
        <v>2397</v>
      </c>
      <c r="H47" s="1" t="s">
        <v>55</v>
      </c>
      <c r="I47" s="1" t="s">
        <v>1971</v>
      </c>
      <c r="J47" s="1"/>
      <c r="K47" s="2"/>
      <c r="M47" s="2"/>
    </row>
    <row r="48" spans="1:13" ht="15.75" customHeight="1">
      <c r="A48" t="s">
        <v>28</v>
      </c>
      <c r="B48">
        <f ca="1">IF(OR(changes[[#This Row],[Type]]="Checklist",changes[[#This Row],[Type]]="checklist-flat"),1+IF(changes[[#This Row],[Type of change]] = "Edit",COUNTIFS($I$4:changes[[#This Row],[Name]],changes[[#This Row],[Name]], $E$4:changes[[#This Row],[Type of change]], "Edit")),B47)</f>
        <v>1</v>
      </c>
      <c r="C48" s="16">
        <v>44483</v>
      </c>
      <c r="D48" s="1" t="s">
        <v>2394</v>
      </c>
      <c r="E48" s="1" t="s">
        <v>2396</v>
      </c>
      <c r="F48" s="10"/>
      <c r="G48" s="10" t="s">
        <v>2397</v>
      </c>
      <c r="H48" s="1" t="s">
        <v>55</v>
      </c>
      <c r="I48" s="1" t="s">
        <v>1973</v>
      </c>
      <c r="J48" s="1"/>
      <c r="K48" s="2"/>
      <c r="M48" s="2"/>
    </row>
    <row r="49" spans="1:13" ht="15.75" customHeight="1">
      <c r="A49" t="s">
        <v>28</v>
      </c>
      <c r="B49">
        <f ca="1">IF(OR(changes[[#This Row],[Type]]="Checklist",changes[[#This Row],[Type]]="checklist-flat"),1+IF(changes[[#This Row],[Type of change]] = "Edit",COUNTIFS($I$4:changes[[#This Row],[Name]],changes[[#This Row],[Name]], $E$4:changes[[#This Row],[Type of change]], "Edit")),B48)</f>
        <v>1</v>
      </c>
      <c r="C49" s="16">
        <v>44483</v>
      </c>
      <c r="D49" s="1" t="s">
        <v>2394</v>
      </c>
      <c r="E49" s="1" t="s">
        <v>2396</v>
      </c>
      <c r="F49" s="10"/>
      <c r="G49" s="10" t="s">
        <v>2397</v>
      </c>
      <c r="H49" s="1" t="s">
        <v>55</v>
      </c>
      <c r="I49" s="1" t="s">
        <v>1974</v>
      </c>
      <c r="J49" s="1"/>
      <c r="K49" s="1"/>
      <c r="M49" s="2"/>
    </row>
    <row r="50" spans="1:13" ht="15.75" customHeight="1">
      <c r="A50" t="s">
        <v>28</v>
      </c>
      <c r="B50">
        <f ca="1">IF(OR(changes[[#This Row],[Type]]="Checklist",changes[[#This Row],[Type]]="checklist-flat"),1+IF(changes[[#This Row],[Type of change]] = "Edit",COUNTIFS($I$4:changes[[#This Row],[Name]],changes[[#This Row],[Name]], $E$4:changes[[#This Row],[Type of change]], "Edit")),B49)</f>
        <v>1</v>
      </c>
      <c r="C50" s="16">
        <v>44483</v>
      </c>
      <c r="D50" s="1" t="s">
        <v>2394</v>
      </c>
      <c r="E50" s="1" t="s">
        <v>2396</v>
      </c>
      <c r="F50" s="10"/>
      <c r="G50" s="10" t="s">
        <v>2397</v>
      </c>
      <c r="H50" s="1" t="s">
        <v>55</v>
      </c>
      <c r="I50" s="1" t="s">
        <v>1679</v>
      </c>
      <c r="J50" s="1"/>
      <c r="K50" s="1"/>
      <c r="M50" s="2"/>
    </row>
    <row r="51" spans="1:13" ht="15.75">
      <c r="A51" t="s">
        <v>28</v>
      </c>
      <c r="B51">
        <f ca="1">IF(OR(changes[[#This Row],[Type]]="Checklist",changes[[#This Row],[Type]]="checklist-flat"),1+IF(changes[[#This Row],[Type of change]] = "Edit",COUNTIFS($I$4:changes[[#This Row],[Name]],changes[[#This Row],[Name]], $E$4:changes[[#This Row],[Type of change]], "Edit")),B50)</f>
        <v>1</v>
      </c>
      <c r="C51" s="16">
        <v>44484</v>
      </c>
      <c r="D51" s="1" t="s">
        <v>2394</v>
      </c>
      <c r="E51" t="s">
        <v>19</v>
      </c>
      <c r="F51" s="10"/>
      <c r="G51" s="10" t="s">
        <v>2398</v>
      </c>
      <c r="H51" s="2" t="s">
        <v>478</v>
      </c>
      <c r="I51" s="25" t="s">
        <v>2398</v>
      </c>
      <c r="J51" s="2"/>
      <c r="K51" s="2"/>
      <c r="M51" s="2"/>
    </row>
    <row r="52" spans="1:13" ht="15.75">
      <c r="A52" t="s">
        <v>28</v>
      </c>
      <c r="B52">
        <f ca="1">IF(OR(changes[[#This Row],[Type]]="Checklist",changes[[#This Row],[Type]]="checklist-flat"),1+IF(changes[[#This Row],[Type of change]] = "Edit",COUNTIFS($I$4:changes[[#This Row],[Name]],changes[[#This Row],[Name]], $E$4:changes[[#This Row],[Type of change]], "Edit")),B51)</f>
        <v>1</v>
      </c>
      <c r="C52" s="16">
        <v>44484</v>
      </c>
      <c r="D52" s="26" t="s">
        <v>2394</v>
      </c>
      <c r="E52" s="27" t="s">
        <v>19</v>
      </c>
      <c r="F52" s="10"/>
      <c r="G52" s="10" t="s">
        <v>2398</v>
      </c>
      <c r="H52" s="2" t="s">
        <v>479</v>
      </c>
      <c r="I52" s="25" t="s">
        <v>1716</v>
      </c>
      <c r="J52" s="2"/>
      <c r="K52" s="2"/>
      <c r="M52" s="2"/>
    </row>
    <row r="53" spans="1:13" ht="15.75">
      <c r="A53" t="s">
        <v>28</v>
      </c>
      <c r="B53">
        <f ca="1">IF(OR(changes[[#This Row],[Type]]="Checklist",changes[[#This Row],[Type]]="checklist-flat"),1+IF(changes[[#This Row],[Type of change]] = "Edit",COUNTIFS($I$4:changes[[#This Row],[Name]],changes[[#This Row],[Name]], $E$4:changes[[#This Row],[Type of change]], "Edit")),B52)</f>
        <v>1</v>
      </c>
      <c r="C53" s="16">
        <v>44484</v>
      </c>
      <c r="D53" s="26" t="s">
        <v>2394</v>
      </c>
      <c r="E53" s="27" t="s">
        <v>19</v>
      </c>
      <c r="F53" s="10"/>
      <c r="G53" s="10" t="s">
        <v>2398</v>
      </c>
      <c r="H53" s="2" t="s">
        <v>214</v>
      </c>
      <c r="I53" s="25" t="s">
        <v>1613</v>
      </c>
      <c r="J53" s="2"/>
      <c r="K53" s="2"/>
      <c r="M53" s="2"/>
    </row>
    <row r="54" spans="1:13" ht="15.75">
      <c r="A54" t="s">
        <v>28</v>
      </c>
      <c r="B54">
        <f ca="1">IF(OR(changes[[#This Row],[Type]]="Checklist",changes[[#This Row],[Type]]="checklist-flat"),1+IF(changes[[#This Row],[Type of change]] = "Edit",COUNTIFS($I$4:changes[[#This Row],[Name]],changes[[#This Row],[Name]], $E$4:changes[[#This Row],[Type of change]], "Edit")),B53)</f>
        <v>1</v>
      </c>
      <c r="C54" s="16">
        <v>44484</v>
      </c>
      <c r="D54" s="26" t="s">
        <v>2394</v>
      </c>
      <c r="E54" s="27" t="s">
        <v>19</v>
      </c>
      <c r="F54" s="10"/>
      <c r="G54" s="10" t="s">
        <v>2398</v>
      </c>
      <c r="H54" s="2" t="s">
        <v>214</v>
      </c>
      <c r="I54" s="25" t="s">
        <v>1614</v>
      </c>
      <c r="J54" s="2"/>
      <c r="K54" s="2"/>
      <c r="M54" s="2"/>
    </row>
    <row r="55" spans="1:13" ht="15.75">
      <c r="A55" t="s">
        <v>28</v>
      </c>
      <c r="B55">
        <f ca="1">IF(OR(changes[[#This Row],[Type]]="Checklist",changes[[#This Row],[Type]]="checklist-flat"),1+IF(changes[[#This Row],[Type of change]] = "Edit",COUNTIFS($I$4:changes[[#This Row],[Name]],changes[[#This Row],[Name]], $E$4:changes[[#This Row],[Type of change]], "Edit")),B54)</f>
        <v>1</v>
      </c>
      <c r="C55" s="16">
        <v>44484</v>
      </c>
      <c r="D55" s="26" t="s">
        <v>2394</v>
      </c>
      <c r="E55" s="27" t="s">
        <v>19</v>
      </c>
      <c r="F55" s="10"/>
      <c r="G55" s="10" t="s">
        <v>2398</v>
      </c>
      <c r="H55" s="2" t="s">
        <v>55</v>
      </c>
      <c r="I55" s="25" t="s">
        <v>1718</v>
      </c>
      <c r="J55" s="2"/>
      <c r="K55" s="2"/>
      <c r="M55" s="2"/>
    </row>
    <row r="56" spans="1:13" ht="15.75">
      <c r="A56" t="s">
        <v>28</v>
      </c>
      <c r="B56">
        <f ca="1">IF(OR(changes[[#This Row],[Type]]="Checklist",changes[[#This Row],[Type]]="checklist-flat"),1+IF(changes[[#This Row],[Type of change]] = "Edit",COUNTIFS($I$4:changes[[#This Row],[Name]],changes[[#This Row],[Name]], $E$4:changes[[#This Row],[Type of change]], "Edit")),B55)</f>
        <v>1</v>
      </c>
      <c r="C56" s="16">
        <v>44484</v>
      </c>
      <c r="D56" s="26" t="s">
        <v>2394</v>
      </c>
      <c r="E56" s="27" t="s">
        <v>19</v>
      </c>
      <c r="F56" s="10"/>
      <c r="G56" s="10" t="s">
        <v>2398</v>
      </c>
      <c r="H56" s="2" t="s">
        <v>479</v>
      </c>
      <c r="I56" s="25" t="s">
        <v>1719</v>
      </c>
      <c r="J56" s="2"/>
      <c r="K56" s="2"/>
      <c r="M56" s="2"/>
    </row>
    <row r="57" spans="1:13" ht="15.75">
      <c r="A57" t="s">
        <v>28</v>
      </c>
      <c r="B57">
        <f ca="1">IF(OR(changes[[#This Row],[Type]]="Checklist",changes[[#This Row],[Type]]="checklist-flat"),1+IF(changes[[#This Row],[Type of change]] = "Edit",COUNTIFS($I$4:changes[[#This Row],[Name]],changes[[#This Row],[Name]], $E$4:changes[[#This Row],[Type of change]], "Edit")),B56)</f>
        <v>1</v>
      </c>
      <c r="C57" s="16">
        <v>44484</v>
      </c>
      <c r="D57" s="26" t="s">
        <v>2394</v>
      </c>
      <c r="E57" s="27" t="s">
        <v>19</v>
      </c>
      <c r="F57" s="10"/>
      <c r="G57" s="10" t="s">
        <v>2398</v>
      </c>
      <c r="H57" s="2" t="s">
        <v>55</v>
      </c>
      <c r="I57" s="25" t="s">
        <v>1720</v>
      </c>
      <c r="J57" s="2"/>
      <c r="K57" s="2"/>
      <c r="M57" s="2"/>
    </row>
    <row r="58" spans="1:13" ht="15.75">
      <c r="A58" t="s">
        <v>28</v>
      </c>
      <c r="B58">
        <f ca="1">IF(OR(changes[[#This Row],[Type]]="Checklist",changes[[#This Row],[Type]]="checklist-flat"),1+IF(changes[[#This Row],[Type of change]] = "Edit",COUNTIFS($I$4:changes[[#This Row],[Name]],changes[[#This Row],[Name]], $E$4:changes[[#This Row],[Type of change]], "Edit")),B57)</f>
        <v>1</v>
      </c>
      <c r="C58" s="16">
        <v>44484</v>
      </c>
      <c r="D58" s="26" t="s">
        <v>2394</v>
      </c>
      <c r="E58" s="27" t="s">
        <v>19</v>
      </c>
      <c r="F58" s="10"/>
      <c r="G58" s="10" t="s">
        <v>2398</v>
      </c>
      <c r="H58" s="2" t="s">
        <v>55</v>
      </c>
      <c r="I58" s="25" t="s">
        <v>474</v>
      </c>
      <c r="J58" s="2"/>
      <c r="K58" s="2"/>
      <c r="M58" s="2"/>
    </row>
    <row r="59" spans="1:13" ht="15.75">
      <c r="A59" t="s">
        <v>28</v>
      </c>
      <c r="B59">
        <f ca="1">IF(OR(changes[[#This Row],[Type]]="Checklist",changes[[#This Row],[Type]]="checklist-flat"),1+IF(changes[[#This Row],[Type of change]] = "Edit",COUNTIFS($I$4:changes[[#This Row],[Name]],changes[[#This Row],[Name]], $E$4:changes[[#This Row],[Type of change]], "Edit")),B58)</f>
        <v>1</v>
      </c>
      <c r="C59" s="16">
        <v>44484</v>
      </c>
      <c r="D59" s="26" t="s">
        <v>2394</v>
      </c>
      <c r="E59" s="27" t="s">
        <v>19</v>
      </c>
      <c r="F59" s="10"/>
      <c r="G59" s="10" t="s">
        <v>2398</v>
      </c>
      <c r="H59" s="2" t="s">
        <v>55</v>
      </c>
      <c r="I59" s="25" t="s">
        <v>2399</v>
      </c>
      <c r="J59" s="2"/>
      <c r="K59" s="2"/>
      <c r="M59" s="2"/>
    </row>
    <row r="60" spans="1:13" ht="15.75">
      <c r="A60" t="s">
        <v>28</v>
      </c>
      <c r="B60">
        <f ca="1">IF(OR(changes[[#This Row],[Type]]="Checklist",changes[[#This Row],[Type]]="checklist-flat"),1+IF(changes[[#This Row],[Type of change]] = "Edit",COUNTIFS($I$4:changes[[#This Row],[Name]],changes[[#This Row],[Name]], $E$4:changes[[#This Row],[Type of change]], "Edit")),B59)</f>
        <v>1</v>
      </c>
      <c r="C60" s="16">
        <v>44484</v>
      </c>
      <c r="D60" s="26" t="s">
        <v>2394</v>
      </c>
      <c r="E60" s="27" t="s">
        <v>19</v>
      </c>
      <c r="F60" s="10"/>
      <c r="G60" s="10" t="s">
        <v>2398</v>
      </c>
      <c r="H60" s="2" t="s">
        <v>55</v>
      </c>
      <c r="I60" s="25" t="s">
        <v>476</v>
      </c>
      <c r="J60" s="2"/>
      <c r="K60" s="2"/>
      <c r="M60" s="2"/>
    </row>
    <row r="61" spans="1:13" ht="15.75">
      <c r="A61" t="s">
        <v>28</v>
      </c>
      <c r="B61">
        <f ca="1">IF(OR(changes[[#This Row],[Type]]="Checklist",changes[[#This Row],[Type]]="checklist-flat"),1+IF(changes[[#This Row],[Type of change]] = "Edit",COUNTIFS($I$4:changes[[#This Row],[Name]],changes[[#This Row],[Name]], $E$4:changes[[#This Row],[Type of change]], "Edit")),B60)</f>
        <v>1</v>
      </c>
      <c r="C61" s="16">
        <v>44484</v>
      </c>
      <c r="D61" s="26" t="s">
        <v>2394</v>
      </c>
      <c r="E61" s="27" t="s">
        <v>19</v>
      </c>
      <c r="F61" s="10"/>
      <c r="G61" s="10" t="s">
        <v>2398</v>
      </c>
      <c r="H61" s="2" t="s">
        <v>479</v>
      </c>
      <c r="I61" s="25" t="s">
        <v>1721</v>
      </c>
      <c r="J61" s="2"/>
      <c r="K61" s="2"/>
      <c r="M61" s="2"/>
    </row>
    <row r="62" spans="1:13" ht="15.75">
      <c r="A62" t="s">
        <v>28</v>
      </c>
      <c r="B62">
        <f ca="1">IF(OR(changes[[#This Row],[Type]]="Checklist",changes[[#This Row],[Type]]="checklist-flat"),1+IF(changes[[#This Row],[Type of change]] = "Edit",COUNTIFS($I$4:changes[[#This Row],[Name]],changes[[#This Row],[Name]], $E$4:changes[[#This Row],[Type of change]], "Edit")),B61)</f>
        <v>1</v>
      </c>
      <c r="C62" s="16">
        <v>44484</v>
      </c>
      <c r="D62" s="26" t="s">
        <v>2394</v>
      </c>
      <c r="E62" s="27" t="s">
        <v>19</v>
      </c>
      <c r="F62" s="10"/>
      <c r="G62" s="10" t="s">
        <v>2398</v>
      </c>
      <c r="H62" s="2" t="s">
        <v>55</v>
      </c>
      <c r="I62" s="25" t="s">
        <v>1722</v>
      </c>
      <c r="J62" s="2"/>
      <c r="K62" s="2"/>
      <c r="M62" s="2"/>
    </row>
    <row r="63" spans="1:13" ht="15.75">
      <c r="A63" t="s">
        <v>28</v>
      </c>
      <c r="B63">
        <f ca="1">IF(OR(changes[[#This Row],[Type]]="Checklist",changes[[#This Row],[Type]]="checklist-flat"),1+IF(changes[[#This Row],[Type of change]] = "Edit",COUNTIFS($I$4:changes[[#This Row],[Name]],changes[[#This Row],[Name]], $E$4:changes[[#This Row],[Type of change]], "Edit")),B62)</f>
        <v>1</v>
      </c>
      <c r="C63" s="16">
        <v>44484</v>
      </c>
      <c r="D63" s="26" t="s">
        <v>2394</v>
      </c>
      <c r="E63" s="27" t="s">
        <v>19</v>
      </c>
      <c r="F63" s="10"/>
      <c r="G63" s="10" t="s">
        <v>2398</v>
      </c>
      <c r="H63" s="2" t="s">
        <v>55</v>
      </c>
      <c r="I63" s="25" t="s">
        <v>1723</v>
      </c>
      <c r="J63" s="2"/>
      <c r="K63" s="2"/>
      <c r="M63" s="2"/>
    </row>
    <row r="64" spans="1:13" ht="15.75">
      <c r="A64" t="s">
        <v>28</v>
      </c>
      <c r="B64">
        <f ca="1">IF(OR(changes[[#This Row],[Type]]="Checklist",changes[[#This Row],[Type]]="checklist-flat"),1+IF(changes[[#This Row],[Type of change]] = "Edit",COUNTIFS($I$4:changes[[#This Row],[Name]],changes[[#This Row],[Name]], $E$4:changes[[#This Row],[Type of change]], "Edit")),B63)</f>
        <v>1</v>
      </c>
      <c r="C64" s="16">
        <v>44484</v>
      </c>
      <c r="D64" s="26" t="s">
        <v>2394</v>
      </c>
      <c r="E64" s="27" t="s">
        <v>19</v>
      </c>
      <c r="F64" s="10"/>
      <c r="G64" s="10" t="s">
        <v>2398</v>
      </c>
      <c r="H64" s="2" t="s">
        <v>55</v>
      </c>
      <c r="I64" s="25" t="s">
        <v>1724</v>
      </c>
      <c r="J64" s="2"/>
      <c r="K64" s="2"/>
      <c r="M64" s="2"/>
    </row>
    <row r="65" spans="1:13" ht="15.75">
      <c r="A65" t="s">
        <v>28</v>
      </c>
      <c r="B65">
        <f ca="1">IF(OR(changes[[#This Row],[Type]]="Checklist",changes[[#This Row],[Type]]="checklist-flat"),1+IF(changes[[#This Row],[Type of change]] = "Edit",COUNTIFS($I$4:changes[[#This Row],[Name]],changes[[#This Row],[Name]], $E$4:changes[[#This Row],[Type of change]], "Edit")),B64)</f>
        <v>1</v>
      </c>
      <c r="C65" s="16">
        <v>44484</v>
      </c>
      <c r="D65" s="26" t="s">
        <v>2394</v>
      </c>
      <c r="E65" s="27" t="s">
        <v>19</v>
      </c>
      <c r="F65" s="10"/>
      <c r="G65" s="10" t="s">
        <v>2398</v>
      </c>
      <c r="H65" s="2" t="s">
        <v>55</v>
      </c>
      <c r="I65" s="25" t="s">
        <v>1725</v>
      </c>
      <c r="J65" s="2"/>
      <c r="K65" s="2"/>
      <c r="M65" s="2"/>
    </row>
    <row r="66" spans="1:13" ht="15.75">
      <c r="A66" t="s">
        <v>28</v>
      </c>
      <c r="B66">
        <f ca="1">IF(OR(changes[[#This Row],[Type]]="Checklist",changes[[#This Row],[Type]]="checklist-flat"),1+IF(changes[[#This Row],[Type of change]] = "Edit",COUNTIFS($I$4:changes[[#This Row],[Name]],changes[[#This Row],[Name]], $E$4:changes[[#This Row],[Type of change]], "Edit")),B65)</f>
        <v>1</v>
      </c>
      <c r="C66" s="16">
        <v>44484</v>
      </c>
      <c r="D66" s="26" t="s">
        <v>2394</v>
      </c>
      <c r="E66" s="27" t="s">
        <v>19</v>
      </c>
      <c r="F66" s="10"/>
      <c r="G66" s="10" t="s">
        <v>2398</v>
      </c>
      <c r="H66" s="2" t="s">
        <v>55</v>
      </c>
      <c r="I66" s="25" t="s">
        <v>1726</v>
      </c>
      <c r="J66" s="2"/>
      <c r="K66" s="2"/>
      <c r="M66" s="2"/>
    </row>
    <row r="67" spans="1:13" ht="15.75">
      <c r="A67" t="s">
        <v>28</v>
      </c>
      <c r="B67">
        <f ca="1">IF(OR(changes[[#This Row],[Type]]="Checklist",changes[[#This Row],[Type]]="checklist-flat"),1+IF(changes[[#This Row],[Type of change]] = "Edit",COUNTIFS($I$4:changes[[#This Row],[Name]],changes[[#This Row],[Name]], $E$4:changes[[#This Row],[Type of change]], "Edit")),B66)</f>
        <v>1</v>
      </c>
      <c r="C67" s="16">
        <v>44484</v>
      </c>
      <c r="D67" s="1" t="s">
        <v>2394</v>
      </c>
      <c r="E67" t="s">
        <v>19</v>
      </c>
      <c r="F67" s="10"/>
      <c r="G67" s="10" t="s">
        <v>2398</v>
      </c>
      <c r="H67" s="2" t="s">
        <v>951</v>
      </c>
      <c r="I67" s="25" t="s">
        <v>1727</v>
      </c>
      <c r="J67" s="2"/>
      <c r="K67" s="2"/>
      <c r="M67" s="2"/>
    </row>
    <row r="68" spans="1:13" ht="15.75">
      <c r="A68" t="s">
        <v>28</v>
      </c>
      <c r="B68">
        <f ca="1">IF(OR(changes[[#This Row],[Type]]="Checklist",changes[[#This Row],[Type]]="checklist-flat"),1+IF(changes[[#This Row],[Type of change]] = "Edit",COUNTIFS($I$4:changes[[#This Row],[Name]],changes[[#This Row],[Name]], $E$4:changes[[#This Row],[Type of change]], "Edit")),B67)</f>
        <v>1</v>
      </c>
      <c r="C68" s="16">
        <v>44484</v>
      </c>
      <c r="D68" s="1" t="s">
        <v>2394</v>
      </c>
      <c r="E68" t="s">
        <v>19</v>
      </c>
      <c r="F68" s="10"/>
      <c r="G68" s="10" t="s">
        <v>2398</v>
      </c>
      <c r="H68" s="2" t="s">
        <v>951</v>
      </c>
      <c r="I68" s="25" t="s">
        <v>1728</v>
      </c>
      <c r="J68" s="2"/>
      <c r="K68" s="2"/>
      <c r="M68" s="2"/>
    </row>
    <row r="69" spans="1:13" ht="15.75">
      <c r="A69" t="s">
        <v>28</v>
      </c>
      <c r="B69">
        <f ca="1">IF(OR(changes[[#This Row],[Type]]="Checklist",changes[[#This Row],[Type]]="checklist-flat"),1+IF(changes[[#This Row],[Type of change]] = "Edit",COUNTIFS($I$4:changes[[#This Row],[Name]],changes[[#This Row],[Name]], $E$4:changes[[#This Row],[Type of change]], "Edit")),B68)</f>
        <v>1</v>
      </c>
      <c r="C69" s="16">
        <v>44484</v>
      </c>
      <c r="D69" s="1" t="s">
        <v>2394</v>
      </c>
      <c r="E69" t="s">
        <v>19</v>
      </c>
      <c r="F69" s="10"/>
      <c r="G69" s="10" t="s">
        <v>2398</v>
      </c>
      <c r="H69" s="2" t="s">
        <v>55</v>
      </c>
      <c r="I69" s="25" t="s">
        <v>1729</v>
      </c>
      <c r="J69" s="2"/>
      <c r="K69" s="2"/>
      <c r="M69" s="2"/>
    </row>
    <row r="70" spans="1:13" ht="15.75">
      <c r="A70" t="s">
        <v>28</v>
      </c>
      <c r="B70">
        <f ca="1">IF(OR(changes[[#This Row],[Type]]="Checklist",changes[[#This Row],[Type]]="checklist-flat"),1+IF(changes[[#This Row],[Type of change]] = "Edit",COUNTIFS($I$4:changes[[#This Row],[Name]],changes[[#This Row],[Name]], $E$4:changes[[#This Row],[Type of change]], "Edit")),B69)</f>
        <v>1</v>
      </c>
      <c r="C70" s="16">
        <v>44484</v>
      </c>
      <c r="D70" s="1" t="s">
        <v>2394</v>
      </c>
      <c r="E70" t="s">
        <v>19</v>
      </c>
      <c r="F70" s="10"/>
      <c r="G70" s="10" t="s">
        <v>2398</v>
      </c>
      <c r="H70" s="2" t="s">
        <v>55</v>
      </c>
      <c r="I70" s="25" t="s">
        <v>1730</v>
      </c>
      <c r="J70" s="2"/>
      <c r="K70" s="2"/>
      <c r="M70" s="2"/>
    </row>
    <row r="71" spans="1:13" ht="15.75">
      <c r="A71" t="s">
        <v>28</v>
      </c>
      <c r="B71">
        <f ca="1">IF(OR(changes[[#This Row],[Type]]="Checklist",changes[[#This Row],[Type]]="checklist-flat"),1+IF(changes[[#This Row],[Type of change]] = "Edit",COUNTIFS($I$4:changes[[#This Row],[Name]],changes[[#This Row],[Name]], $E$4:changes[[#This Row],[Type of change]], "Edit")),B70)</f>
        <v>1</v>
      </c>
      <c r="C71" s="16">
        <v>44484</v>
      </c>
      <c r="D71" s="1" t="s">
        <v>2394</v>
      </c>
      <c r="E71" t="s">
        <v>19</v>
      </c>
      <c r="F71" s="10"/>
      <c r="G71" s="10" t="s">
        <v>2398</v>
      </c>
      <c r="H71" s="2" t="s">
        <v>55</v>
      </c>
      <c r="I71" s="25" t="s">
        <v>1731</v>
      </c>
      <c r="J71" s="2"/>
      <c r="K71" s="2"/>
      <c r="M71" s="2"/>
    </row>
    <row r="72" spans="1:13" ht="15.75">
      <c r="A72" t="s">
        <v>28</v>
      </c>
      <c r="B72">
        <f ca="1">IF(OR(changes[[#This Row],[Type]]="Checklist",changes[[#This Row],[Type]]="checklist-flat"),1+IF(changes[[#This Row],[Type of change]] = "Edit",COUNTIFS($I$4:changes[[#This Row],[Name]],changes[[#This Row],[Name]], $E$4:changes[[#This Row],[Type of change]], "Edit")),B71)</f>
        <v>1</v>
      </c>
      <c r="C72" s="16">
        <v>44484</v>
      </c>
      <c r="D72" s="1" t="s">
        <v>2394</v>
      </c>
      <c r="E72" t="s">
        <v>19</v>
      </c>
      <c r="F72" s="10"/>
      <c r="G72" s="10" t="s">
        <v>2398</v>
      </c>
      <c r="H72" s="2" t="s">
        <v>55</v>
      </c>
      <c r="I72" s="25" t="s">
        <v>1732</v>
      </c>
      <c r="J72" s="2"/>
      <c r="K72" s="2"/>
      <c r="M72" s="2"/>
    </row>
    <row r="73" spans="1:13" ht="15.75">
      <c r="A73" t="s">
        <v>28</v>
      </c>
      <c r="B73">
        <f ca="1">IF(OR(changes[[#This Row],[Type]]="Checklist",changes[[#This Row],[Type]]="checklist-flat"),1+IF(changes[[#This Row],[Type of change]] = "Edit",COUNTIFS($I$4:changes[[#This Row],[Name]],changes[[#This Row],[Name]], $E$4:changes[[#This Row],[Type of change]], "Edit")),B72)</f>
        <v>1</v>
      </c>
      <c r="C73" s="16">
        <v>44484</v>
      </c>
      <c r="D73" s="1" t="s">
        <v>2394</v>
      </c>
      <c r="E73" t="s">
        <v>19</v>
      </c>
      <c r="F73" s="10"/>
      <c r="G73" s="10" t="s">
        <v>2398</v>
      </c>
      <c r="H73" s="2" t="s">
        <v>55</v>
      </c>
      <c r="I73" s="25" t="s">
        <v>1583</v>
      </c>
      <c r="J73" s="2"/>
      <c r="K73" s="2"/>
      <c r="M73" s="2"/>
    </row>
    <row r="74" spans="1:13" ht="15.75">
      <c r="A74" t="s">
        <v>28</v>
      </c>
      <c r="B74">
        <f ca="1">IF(OR(changes[[#This Row],[Type]]="Checklist",changes[[#This Row],[Type]]="checklist-flat"),1+IF(changes[[#This Row],[Type of change]] = "Edit",COUNTIFS($I$4:changes[[#This Row],[Name]],changes[[#This Row],[Name]], $E$4:changes[[#This Row],[Type of change]], "Edit")),B73)</f>
        <v>1</v>
      </c>
      <c r="C74" s="16">
        <v>44484</v>
      </c>
      <c r="D74" s="1" t="s">
        <v>2394</v>
      </c>
      <c r="E74" t="s">
        <v>19</v>
      </c>
      <c r="F74" s="10"/>
      <c r="G74" s="10" t="s">
        <v>2398</v>
      </c>
      <c r="H74" s="2" t="s">
        <v>55</v>
      </c>
      <c r="I74" s="25" t="s">
        <v>1733</v>
      </c>
      <c r="J74" s="2"/>
      <c r="K74" s="2"/>
      <c r="M74" s="2"/>
    </row>
    <row r="75" spans="1:13" ht="15.75">
      <c r="A75" t="s">
        <v>28</v>
      </c>
      <c r="B75">
        <f ca="1">IF(OR(changes[[#This Row],[Type]]="Checklist",changes[[#This Row],[Type]]="checklist-flat"),1+IF(changes[[#This Row],[Type of change]] = "Edit",COUNTIFS($I$4:changes[[#This Row],[Name]],changes[[#This Row],[Name]], $E$4:changes[[#This Row],[Type of change]], "Edit")),B74)</f>
        <v>1</v>
      </c>
      <c r="C75" s="16">
        <v>44484</v>
      </c>
      <c r="D75" s="1" t="s">
        <v>2394</v>
      </c>
      <c r="E75" t="s">
        <v>19</v>
      </c>
      <c r="F75" s="10"/>
      <c r="G75" s="10" t="s">
        <v>2398</v>
      </c>
      <c r="H75" s="2" t="s">
        <v>479</v>
      </c>
      <c r="I75" s="25" t="s">
        <v>1734</v>
      </c>
      <c r="J75" s="2"/>
      <c r="K75" s="2"/>
      <c r="M75" s="2"/>
    </row>
    <row r="76" spans="1:13" ht="15.75">
      <c r="A76" t="s">
        <v>28</v>
      </c>
      <c r="B76">
        <f ca="1">IF(OR(changes[[#This Row],[Type]]="Checklist",changes[[#This Row],[Type]]="checklist-flat"),1+IF(changes[[#This Row],[Type of change]] = "Edit",COUNTIFS($I$4:changes[[#This Row],[Name]],changes[[#This Row],[Name]], $E$4:changes[[#This Row],[Type of change]], "Edit")),B75)</f>
        <v>1</v>
      </c>
      <c r="C76" s="16">
        <v>44484</v>
      </c>
      <c r="D76" s="1" t="s">
        <v>2394</v>
      </c>
      <c r="E76" t="s">
        <v>19</v>
      </c>
      <c r="F76" s="10"/>
      <c r="G76" s="10" t="s">
        <v>2398</v>
      </c>
      <c r="H76" s="2" t="s">
        <v>55</v>
      </c>
      <c r="I76" s="25" t="s">
        <v>1736</v>
      </c>
      <c r="J76" s="2"/>
      <c r="K76" s="2"/>
      <c r="M76" s="2"/>
    </row>
    <row r="77" spans="1:13" ht="15.75">
      <c r="A77" t="s">
        <v>28</v>
      </c>
      <c r="B77">
        <f ca="1">IF(OR(changes[[#This Row],[Type]]="Checklist",changes[[#This Row],[Type]]="checklist-flat"),1+IF(changes[[#This Row],[Type of change]] = "Edit",COUNTIFS($I$4:changes[[#This Row],[Name]],changes[[#This Row],[Name]], $E$4:changes[[#This Row],[Type of change]], "Edit")),B76)</f>
        <v>1</v>
      </c>
      <c r="C77" s="16">
        <v>44484</v>
      </c>
      <c r="D77" s="1" t="s">
        <v>2394</v>
      </c>
      <c r="E77" t="s">
        <v>19</v>
      </c>
      <c r="F77" s="10"/>
      <c r="G77" s="10" t="s">
        <v>2398</v>
      </c>
      <c r="H77" s="2" t="s">
        <v>55</v>
      </c>
      <c r="I77" s="25" t="s">
        <v>1737</v>
      </c>
      <c r="J77" s="2"/>
      <c r="K77" s="2"/>
      <c r="M77" s="2"/>
    </row>
    <row r="78" spans="1:13" ht="15.75">
      <c r="A78" t="s">
        <v>28</v>
      </c>
      <c r="B78">
        <f ca="1">IF(OR(changes[[#This Row],[Type]]="Checklist",changes[[#This Row],[Type]]="checklist-flat"),1+IF(changes[[#This Row],[Type of change]] = "Edit",COUNTIFS($I$4:changes[[#This Row],[Name]],changes[[#This Row],[Name]], $E$4:changes[[#This Row],[Type of change]], "Edit")),B77)</f>
        <v>1</v>
      </c>
      <c r="C78" s="16">
        <v>44484</v>
      </c>
      <c r="D78" s="1" t="s">
        <v>2394</v>
      </c>
      <c r="E78" t="s">
        <v>19</v>
      </c>
      <c r="F78" s="10"/>
      <c r="G78" s="10" t="s">
        <v>2398</v>
      </c>
      <c r="H78" s="2" t="s">
        <v>55</v>
      </c>
      <c r="I78" s="25" t="s">
        <v>1738</v>
      </c>
      <c r="J78" s="2"/>
      <c r="K78" s="2"/>
      <c r="M78" s="2"/>
    </row>
    <row r="79" spans="1:13" ht="15.75">
      <c r="A79" t="s">
        <v>28</v>
      </c>
      <c r="B79">
        <f ca="1">IF(OR(changes[[#This Row],[Type]]="Checklist",changes[[#This Row],[Type]]="checklist-flat"),1+IF(changes[[#This Row],[Type of change]] = "Edit",COUNTIFS($I$4:changes[[#This Row],[Name]],changes[[#This Row],[Name]], $E$4:changes[[#This Row],[Type of change]], "Edit")),B78)</f>
        <v>1</v>
      </c>
      <c r="C79" s="16">
        <v>44484</v>
      </c>
      <c r="D79" s="1" t="s">
        <v>2394</v>
      </c>
      <c r="E79" t="s">
        <v>19</v>
      </c>
      <c r="F79" s="10"/>
      <c r="G79" s="10" t="s">
        <v>2398</v>
      </c>
      <c r="H79" s="2" t="s">
        <v>479</v>
      </c>
      <c r="I79" s="25" t="s">
        <v>1739</v>
      </c>
      <c r="J79" s="2"/>
      <c r="K79" s="2"/>
      <c r="M79" s="2"/>
    </row>
    <row r="80" spans="1:13" ht="14.25" customHeight="1">
      <c r="A80" t="s">
        <v>28</v>
      </c>
      <c r="B80">
        <f ca="1">IF(OR(changes[[#This Row],[Type]]="Checklist",changes[[#This Row],[Type]]="checklist-flat"),1+IF(changes[[#This Row],[Type of change]] = "Edit",COUNTIFS($I$4:changes[[#This Row],[Name]],changes[[#This Row],[Name]], $E$4:changes[[#This Row],[Type of change]], "Edit")),B79)</f>
        <v>1</v>
      </c>
      <c r="C80" s="16">
        <v>44484</v>
      </c>
      <c r="D80" s="1" t="s">
        <v>2394</v>
      </c>
      <c r="E80" t="s">
        <v>19</v>
      </c>
      <c r="F80" s="10"/>
      <c r="G80" s="10" t="s">
        <v>2398</v>
      </c>
      <c r="H80" s="2" t="s">
        <v>214</v>
      </c>
      <c r="I80" s="25" t="s">
        <v>1741</v>
      </c>
      <c r="J80" s="2"/>
      <c r="K80" s="2"/>
      <c r="M80" s="2"/>
    </row>
    <row r="81" spans="1:13" ht="14.25" customHeight="1">
      <c r="A81" t="s">
        <v>28</v>
      </c>
      <c r="B81">
        <f ca="1">IF(OR(changes[[#This Row],[Type]]="Checklist",changes[[#This Row],[Type]]="checklist-flat"),1+IF(changes[[#This Row],[Type of change]] = "Edit",COUNTIFS($I$4:changes[[#This Row],[Name]],changes[[#This Row],[Name]], $E$4:changes[[#This Row],[Type of change]], "Edit")),B80)</f>
        <v>1</v>
      </c>
      <c r="C81" s="16">
        <v>44484</v>
      </c>
      <c r="D81" s="1" t="s">
        <v>2394</v>
      </c>
      <c r="E81" t="s">
        <v>19</v>
      </c>
      <c r="F81" s="10"/>
      <c r="G81" s="10" t="s">
        <v>2398</v>
      </c>
      <c r="H81" s="2" t="s">
        <v>214</v>
      </c>
      <c r="I81" s="25" t="s">
        <v>1618</v>
      </c>
      <c r="J81" s="2" t="s">
        <v>1742</v>
      </c>
      <c r="K81" s="2"/>
      <c r="M81" s="2"/>
    </row>
    <row r="82" spans="1:13" ht="14.25" customHeight="1">
      <c r="A82" t="s">
        <v>28</v>
      </c>
      <c r="B82">
        <f ca="1">IF(OR(changes[[#This Row],[Type]]="Checklist",changes[[#This Row],[Type]]="checklist-flat"),1+IF(changes[[#This Row],[Type of change]] = "Edit",COUNTIFS($I$4:changes[[#This Row],[Name]],changes[[#This Row],[Name]], $E$4:changes[[#This Row],[Type of change]], "Edit")),B81)</f>
        <v>1</v>
      </c>
      <c r="C82" s="16">
        <v>44484</v>
      </c>
      <c r="D82" s="1" t="s">
        <v>2394</v>
      </c>
      <c r="E82" t="s">
        <v>19</v>
      </c>
      <c r="F82" s="10"/>
      <c r="G82" s="10" t="s">
        <v>2398</v>
      </c>
      <c r="H82" s="2" t="s">
        <v>214</v>
      </c>
      <c r="I82" s="25" t="s">
        <v>1619</v>
      </c>
      <c r="J82" s="2" t="s">
        <v>1742</v>
      </c>
      <c r="K82" s="2"/>
      <c r="M82" s="2"/>
    </row>
    <row r="83" spans="1:13" ht="14.25" customHeight="1">
      <c r="A83" t="s">
        <v>28</v>
      </c>
      <c r="B83">
        <f ca="1">IF(OR(changes[[#This Row],[Type]]="Checklist",changes[[#This Row],[Type]]="checklist-flat"),1+IF(changes[[#This Row],[Type of change]] = "Edit",COUNTIFS($I$4:changes[[#This Row],[Name]],changes[[#This Row],[Name]], $E$4:changes[[#This Row],[Type of change]], "Edit")),B82)</f>
        <v>1</v>
      </c>
      <c r="C83" s="16">
        <v>44484</v>
      </c>
      <c r="D83" s="1" t="s">
        <v>2394</v>
      </c>
      <c r="E83" t="s">
        <v>19</v>
      </c>
      <c r="F83" s="10"/>
      <c r="G83" s="10" t="s">
        <v>2398</v>
      </c>
      <c r="H83" s="2" t="s">
        <v>214</v>
      </c>
      <c r="I83" s="25" t="s">
        <v>1620</v>
      </c>
      <c r="J83" s="2" t="s">
        <v>1743</v>
      </c>
      <c r="K83" s="2"/>
      <c r="M83" s="2"/>
    </row>
    <row r="84" spans="1:13" ht="14.25" customHeight="1">
      <c r="A84" t="s">
        <v>28</v>
      </c>
      <c r="B84">
        <f ca="1">IF(OR(changes[[#This Row],[Type]]="Checklist",changes[[#This Row],[Type]]="checklist-flat"),1+IF(changes[[#This Row],[Type of change]] = "Edit",COUNTIFS($I$4:changes[[#This Row],[Name]],changes[[#This Row],[Name]], $E$4:changes[[#This Row],[Type of change]], "Edit")),B83)</f>
        <v>1</v>
      </c>
      <c r="C84" s="16">
        <v>44484</v>
      </c>
      <c r="D84" s="1" t="s">
        <v>2394</v>
      </c>
      <c r="E84" t="s">
        <v>19</v>
      </c>
      <c r="F84" s="10"/>
      <c r="G84" s="10" t="s">
        <v>2398</v>
      </c>
      <c r="H84" s="2" t="s">
        <v>437</v>
      </c>
      <c r="I84" s="25" t="s">
        <v>1621</v>
      </c>
      <c r="J84" s="2"/>
      <c r="K84" s="2"/>
      <c r="M84" s="2"/>
    </row>
    <row r="85" spans="1:13" ht="14.25" customHeight="1">
      <c r="A85" t="s">
        <v>28</v>
      </c>
      <c r="B85">
        <f ca="1">IF(OR(changes[[#This Row],[Type]]="Checklist",changes[[#This Row],[Type]]="checklist-flat"),1+IF(changes[[#This Row],[Type of change]] = "Edit",COUNTIFS($I$4:changes[[#This Row],[Name]],changes[[#This Row],[Name]], $E$4:changes[[#This Row],[Type of change]], "Edit")),B84)</f>
        <v>1</v>
      </c>
      <c r="C85" s="16">
        <v>44484</v>
      </c>
      <c r="D85" s="1" t="s">
        <v>2394</v>
      </c>
      <c r="E85" t="s">
        <v>19</v>
      </c>
      <c r="F85" s="10"/>
      <c r="G85" s="10" t="s">
        <v>2398</v>
      </c>
      <c r="H85" s="2" t="s">
        <v>55</v>
      </c>
      <c r="I85" s="25" t="s">
        <v>1581</v>
      </c>
      <c r="J85" s="2"/>
      <c r="K85" s="2"/>
      <c r="M85" s="2"/>
    </row>
    <row r="86" spans="1:13" ht="14.25" customHeight="1">
      <c r="A86" t="s">
        <v>28</v>
      </c>
      <c r="B86">
        <f ca="1">IF(OR(changes[[#This Row],[Type]]="Checklist",changes[[#This Row],[Type]]="checklist-flat"),1+IF(changes[[#This Row],[Type of change]] = "Edit",COUNTIFS($I$4:changes[[#This Row],[Name]],changes[[#This Row],[Name]], $E$4:changes[[#This Row],[Type of change]], "Edit")),B85)</f>
        <v>1</v>
      </c>
      <c r="C86" s="16">
        <v>44484</v>
      </c>
      <c r="D86" s="1" t="s">
        <v>2394</v>
      </c>
      <c r="E86" t="s">
        <v>19</v>
      </c>
      <c r="F86" s="10"/>
      <c r="G86" s="10" t="s">
        <v>2398</v>
      </c>
      <c r="H86" s="2" t="s">
        <v>55</v>
      </c>
      <c r="I86" s="25" t="s">
        <v>1582</v>
      </c>
      <c r="J86" s="2"/>
      <c r="K86" s="2"/>
      <c r="M86" s="2"/>
    </row>
    <row r="87" spans="1:13" ht="14.25" customHeight="1">
      <c r="A87" t="s">
        <v>28</v>
      </c>
      <c r="B87">
        <f ca="1">IF(OR(changes[[#This Row],[Type]]="Checklist",changes[[#This Row],[Type]]="checklist-flat"),1+IF(changes[[#This Row],[Type of change]] = "Edit",COUNTIFS($I$4:changes[[#This Row],[Name]],changes[[#This Row],[Name]], $E$4:changes[[#This Row],[Type of change]], "Edit")),B86)</f>
        <v>1</v>
      </c>
      <c r="C87" s="16">
        <v>44484</v>
      </c>
      <c r="D87" s="1" t="s">
        <v>2394</v>
      </c>
      <c r="E87" t="s">
        <v>19</v>
      </c>
      <c r="F87" s="10"/>
      <c r="G87" s="10" t="s">
        <v>2398</v>
      </c>
      <c r="H87" s="2" t="s">
        <v>479</v>
      </c>
      <c r="I87" s="25" t="s">
        <v>1744</v>
      </c>
      <c r="J87" s="2"/>
      <c r="K87" s="2"/>
      <c r="M87" s="2"/>
    </row>
    <row r="88" spans="1:13" ht="14.25" customHeight="1">
      <c r="A88" t="s">
        <v>28</v>
      </c>
      <c r="B88">
        <f ca="1">IF(OR(changes[[#This Row],[Type]]="Checklist",changes[[#This Row],[Type]]="checklist-flat"),1+IF(changes[[#This Row],[Type of change]] = "Edit",COUNTIFS($I$4:changes[[#This Row],[Name]],changes[[#This Row],[Name]], $E$4:changes[[#This Row],[Type of change]], "Edit")),B87)</f>
        <v>1</v>
      </c>
      <c r="C88" s="16">
        <v>44484</v>
      </c>
      <c r="D88" s="1" t="s">
        <v>2394</v>
      </c>
      <c r="E88" t="s">
        <v>19</v>
      </c>
      <c r="F88" s="10"/>
      <c r="G88" s="10" t="s">
        <v>2398</v>
      </c>
      <c r="H88" s="2" t="s">
        <v>55</v>
      </c>
      <c r="I88" s="25" t="s">
        <v>1745</v>
      </c>
      <c r="J88" s="2"/>
      <c r="K88" s="2"/>
      <c r="M88" s="2"/>
    </row>
    <row r="89" spans="1:13" ht="14.25" customHeight="1">
      <c r="A89" t="s">
        <v>28</v>
      </c>
      <c r="B89">
        <f ca="1">IF(OR(changes[[#This Row],[Type]]="Checklist",changes[[#This Row],[Type]]="checklist-flat"),1+IF(changes[[#This Row],[Type of change]] = "Edit",COUNTIFS($I$4:changes[[#This Row],[Name]],changes[[#This Row],[Name]], $E$4:changes[[#This Row],[Type of change]], "Edit")),B88)</f>
        <v>1</v>
      </c>
      <c r="C89" s="16">
        <v>44484</v>
      </c>
      <c r="D89" s="1" t="s">
        <v>2394</v>
      </c>
      <c r="E89" t="s">
        <v>19</v>
      </c>
      <c r="F89" s="10"/>
      <c r="G89" s="10" t="s">
        <v>2398</v>
      </c>
      <c r="H89" s="2" t="s">
        <v>55</v>
      </c>
      <c r="I89" s="25" t="s">
        <v>1746</v>
      </c>
      <c r="J89" s="2"/>
      <c r="K89" s="2"/>
      <c r="M89" s="2"/>
    </row>
    <row r="90" spans="1:13" ht="14.25" customHeight="1">
      <c r="A90" t="s">
        <v>28</v>
      </c>
      <c r="B90">
        <f ca="1">IF(OR(changes[[#This Row],[Type]]="Checklist",changes[[#This Row],[Type]]="checklist-flat"),1+IF(changes[[#This Row],[Type of change]] = "Edit",COUNTIFS($I$4:changes[[#This Row],[Name]],changes[[#This Row],[Name]], $E$4:changes[[#This Row],[Type of change]], "Edit")),B89)</f>
        <v>1</v>
      </c>
      <c r="C90" s="16">
        <v>44484</v>
      </c>
      <c r="D90" s="1" t="s">
        <v>2394</v>
      </c>
      <c r="E90" t="s">
        <v>19</v>
      </c>
      <c r="F90" s="10"/>
      <c r="G90" s="10" t="s">
        <v>2398</v>
      </c>
      <c r="H90" s="2" t="s">
        <v>437</v>
      </c>
      <c r="I90" s="25" t="s">
        <v>1747</v>
      </c>
      <c r="J90" s="2"/>
      <c r="K90" s="2"/>
      <c r="M90" s="2"/>
    </row>
    <row r="91" spans="1:13" ht="14.25" customHeight="1">
      <c r="A91" t="s">
        <v>28</v>
      </c>
      <c r="B91">
        <f ca="1">IF(OR(changes[[#This Row],[Type]]="Checklist",changes[[#This Row],[Type]]="checklist-flat"),1+IF(changes[[#This Row],[Type of change]] = "Edit",COUNTIFS($I$4:changes[[#This Row],[Name]],changes[[#This Row],[Name]], $E$4:changes[[#This Row],[Type of change]], "Edit")),B90)</f>
        <v>1</v>
      </c>
      <c r="C91" s="16">
        <v>44484</v>
      </c>
      <c r="D91" s="1" t="s">
        <v>2394</v>
      </c>
      <c r="E91" t="s">
        <v>19</v>
      </c>
      <c r="F91" s="10"/>
      <c r="G91" s="10" t="s">
        <v>2398</v>
      </c>
      <c r="H91" s="2" t="s">
        <v>55</v>
      </c>
      <c r="I91" s="25" t="s">
        <v>1748</v>
      </c>
      <c r="J91" s="2"/>
      <c r="K91" s="2"/>
      <c r="M91" s="2"/>
    </row>
    <row r="92" spans="1:13">
      <c r="A92" t="s">
        <v>28</v>
      </c>
      <c r="B92">
        <f ca="1">IF(OR(changes[[#This Row],[Type]]="Checklist",changes[[#This Row],[Type]]="checklist-flat"),1+IF(changes[[#This Row],[Type of change]] = "Edit",COUNTIFS($I$4:changes[[#This Row],[Name]],changes[[#This Row],[Name]], $E$4:changes[[#This Row],[Type of change]], "Edit")),B91)</f>
        <v>1</v>
      </c>
      <c r="C92" s="16">
        <v>44484</v>
      </c>
      <c r="D92" s="1" t="s">
        <v>2394</v>
      </c>
      <c r="E92" s="1" t="s">
        <v>19</v>
      </c>
      <c r="F92" s="10"/>
      <c r="G92" s="10" t="s">
        <v>2398</v>
      </c>
      <c r="H92" s="1" t="s">
        <v>55</v>
      </c>
      <c r="I92" s="1" t="s">
        <v>1749</v>
      </c>
      <c r="J92" s="2"/>
      <c r="K92" s="2"/>
      <c r="M92" s="2"/>
    </row>
    <row r="93" spans="1:13">
      <c r="A93" t="s">
        <v>28</v>
      </c>
      <c r="B93">
        <f ca="1">IF(OR(changes[[#This Row],[Type]]="Checklist",changes[[#This Row],[Type]]="checklist-flat"),1+IF(changes[[#This Row],[Type of change]] = "Edit",COUNTIFS($I$4:changes[[#This Row],[Name]],changes[[#This Row],[Name]], $E$4:changes[[#This Row],[Type of change]], "Edit")),B92)</f>
        <v>1</v>
      </c>
      <c r="C93" s="16">
        <v>44484</v>
      </c>
      <c r="D93" s="1" t="s">
        <v>2394</v>
      </c>
      <c r="E93" s="1" t="s">
        <v>19</v>
      </c>
      <c r="F93" s="10"/>
      <c r="G93" s="10" t="s">
        <v>2398</v>
      </c>
      <c r="H93" s="1" t="s">
        <v>55</v>
      </c>
      <c r="I93" s="1" t="s">
        <v>1750</v>
      </c>
      <c r="J93" s="2"/>
      <c r="K93" s="2"/>
      <c r="M93" s="2"/>
    </row>
    <row r="94" spans="1:13">
      <c r="A94" t="s">
        <v>28</v>
      </c>
      <c r="B94">
        <f ca="1">IF(OR(changes[[#This Row],[Type]]="Checklist",changes[[#This Row],[Type]]="checklist-flat"),1+IF(changes[[#This Row],[Type of change]] = "Edit",COUNTIFS($I$4:changes[[#This Row],[Name]],changes[[#This Row],[Name]], $E$4:changes[[#This Row],[Type of change]], "Edit")),B93)</f>
        <v>1</v>
      </c>
      <c r="C94" s="16">
        <v>44484</v>
      </c>
      <c r="D94" s="1" t="s">
        <v>2394</v>
      </c>
      <c r="E94" s="1" t="s">
        <v>19</v>
      </c>
      <c r="F94" s="10"/>
      <c r="G94" s="10" t="s">
        <v>2398</v>
      </c>
      <c r="H94" s="1" t="s">
        <v>479</v>
      </c>
      <c r="I94" s="1" t="s">
        <v>1751</v>
      </c>
      <c r="J94" s="2"/>
      <c r="K94" s="2"/>
      <c r="M94" s="2"/>
    </row>
    <row r="95" spans="1:13">
      <c r="A95" t="s">
        <v>28</v>
      </c>
      <c r="B95">
        <f ca="1">IF(OR(changes[[#This Row],[Type]]="Checklist",changes[[#This Row],[Type]]="checklist-flat"),1+IF(changes[[#This Row],[Type of change]] = "Edit",COUNTIFS($I$4:changes[[#This Row],[Name]],changes[[#This Row],[Name]], $E$4:changes[[#This Row],[Type of change]], "Edit")),B94)</f>
        <v>1</v>
      </c>
      <c r="C95" s="16">
        <v>44484</v>
      </c>
      <c r="D95" s="1" t="s">
        <v>2394</v>
      </c>
      <c r="E95" s="1" t="s">
        <v>19</v>
      </c>
      <c r="F95" s="10"/>
      <c r="G95" s="10" t="s">
        <v>2398</v>
      </c>
      <c r="H95" s="1" t="s">
        <v>55</v>
      </c>
      <c r="I95" s="1" t="s">
        <v>1752</v>
      </c>
      <c r="J95" s="2"/>
      <c r="K95" s="2"/>
      <c r="M95" s="2"/>
    </row>
    <row r="96" spans="1:13">
      <c r="A96" t="s">
        <v>28</v>
      </c>
      <c r="B96">
        <f ca="1">IF(OR(changes[[#This Row],[Type]]="Checklist",changes[[#This Row],[Type]]="checklist-flat"),1+IF(changes[[#This Row],[Type of change]] = "Edit",COUNTIFS($I$4:changes[[#This Row],[Name]],changes[[#This Row],[Name]], $E$4:changes[[#This Row],[Type of change]], "Edit")),B95)</f>
        <v>1</v>
      </c>
      <c r="C96" s="16">
        <v>44484</v>
      </c>
      <c r="D96" s="1" t="s">
        <v>2394</v>
      </c>
      <c r="E96" s="1" t="s">
        <v>19</v>
      </c>
      <c r="F96" s="10"/>
      <c r="G96" s="10" t="s">
        <v>2398</v>
      </c>
      <c r="H96" s="1" t="s">
        <v>994</v>
      </c>
      <c r="I96" s="1" t="s">
        <v>1753</v>
      </c>
      <c r="J96" s="2"/>
      <c r="K96" s="2"/>
      <c r="M96" s="2"/>
    </row>
    <row r="97" spans="1:13">
      <c r="A97" t="s">
        <v>28</v>
      </c>
      <c r="B97">
        <f ca="1">IF(OR(changes[[#This Row],[Type]]="Checklist",changes[[#This Row],[Type]]="checklist-flat"),1+IF(changes[[#This Row],[Type of change]] = "Edit",COUNTIFS($I$4:changes[[#This Row],[Name]],changes[[#This Row],[Name]], $E$4:changes[[#This Row],[Type of change]], "Edit")),B96)</f>
        <v>1</v>
      </c>
      <c r="C97" s="16">
        <v>44484</v>
      </c>
      <c r="D97" s="1" t="s">
        <v>2394</v>
      </c>
      <c r="E97" s="1" t="s">
        <v>19</v>
      </c>
      <c r="F97" s="10"/>
      <c r="G97" s="10" t="s">
        <v>2398</v>
      </c>
      <c r="H97" s="1" t="s">
        <v>55</v>
      </c>
      <c r="I97" s="1" t="s">
        <v>1754</v>
      </c>
      <c r="J97" s="2"/>
      <c r="K97" s="2"/>
      <c r="M97" s="2"/>
    </row>
    <row r="98" spans="1:13">
      <c r="A98" t="s">
        <v>28</v>
      </c>
      <c r="B98">
        <f ca="1">IF(OR(changes[[#This Row],[Type]]="Checklist",changes[[#This Row],[Type]]="checklist-flat"),1+IF(changes[[#This Row],[Type of change]] = "Edit",COUNTIFS($I$4:changes[[#This Row],[Name]],changes[[#This Row],[Name]], $E$4:changes[[#This Row],[Type of change]], "Edit")),B97)</f>
        <v>1</v>
      </c>
      <c r="C98" s="16">
        <v>44484</v>
      </c>
      <c r="D98" s="1" t="s">
        <v>2394</v>
      </c>
      <c r="E98" s="1" t="s">
        <v>19</v>
      </c>
      <c r="F98" s="10"/>
      <c r="G98" s="10" t="s">
        <v>2400</v>
      </c>
      <c r="H98" s="1" t="s">
        <v>478</v>
      </c>
      <c r="I98" s="1" t="s">
        <v>2400</v>
      </c>
      <c r="J98" s="2"/>
      <c r="K98" s="2"/>
      <c r="M98" s="2"/>
    </row>
    <row r="99" spans="1:13">
      <c r="A99" t="s">
        <v>28</v>
      </c>
      <c r="B99">
        <f ca="1">IF(OR(changes[[#This Row],[Type]]="Checklist",changes[[#This Row],[Type]]="checklist-flat"),1+IF(changes[[#This Row],[Type of change]] = "Edit",COUNTIFS($I$4:changes[[#This Row],[Name]],changes[[#This Row],[Name]], $E$4:changes[[#This Row],[Type of change]], "Edit")),B98)</f>
        <v>1</v>
      </c>
      <c r="C99" s="16">
        <v>44484</v>
      </c>
      <c r="D99" s="1" t="s">
        <v>2394</v>
      </c>
      <c r="E99" s="1" t="s">
        <v>19</v>
      </c>
      <c r="F99" s="10"/>
      <c r="G99" s="10" t="s">
        <v>2400</v>
      </c>
      <c r="H99" s="1" t="s">
        <v>55</v>
      </c>
      <c r="I99" s="1" t="s">
        <v>62</v>
      </c>
      <c r="J99" s="2"/>
      <c r="K99" s="2"/>
      <c r="M99" s="2"/>
    </row>
    <row r="100" spans="1:13">
      <c r="A100" t="s">
        <v>28</v>
      </c>
      <c r="B100">
        <f ca="1">IF(OR(changes[[#This Row],[Type]]="Checklist",changes[[#This Row],[Type]]="checklist-flat"),1+IF(changes[[#This Row],[Type of change]] = "Edit",COUNTIFS($I$4:changes[[#This Row],[Name]],changes[[#This Row],[Name]], $E$4:changes[[#This Row],[Type of change]], "Edit")),B99)</f>
        <v>1</v>
      </c>
      <c r="C100" s="16">
        <v>44484</v>
      </c>
      <c r="D100" s="1" t="s">
        <v>2394</v>
      </c>
      <c r="E100" s="1" t="s">
        <v>19</v>
      </c>
      <c r="F100" s="10"/>
      <c r="G100" s="10" t="s">
        <v>2400</v>
      </c>
      <c r="H100" s="1" t="s">
        <v>55</v>
      </c>
      <c r="I100" s="1" t="s">
        <v>63</v>
      </c>
      <c r="J100" s="2"/>
      <c r="K100" s="2"/>
      <c r="M100" s="2"/>
    </row>
    <row r="101" spans="1:13">
      <c r="A101" t="s">
        <v>28</v>
      </c>
      <c r="B101">
        <f ca="1">IF(OR(changes[[#This Row],[Type]]="Checklist",changes[[#This Row],[Type]]="checklist-flat"),1+IF(changes[[#This Row],[Type of change]] = "Edit",COUNTIFS($I$4:changes[[#This Row],[Name]],changes[[#This Row],[Name]], $E$4:changes[[#This Row],[Type of change]], "Edit")),B100)</f>
        <v>1</v>
      </c>
      <c r="C101" s="16">
        <v>44484</v>
      </c>
      <c r="D101" s="1" t="s">
        <v>2394</v>
      </c>
      <c r="E101" s="1" t="s">
        <v>19</v>
      </c>
      <c r="F101" s="10"/>
      <c r="G101" s="10" t="s">
        <v>2400</v>
      </c>
      <c r="H101" s="1" t="s">
        <v>994</v>
      </c>
      <c r="I101" s="1" t="s">
        <v>65</v>
      </c>
      <c r="J101" s="2"/>
      <c r="K101" s="2"/>
      <c r="M101" s="2"/>
    </row>
    <row r="102" spans="1:13">
      <c r="A102" t="s">
        <v>28</v>
      </c>
      <c r="B102">
        <f ca="1">IF(OR(changes[[#This Row],[Type]]="Checklist",changes[[#This Row],[Type]]="checklist-flat"),1+IF(changes[[#This Row],[Type of change]] = "Edit",COUNTIFS($I$4:changes[[#This Row],[Name]],changes[[#This Row],[Name]], $E$4:changes[[#This Row],[Type of change]], "Edit")),B101)</f>
        <v>2</v>
      </c>
      <c r="C102" s="16">
        <v>44484</v>
      </c>
      <c r="D102" s="1" t="s">
        <v>2394</v>
      </c>
      <c r="E102" s="1" t="s">
        <v>15</v>
      </c>
      <c r="F102" s="10"/>
      <c r="G102" s="10" t="s">
        <v>1715</v>
      </c>
      <c r="H102" s="1" t="s">
        <v>478</v>
      </c>
      <c r="I102" s="1" t="s">
        <v>1715</v>
      </c>
      <c r="J102" s="2"/>
      <c r="K102" s="2"/>
      <c r="M102" s="2"/>
    </row>
    <row r="103" spans="1:13">
      <c r="A103" t="s">
        <v>28</v>
      </c>
      <c r="B103">
        <f ca="1">IF(OR(changes[[#This Row],[Type]]="Checklist",changes[[#This Row],[Type]]="checklist-flat"),1+IF(changes[[#This Row],[Type of change]] = "Edit",COUNTIFS($I$4:changes[[#This Row],[Name]],changes[[#This Row],[Name]], $E$4:changes[[#This Row],[Type of change]], "Edit")),B102)</f>
        <v>2</v>
      </c>
      <c r="C103" s="16">
        <v>44484</v>
      </c>
      <c r="D103" s="1" t="s">
        <v>2394</v>
      </c>
      <c r="E103" s="1" t="s">
        <v>15</v>
      </c>
      <c r="F103" s="10"/>
      <c r="G103" s="10" t="s">
        <v>1576</v>
      </c>
      <c r="H103" s="1" t="s">
        <v>478</v>
      </c>
      <c r="I103" s="1" t="s">
        <v>1576</v>
      </c>
      <c r="J103" s="2"/>
      <c r="K103" s="2"/>
      <c r="M103" s="2"/>
    </row>
    <row r="104" spans="1:13">
      <c r="A104" t="s">
        <v>28</v>
      </c>
      <c r="B104">
        <f ca="1">IF(OR(changes[[#This Row],[Type]]="Checklist",changes[[#This Row],[Type]]="checklist-flat"),1+IF(changes[[#This Row],[Type of change]] = "Edit",COUNTIFS($I$4:changes[[#This Row],[Name]],changes[[#This Row],[Name]], $E$4:changes[[#This Row],[Type of change]], "Edit")),B103)</f>
        <v>1</v>
      </c>
      <c r="C104" s="16">
        <v>44503</v>
      </c>
      <c r="D104" s="1" t="s">
        <v>2401</v>
      </c>
      <c r="E104" t="s">
        <v>2396</v>
      </c>
      <c r="F104" s="10"/>
      <c r="G104" s="10" t="s">
        <v>2402</v>
      </c>
      <c r="H104" s="1" t="s">
        <v>478</v>
      </c>
      <c r="I104" s="1" t="s">
        <v>2402</v>
      </c>
      <c r="J104" s="1"/>
      <c r="K104" s="1"/>
      <c r="M104" s="2"/>
    </row>
    <row r="105" spans="1:13">
      <c r="A105" t="s">
        <v>28</v>
      </c>
      <c r="B105">
        <f ca="1">IF(OR(changes[[#This Row],[Type]]="Checklist",changes[[#This Row],[Type]]="checklist-flat"),1+IF(changes[[#This Row],[Type of change]] = "Edit",COUNTIFS($I$4:changes[[#This Row],[Name]],changes[[#This Row],[Name]], $E$4:changes[[#This Row],[Type of change]], "Edit")),B104)</f>
        <v>1</v>
      </c>
      <c r="C105" s="16">
        <v>44503</v>
      </c>
      <c r="D105" s="1" t="s">
        <v>2401</v>
      </c>
      <c r="E105" t="s">
        <v>2396</v>
      </c>
      <c r="F105" s="10"/>
      <c r="G105" s="10" t="s">
        <v>2402</v>
      </c>
      <c r="H105" s="1" t="s">
        <v>55</v>
      </c>
      <c r="I105" s="1" t="s">
        <v>127</v>
      </c>
      <c r="J105" s="1"/>
      <c r="K105" s="1"/>
      <c r="M105" s="2"/>
    </row>
    <row r="106" spans="1:13">
      <c r="A106" t="s">
        <v>28</v>
      </c>
      <c r="B106">
        <f ca="1">IF(OR(changes[[#This Row],[Type]]="Checklist",changes[[#This Row],[Type]]="checklist-flat"),1+IF(changes[[#This Row],[Type of change]] = "Edit",COUNTIFS($I$4:changes[[#This Row],[Name]],changes[[#This Row],[Name]], $E$4:changes[[#This Row],[Type of change]], "Edit")),B105)</f>
        <v>1</v>
      </c>
      <c r="C106" s="16">
        <v>44503</v>
      </c>
      <c r="D106" s="1" t="s">
        <v>2401</v>
      </c>
      <c r="E106" t="s">
        <v>2396</v>
      </c>
      <c r="F106" s="10"/>
      <c r="G106" s="10" t="s">
        <v>2402</v>
      </c>
      <c r="H106" s="1" t="s">
        <v>55</v>
      </c>
      <c r="I106" s="1" t="s">
        <v>128</v>
      </c>
      <c r="J106" s="1"/>
      <c r="K106" s="1"/>
      <c r="M106" s="2"/>
    </row>
    <row r="107" spans="1:13">
      <c r="A107" t="s">
        <v>28</v>
      </c>
      <c r="B107">
        <f ca="1">IF(OR(changes[[#This Row],[Type]]="Checklist",changes[[#This Row],[Type]]="checklist-flat"),1+IF(changes[[#This Row],[Type of change]] = "Edit",COUNTIFS($I$4:changes[[#This Row],[Name]],changes[[#This Row],[Name]], $E$4:changes[[#This Row],[Type of change]], "Edit")),B106)</f>
        <v>1</v>
      </c>
      <c r="C107" s="16">
        <v>44503</v>
      </c>
      <c r="D107" s="1" t="s">
        <v>2401</v>
      </c>
      <c r="E107" t="s">
        <v>2396</v>
      </c>
      <c r="F107" s="10"/>
      <c r="G107" s="10" t="s">
        <v>2402</v>
      </c>
      <c r="H107" s="1" t="s">
        <v>55</v>
      </c>
      <c r="I107" s="1" t="s">
        <v>2127</v>
      </c>
      <c r="J107" s="1"/>
      <c r="K107" s="1"/>
      <c r="M107" s="2"/>
    </row>
    <row r="108" spans="1:13">
      <c r="A108" t="s">
        <v>28</v>
      </c>
      <c r="B108">
        <f ca="1">IF(OR(changes[[#This Row],[Type]]="Checklist",changes[[#This Row],[Type]]="checklist-flat"),1+IF(changes[[#This Row],[Type of change]] = "Edit",COUNTIFS($I$4:changes[[#This Row],[Name]],changes[[#This Row],[Name]], $E$4:changes[[#This Row],[Type of change]], "Edit")),B107)</f>
        <v>1</v>
      </c>
      <c r="C108" s="16">
        <v>44503</v>
      </c>
      <c r="D108" s="1" t="s">
        <v>2401</v>
      </c>
      <c r="E108" t="s">
        <v>2396</v>
      </c>
      <c r="F108" s="10"/>
      <c r="G108" s="10" t="s">
        <v>2402</v>
      </c>
      <c r="H108" s="1" t="s">
        <v>55</v>
      </c>
      <c r="I108" s="1" t="s">
        <v>129</v>
      </c>
      <c r="J108" s="1"/>
      <c r="K108" s="1"/>
      <c r="M108" s="2"/>
    </row>
    <row r="109" spans="1:13">
      <c r="A109" t="s">
        <v>28</v>
      </c>
      <c r="B109">
        <f ca="1">IF(OR(changes[[#This Row],[Type]]="Checklist",changes[[#This Row],[Type]]="checklist-flat"),1+IF(changes[[#This Row],[Type of change]] = "Edit",COUNTIFS($I$4:changes[[#This Row],[Name]],changes[[#This Row],[Name]], $E$4:changes[[#This Row],[Type of change]], "Edit")),B108)</f>
        <v>1</v>
      </c>
      <c r="C109" s="16">
        <v>44503</v>
      </c>
      <c r="D109" s="1" t="s">
        <v>2401</v>
      </c>
      <c r="E109" t="s">
        <v>2396</v>
      </c>
      <c r="F109" s="10"/>
      <c r="G109" s="10" t="s">
        <v>2402</v>
      </c>
      <c r="H109" s="1" t="s">
        <v>55</v>
      </c>
      <c r="I109" s="1" t="s">
        <v>166</v>
      </c>
      <c r="J109" s="1"/>
      <c r="K109" s="1"/>
      <c r="M109" s="2"/>
    </row>
    <row r="110" spans="1:13">
      <c r="A110" t="s">
        <v>28</v>
      </c>
      <c r="B110">
        <f ca="1">IF(OR(changes[[#This Row],[Type]]="Checklist",changes[[#This Row],[Type]]="checklist-flat"),1+IF(changes[[#This Row],[Type of change]] = "Edit",COUNTIFS($I$4:changes[[#This Row],[Name]],changes[[#This Row],[Name]], $E$4:changes[[#This Row],[Type of change]], "Edit")),B109)</f>
        <v>1</v>
      </c>
      <c r="C110" s="16">
        <v>44503</v>
      </c>
      <c r="D110" s="1" t="s">
        <v>2401</v>
      </c>
      <c r="E110" t="s">
        <v>2396</v>
      </c>
      <c r="F110" s="10"/>
      <c r="G110" s="10" t="s">
        <v>2402</v>
      </c>
      <c r="H110" s="1" t="s">
        <v>55</v>
      </c>
      <c r="I110" s="1" t="s">
        <v>176</v>
      </c>
      <c r="J110" s="1"/>
      <c r="K110" s="1"/>
      <c r="M110" s="2"/>
    </row>
    <row r="111" spans="1:13">
      <c r="A111" t="s">
        <v>28</v>
      </c>
      <c r="B111">
        <f ca="1">IF(OR(changes[[#This Row],[Type]]="Checklist",changes[[#This Row],[Type]]="checklist-flat"),1+IF(changes[[#This Row],[Type of change]] = "Edit",COUNTIFS($I$4:changes[[#This Row],[Name]],changes[[#This Row],[Name]], $E$4:changes[[#This Row],[Type of change]], "Edit")),B110)</f>
        <v>1</v>
      </c>
      <c r="C111" s="16">
        <v>44503</v>
      </c>
      <c r="D111" s="1" t="s">
        <v>2401</v>
      </c>
      <c r="E111" t="s">
        <v>2396</v>
      </c>
      <c r="F111" s="10"/>
      <c r="G111" s="10" t="s">
        <v>2402</v>
      </c>
      <c r="H111" s="1" t="s">
        <v>55</v>
      </c>
      <c r="I111" s="1" t="s">
        <v>139</v>
      </c>
      <c r="J111" s="1"/>
      <c r="K111" s="1"/>
      <c r="M111" s="2"/>
    </row>
    <row r="112" spans="1:13">
      <c r="A112" t="s">
        <v>28</v>
      </c>
      <c r="B112">
        <f ca="1">IF(OR(changes[[#This Row],[Type]]="Checklist",changes[[#This Row],[Type]]="checklist-flat"),1+IF(changes[[#This Row],[Type of change]] = "Edit",COUNTIFS($I$4:changes[[#This Row],[Name]],changes[[#This Row],[Name]], $E$4:changes[[#This Row],[Type of change]], "Edit")),B111)</f>
        <v>1</v>
      </c>
      <c r="C112" s="16">
        <v>44503</v>
      </c>
      <c r="D112" s="1" t="s">
        <v>2401</v>
      </c>
      <c r="E112" t="s">
        <v>2396</v>
      </c>
      <c r="F112" s="10"/>
      <c r="G112" s="10" t="s">
        <v>140</v>
      </c>
      <c r="H112" s="1" t="s">
        <v>478</v>
      </c>
      <c r="I112" s="1" t="s">
        <v>140</v>
      </c>
      <c r="J112" s="1"/>
      <c r="K112" s="1"/>
      <c r="M112" s="2"/>
    </row>
    <row r="113" spans="1:13">
      <c r="A113" t="s">
        <v>28</v>
      </c>
      <c r="B113">
        <f ca="1">IF(OR(changes[[#This Row],[Type]]="Checklist",changes[[#This Row],[Type]]="checklist-flat"),1+IF(changes[[#This Row],[Type of change]] = "Edit",COUNTIFS($I$4:changes[[#This Row],[Name]],changes[[#This Row],[Name]], $E$4:changes[[#This Row],[Type of change]], "Edit")),B112)</f>
        <v>1</v>
      </c>
      <c r="C113" s="16">
        <v>44503</v>
      </c>
      <c r="D113" s="1" t="s">
        <v>2401</v>
      </c>
      <c r="E113" t="s">
        <v>2396</v>
      </c>
      <c r="F113" s="10"/>
      <c r="G113" s="10" t="s">
        <v>140</v>
      </c>
      <c r="H113" s="1" t="s">
        <v>55</v>
      </c>
      <c r="I113" s="1" t="s">
        <v>141</v>
      </c>
      <c r="J113" s="1"/>
      <c r="K113" s="1"/>
      <c r="M113" s="2"/>
    </row>
    <row r="114" spans="1:13">
      <c r="A114" t="s">
        <v>28</v>
      </c>
      <c r="B114">
        <f ca="1">IF(OR(changes[[#This Row],[Type]]="Checklist",changes[[#This Row],[Type]]="checklist-flat"),1+IF(changes[[#This Row],[Type of change]] = "Edit",COUNTIFS($I$4:changes[[#This Row],[Name]],changes[[#This Row],[Name]], $E$4:changes[[#This Row],[Type of change]], "Edit")),B113)</f>
        <v>1</v>
      </c>
      <c r="C114" s="16">
        <v>44503</v>
      </c>
      <c r="D114" s="1" t="s">
        <v>2401</v>
      </c>
      <c r="E114" t="s">
        <v>2396</v>
      </c>
      <c r="F114" s="10"/>
      <c r="G114" s="10" t="s">
        <v>140</v>
      </c>
      <c r="H114" s="1" t="s">
        <v>55</v>
      </c>
      <c r="I114" s="1" t="s">
        <v>142</v>
      </c>
      <c r="J114" s="1"/>
      <c r="K114" s="1"/>
      <c r="M114" s="2"/>
    </row>
    <row r="115" spans="1:13" ht="15.75">
      <c r="A115" t="s">
        <v>28</v>
      </c>
      <c r="B115">
        <f ca="1">IF(OR(changes[[#This Row],[Type]]="Checklist",changes[[#This Row],[Type]]="checklist-flat"),1+IF(changes[[#This Row],[Type of change]] = "Edit",COUNTIFS($I$4:changes[[#This Row],[Name]],changes[[#This Row],[Name]], $E$4:changes[[#This Row],[Type of change]], "Edit")),B114)</f>
        <v>1</v>
      </c>
      <c r="C115" s="16">
        <v>44503</v>
      </c>
      <c r="D115" s="1" t="s">
        <v>2401</v>
      </c>
      <c r="E115" t="s">
        <v>2396</v>
      </c>
      <c r="F115" s="10"/>
      <c r="G115" s="10" t="s">
        <v>140</v>
      </c>
      <c r="H115" t="s">
        <v>55</v>
      </c>
      <c r="I115" t="s">
        <v>143</v>
      </c>
      <c r="J115" s="28"/>
      <c r="K115" s="2"/>
      <c r="M115" s="2"/>
    </row>
    <row r="116" spans="1:13">
      <c r="A116" t="s">
        <v>28</v>
      </c>
      <c r="B116">
        <f ca="1">IF(OR(changes[[#This Row],[Type]]="Checklist",changes[[#This Row],[Type]]="checklist-flat"),1+IF(changes[[#This Row],[Type of change]] = "Edit",COUNTIFS($I$4:changes[[#This Row],[Name]],changes[[#This Row],[Name]], $E$4:changes[[#This Row],[Type of change]], "Edit")),B115)</f>
        <v>1</v>
      </c>
      <c r="C116" s="16">
        <v>44503</v>
      </c>
      <c r="D116" s="1" t="s">
        <v>2401</v>
      </c>
      <c r="E116" t="s">
        <v>2396</v>
      </c>
      <c r="F116" s="10"/>
      <c r="G116" s="10" t="s">
        <v>140</v>
      </c>
      <c r="H116" t="s">
        <v>55</v>
      </c>
      <c r="I116" t="s">
        <v>144</v>
      </c>
      <c r="M116" s="2"/>
    </row>
    <row r="117" spans="1:13">
      <c r="A117" t="s">
        <v>28</v>
      </c>
      <c r="B117">
        <f ca="1">IF(OR(changes[[#This Row],[Type]]="Checklist",changes[[#This Row],[Type]]="checklist-flat"),1+IF(changes[[#This Row],[Type of change]] = "Edit",COUNTIFS($I$4:changes[[#This Row],[Name]],changes[[#This Row],[Name]], $E$4:changes[[#This Row],[Type of change]], "Edit")),B116)</f>
        <v>1</v>
      </c>
      <c r="C117" s="16">
        <v>44503</v>
      </c>
      <c r="D117" s="1" t="s">
        <v>2401</v>
      </c>
      <c r="E117" t="s">
        <v>2396</v>
      </c>
      <c r="F117" s="10"/>
      <c r="G117" s="10" t="s">
        <v>140</v>
      </c>
      <c r="H117" t="s">
        <v>55</v>
      </c>
      <c r="I117" t="s">
        <v>145</v>
      </c>
      <c r="M117" s="2"/>
    </row>
    <row r="118" spans="1:13">
      <c r="A118" t="s">
        <v>28</v>
      </c>
      <c r="B118">
        <f ca="1">IF(OR(changes[[#This Row],[Type]]="Checklist",changes[[#This Row],[Type]]="checklist-flat"),1+IF(changes[[#This Row],[Type of change]] = "Edit",COUNTIFS($I$4:changes[[#This Row],[Name]],changes[[#This Row],[Name]], $E$4:changes[[#This Row],[Type of change]], "Edit")),B117)</f>
        <v>1</v>
      </c>
      <c r="C118" s="16">
        <v>44503</v>
      </c>
      <c r="D118" s="1" t="s">
        <v>2401</v>
      </c>
      <c r="E118" t="s">
        <v>2396</v>
      </c>
      <c r="F118" s="10"/>
      <c r="G118" s="10" t="s">
        <v>140</v>
      </c>
      <c r="H118" t="s">
        <v>55</v>
      </c>
      <c r="I118" t="s">
        <v>146</v>
      </c>
      <c r="M118" s="2"/>
    </row>
    <row r="119" spans="1:13">
      <c r="A119" t="s">
        <v>28</v>
      </c>
      <c r="B119">
        <f ca="1">IF(OR(changes[[#This Row],[Type]]="Checklist",changes[[#This Row],[Type]]="checklist-flat"),1+IF(changes[[#This Row],[Type of change]] = "Edit",COUNTIFS($I$4:changes[[#This Row],[Name]],changes[[#This Row],[Name]], $E$4:changes[[#This Row],[Type of change]], "Edit")),B118)</f>
        <v>1</v>
      </c>
      <c r="C119" s="16">
        <v>44503</v>
      </c>
      <c r="D119" s="1" t="s">
        <v>2401</v>
      </c>
      <c r="E119" t="s">
        <v>2396</v>
      </c>
      <c r="F119" s="10"/>
      <c r="G119" s="10" t="s">
        <v>140</v>
      </c>
      <c r="H119" t="s">
        <v>55</v>
      </c>
      <c r="I119" t="s">
        <v>147</v>
      </c>
      <c r="M119" s="2"/>
    </row>
    <row r="120" spans="1:13">
      <c r="A120" t="s">
        <v>28</v>
      </c>
      <c r="B120">
        <f ca="1">IF(OR(changes[[#This Row],[Type]]="Checklist",changes[[#This Row],[Type]]="checklist-flat"),1+IF(changes[[#This Row],[Type of change]] = "Edit",COUNTIFS($I$4:changes[[#This Row],[Name]],changes[[#This Row],[Name]], $E$4:changes[[#This Row],[Type of change]], "Edit")),B119)</f>
        <v>1</v>
      </c>
      <c r="C120" s="16">
        <v>44503</v>
      </c>
      <c r="D120" s="1" t="s">
        <v>2401</v>
      </c>
      <c r="E120" t="s">
        <v>2396</v>
      </c>
      <c r="F120" s="10"/>
      <c r="G120" s="10" t="s">
        <v>140</v>
      </c>
      <c r="H120" t="s">
        <v>55</v>
      </c>
      <c r="I120" t="s">
        <v>148</v>
      </c>
      <c r="M120" s="2"/>
    </row>
    <row r="121" spans="1:13">
      <c r="A121" t="s">
        <v>28</v>
      </c>
      <c r="B121">
        <f ca="1">IF(OR(changes[[#This Row],[Type]]="Checklist",changes[[#This Row],[Type]]="checklist-flat"),1+IF(changes[[#This Row],[Type of change]] = "Edit",COUNTIFS($I$4:changes[[#This Row],[Name]],changes[[#This Row],[Name]], $E$4:changes[[#This Row],[Type of change]], "Edit")),B120)</f>
        <v>1</v>
      </c>
      <c r="C121" s="16">
        <v>44503</v>
      </c>
      <c r="D121" s="1" t="s">
        <v>2401</v>
      </c>
      <c r="E121" t="s">
        <v>2396</v>
      </c>
      <c r="F121" s="10"/>
      <c r="G121" s="10" t="s">
        <v>140</v>
      </c>
      <c r="H121" s="10" t="s">
        <v>55</v>
      </c>
      <c r="I121" t="s">
        <v>2403</v>
      </c>
      <c r="M121" s="2"/>
    </row>
    <row r="122" spans="1:13">
      <c r="A122" t="s">
        <v>28</v>
      </c>
      <c r="B122">
        <f ca="1">IF(OR(changes[[#This Row],[Type]]="Checklist",changes[[#This Row],[Type]]="checklist-flat"),1+IF(changes[[#This Row],[Type of change]] = "Edit",COUNTIFS($I$4:changes[[#This Row],[Name]],changes[[#This Row],[Name]], $E$4:changes[[#This Row],[Type of change]], "Edit")),B121)</f>
        <v>1</v>
      </c>
      <c r="C122" s="16">
        <v>44503</v>
      </c>
      <c r="D122" s="1" t="s">
        <v>2401</v>
      </c>
      <c r="E122" t="s">
        <v>2396</v>
      </c>
      <c r="F122" s="10"/>
      <c r="G122" s="10" t="s">
        <v>140</v>
      </c>
      <c r="H122" s="10" t="s">
        <v>55</v>
      </c>
      <c r="I122" t="s">
        <v>150</v>
      </c>
      <c r="M122" s="2"/>
    </row>
    <row r="123" spans="1:13">
      <c r="A123" t="s">
        <v>28</v>
      </c>
      <c r="B123">
        <f ca="1">IF(OR(changes[[#This Row],[Type]]="Checklist",changes[[#This Row],[Type]]="checklist-flat"),1+IF(changes[[#This Row],[Type of change]] = "Edit",COUNTIFS($I$4:changes[[#This Row],[Name]],changes[[#This Row],[Name]], $E$4:changes[[#This Row],[Type of change]], "Edit")),B122)</f>
        <v>1</v>
      </c>
      <c r="C123" s="16">
        <v>44503</v>
      </c>
      <c r="D123" s="1" t="s">
        <v>2401</v>
      </c>
      <c r="E123" t="s">
        <v>15</v>
      </c>
      <c r="F123" s="10"/>
      <c r="G123" s="10" t="s">
        <v>140</v>
      </c>
      <c r="H123" s="10" t="s">
        <v>951</v>
      </c>
      <c r="I123" t="s">
        <v>113</v>
      </c>
      <c r="M123" s="2"/>
    </row>
    <row r="124" spans="1:13">
      <c r="A124" t="s">
        <v>28</v>
      </c>
      <c r="B124">
        <f ca="1">IF(OR(changes[[#This Row],[Type]]="Checklist",changes[[#This Row],[Type]]="checklist-flat"),1+IF(changes[[#This Row],[Type of change]] = "Edit",COUNTIFS($I$4:changes[[#This Row],[Name]],changes[[#This Row],[Name]], $E$4:changes[[#This Row],[Type of change]], "Edit")),B123)</f>
        <v>1</v>
      </c>
      <c r="C124" s="16">
        <v>44515</v>
      </c>
      <c r="D124" s="1" t="s">
        <v>2401</v>
      </c>
      <c r="E124" t="s">
        <v>2396</v>
      </c>
      <c r="F124" s="10"/>
      <c r="G124" s="10" t="s">
        <v>164</v>
      </c>
      <c r="H124" s="10" t="s">
        <v>478</v>
      </c>
      <c r="I124" t="s">
        <v>164</v>
      </c>
      <c r="M124" s="2"/>
    </row>
    <row r="125" spans="1:13">
      <c r="A125" t="s">
        <v>28</v>
      </c>
      <c r="B125">
        <f ca="1">IF(OR(changes[[#This Row],[Type]]="Checklist",changes[[#This Row],[Type]]="checklist-flat"),1+IF(changes[[#This Row],[Type of change]] = "Edit",COUNTIFS($I$4:changes[[#This Row],[Name]],changes[[#This Row],[Name]], $E$4:changes[[#This Row],[Type of change]], "Edit")),B124)</f>
        <v>1</v>
      </c>
      <c r="C125" s="16">
        <v>44515</v>
      </c>
      <c r="D125" s="1" t="s">
        <v>2401</v>
      </c>
      <c r="E125" t="s">
        <v>2396</v>
      </c>
      <c r="F125" s="10"/>
      <c r="G125" s="10" t="s">
        <v>164</v>
      </c>
      <c r="H125" s="10" t="s">
        <v>55</v>
      </c>
      <c r="I125" t="s">
        <v>127</v>
      </c>
      <c r="M125" s="2"/>
    </row>
    <row r="126" spans="1:13">
      <c r="A126" t="s">
        <v>28</v>
      </c>
      <c r="B126">
        <f ca="1">IF(OR(changes[[#This Row],[Type]]="Checklist",changes[[#This Row],[Type]]="checklist-flat"),1+IF(changes[[#This Row],[Type of change]] = "Edit",COUNTIFS($I$4:changes[[#This Row],[Name]],changes[[#This Row],[Name]], $E$4:changes[[#This Row],[Type of change]], "Edit")),B125)</f>
        <v>1</v>
      </c>
      <c r="C126" s="16">
        <v>44515</v>
      </c>
      <c r="D126" s="1" t="s">
        <v>2401</v>
      </c>
      <c r="E126" t="s">
        <v>2396</v>
      </c>
      <c r="F126" s="10"/>
      <c r="G126" s="10" t="s">
        <v>164</v>
      </c>
      <c r="H126" s="10" t="s">
        <v>55</v>
      </c>
      <c r="I126" t="s">
        <v>128</v>
      </c>
      <c r="M126" s="2"/>
    </row>
    <row r="127" spans="1:13">
      <c r="A127" t="s">
        <v>28</v>
      </c>
      <c r="B127">
        <f ca="1">IF(OR(changes[[#This Row],[Type]]="Checklist",changes[[#This Row],[Type]]="checklist-flat"),1+IF(changes[[#This Row],[Type of change]] = "Edit",COUNTIFS($I$4:changes[[#This Row],[Name]],changes[[#This Row],[Name]], $E$4:changes[[#This Row],[Type of change]], "Edit")),B126)</f>
        <v>1</v>
      </c>
      <c r="C127" s="16">
        <v>44515</v>
      </c>
      <c r="D127" s="1" t="s">
        <v>2401</v>
      </c>
      <c r="E127" t="s">
        <v>2396</v>
      </c>
      <c r="F127" s="10"/>
      <c r="G127" s="10" t="s">
        <v>164</v>
      </c>
      <c r="H127" s="10" t="s">
        <v>55</v>
      </c>
      <c r="I127" t="s">
        <v>2127</v>
      </c>
      <c r="M127" s="2"/>
    </row>
    <row r="128" spans="1:13">
      <c r="A128" t="s">
        <v>28</v>
      </c>
      <c r="B128">
        <f ca="1">IF(OR(changes[[#This Row],[Type]]="Checklist",changes[[#This Row],[Type]]="checklist-flat"),1+IF(changes[[#This Row],[Type of change]] = "Edit",COUNTIFS($I$4:changes[[#This Row],[Name]],changes[[#This Row],[Name]], $E$4:changes[[#This Row],[Type of change]], "Edit")),B127)</f>
        <v>1</v>
      </c>
      <c r="C128" s="16">
        <v>44515</v>
      </c>
      <c r="D128" s="1" t="s">
        <v>2401</v>
      </c>
      <c r="E128" t="s">
        <v>2396</v>
      </c>
      <c r="F128" s="10"/>
      <c r="G128" s="10" t="s">
        <v>164</v>
      </c>
      <c r="H128" s="10" t="s">
        <v>55</v>
      </c>
      <c r="I128" t="s">
        <v>129</v>
      </c>
      <c r="M128" s="2"/>
    </row>
    <row r="129" spans="1:13">
      <c r="A129" t="s">
        <v>28</v>
      </c>
      <c r="B129">
        <f ca="1">IF(OR(changes[[#This Row],[Type]]="Checklist",changes[[#This Row],[Type]]="checklist-flat"),1+IF(changes[[#This Row],[Type of change]] = "Edit",COUNTIFS($I$4:changes[[#This Row],[Name]],changes[[#This Row],[Name]], $E$4:changes[[#This Row],[Type of change]], "Edit")),B128)</f>
        <v>1</v>
      </c>
      <c r="C129" s="16">
        <v>44515</v>
      </c>
      <c r="D129" s="1" t="s">
        <v>2401</v>
      </c>
      <c r="E129" t="s">
        <v>2396</v>
      </c>
      <c r="F129" s="10"/>
      <c r="G129" s="10" t="s">
        <v>164</v>
      </c>
      <c r="H129" s="10" t="s">
        <v>55</v>
      </c>
      <c r="I129" t="s">
        <v>166</v>
      </c>
      <c r="M129" s="2"/>
    </row>
    <row r="130" spans="1:13">
      <c r="A130" t="s">
        <v>28</v>
      </c>
      <c r="B130">
        <f ca="1">IF(OR(changes[[#This Row],[Type]]="Checklist",changes[[#This Row],[Type]]="checklist-flat"),1+IF(changes[[#This Row],[Type of change]] = "Edit",COUNTIFS($I$4:changes[[#This Row],[Name]],changes[[#This Row],[Name]], $E$4:changes[[#This Row],[Type of change]], "Edit")),B129)</f>
        <v>1</v>
      </c>
      <c r="C130" s="16">
        <v>44515</v>
      </c>
      <c r="D130" s="1" t="s">
        <v>2401</v>
      </c>
      <c r="E130" t="s">
        <v>2396</v>
      </c>
      <c r="F130" s="10"/>
      <c r="G130" s="10" t="s">
        <v>164</v>
      </c>
      <c r="H130" s="10" t="s">
        <v>55</v>
      </c>
      <c r="I130" t="s">
        <v>167</v>
      </c>
      <c r="M130" s="2"/>
    </row>
    <row r="131" spans="1:13">
      <c r="A131" t="s">
        <v>28</v>
      </c>
      <c r="B131">
        <f ca="1">IF(OR(changes[[#This Row],[Type]]="Checklist",changes[[#This Row],[Type]]="checklist-flat"),1+IF(changes[[#This Row],[Type of change]] = "Edit",COUNTIFS($I$4:changes[[#This Row],[Name]],changes[[#This Row],[Name]], $E$4:changes[[#This Row],[Type of change]], "Edit")),B130)</f>
        <v>1</v>
      </c>
      <c r="C131" s="16">
        <v>44515</v>
      </c>
      <c r="D131" s="1" t="s">
        <v>2401</v>
      </c>
      <c r="E131" t="s">
        <v>2396</v>
      </c>
      <c r="F131" s="10"/>
      <c r="G131" s="10" t="s">
        <v>164</v>
      </c>
      <c r="H131" s="10" t="s">
        <v>55</v>
      </c>
      <c r="I131" t="s">
        <v>147</v>
      </c>
      <c r="M131" s="2"/>
    </row>
    <row r="132" spans="1:13">
      <c r="A132" t="s">
        <v>28</v>
      </c>
      <c r="B132">
        <f ca="1">IF(OR(changes[[#This Row],[Type]]="Checklist",changes[[#This Row],[Type]]="checklist-flat"),1+IF(changes[[#This Row],[Type of change]] = "Edit",COUNTIFS($I$4:changes[[#This Row],[Name]],changes[[#This Row],[Name]], $E$4:changes[[#This Row],[Type of change]], "Edit")),B131)</f>
        <v>1</v>
      </c>
      <c r="C132" s="16">
        <v>44515</v>
      </c>
      <c r="D132" s="1" t="s">
        <v>2401</v>
      </c>
      <c r="E132" t="s">
        <v>2396</v>
      </c>
      <c r="F132" s="10"/>
      <c r="G132" s="10" t="s">
        <v>151</v>
      </c>
      <c r="H132" s="10" t="s">
        <v>478</v>
      </c>
      <c r="I132" t="s">
        <v>151</v>
      </c>
      <c r="M132" s="2"/>
    </row>
    <row r="133" spans="1:13">
      <c r="A133" t="s">
        <v>28</v>
      </c>
      <c r="B133">
        <f ca="1">IF(OR(changes[[#This Row],[Type]]="Checklist",changes[[#This Row],[Type]]="checklist-flat"),1+IF(changes[[#This Row],[Type of change]] = "Edit",COUNTIFS($I$4:changes[[#This Row],[Name]],changes[[#This Row],[Name]], $E$4:changes[[#This Row],[Type of change]], "Edit")),B132)</f>
        <v>1</v>
      </c>
      <c r="C133" s="16">
        <v>44515</v>
      </c>
      <c r="D133" s="1" t="s">
        <v>2401</v>
      </c>
      <c r="E133" t="s">
        <v>2396</v>
      </c>
      <c r="F133" s="10"/>
      <c r="G133" s="10" t="s">
        <v>151</v>
      </c>
      <c r="H133" s="10" t="s">
        <v>55</v>
      </c>
      <c r="I133" t="s">
        <v>127</v>
      </c>
      <c r="M133" s="2"/>
    </row>
    <row r="134" spans="1:13">
      <c r="A134" t="s">
        <v>28</v>
      </c>
      <c r="B134">
        <f ca="1">IF(OR(changes[[#This Row],[Type]]="Checklist",changes[[#This Row],[Type]]="checklist-flat"),1+IF(changes[[#This Row],[Type of change]] = "Edit",COUNTIFS($I$4:changes[[#This Row],[Name]],changes[[#This Row],[Name]], $E$4:changes[[#This Row],[Type of change]], "Edit")),B133)</f>
        <v>1</v>
      </c>
      <c r="C134" s="16">
        <v>44515</v>
      </c>
      <c r="D134" s="1" t="s">
        <v>2401</v>
      </c>
      <c r="E134" t="s">
        <v>2396</v>
      </c>
      <c r="F134" s="10"/>
      <c r="G134" s="10" t="s">
        <v>151</v>
      </c>
      <c r="H134" s="10" t="s">
        <v>55</v>
      </c>
      <c r="I134" t="s">
        <v>152</v>
      </c>
      <c r="M134" s="2"/>
    </row>
    <row r="135" spans="1:13">
      <c r="A135" t="s">
        <v>28</v>
      </c>
      <c r="B135">
        <f ca="1">IF(OR(changes[[#This Row],[Type]]="Checklist",changes[[#This Row],[Type]]="checklist-flat"),1+IF(changes[[#This Row],[Type of change]] = "Edit",COUNTIFS($I$4:changes[[#This Row],[Name]],changes[[#This Row],[Name]], $E$4:changes[[#This Row],[Type of change]], "Edit")),B134)</f>
        <v>1</v>
      </c>
      <c r="C135" s="16">
        <v>44515</v>
      </c>
      <c r="D135" s="1" t="s">
        <v>2401</v>
      </c>
      <c r="E135" t="s">
        <v>2396</v>
      </c>
      <c r="F135" s="10"/>
      <c r="G135" s="10" t="s">
        <v>151</v>
      </c>
      <c r="H135" s="10" t="s">
        <v>951</v>
      </c>
      <c r="I135" t="s">
        <v>153</v>
      </c>
      <c r="M135" s="2"/>
    </row>
    <row r="136" spans="1:13">
      <c r="A136" t="s">
        <v>28</v>
      </c>
      <c r="B136">
        <f ca="1">IF(OR(changes[[#This Row],[Type]]="Checklist",changes[[#This Row],[Type]]="checklist-flat"),1+IF(changes[[#This Row],[Type of change]] = "Edit",COUNTIFS($I$4:changes[[#This Row],[Name]],changes[[#This Row],[Name]], $E$4:changes[[#This Row],[Type of change]], "Edit")),B135)</f>
        <v>1</v>
      </c>
      <c r="C136" s="16">
        <v>44515</v>
      </c>
      <c r="D136" s="1" t="s">
        <v>2401</v>
      </c>
      <c r="E136" t="s">
        <v>2396</v>
      </c>
      <c r="F136" s="10"/>
      <c r="G136" s="10" t="s">
        <v>151</v>
      </c>
      <c r="H136" s="10" t="s">
        <v>951</v>
      </c>
      <c r="I136" t="s">
        <v>154</v>
      </c>
      <c r="M136" s="2"/>
    </row>
    <row r="137" spans="1:13">
      <c r="A137" t="s">
        <v>28</v>
      </c>
      <c r="B137">
        <f ca="1">IF(OR(changes[[#This Row],[Type]]="Checklist",changes[[#This Row],[Type]]="checklist-flat"),1+IF(changes[[#This Row],[Type of change]] = "Edit",COUNTIFS($I$4:changes[[#This Row],[Name]],changes[[#This Row],[Name]], $E$4:changes[[#This Row],[Type of change]], "Edit")),B136)</f>
        <v>1</v>
      </c>
      <c r="C137" s="16">
        <v>44515</v>
      </c>
      <c r="D137" s="1" t="s">
        <v>2401</v>
      </c>
      <c r="E137" t="s">
        <v>2396</v>
      </c>
      <c r="F137" s="10"/>
      <c r="G137" s="10" t="s">
        <v>151</v>
      </c>
      <c r="H137" s="10" t="s">
        <v>951</v>
      </c>
      <c r="I137" t="s">
        <v>155</v>
      </c>
      <c r="M137" s="2"/>
    </row>
    <row r="138" spans="1:13">
      <c r="A138" t="s">
        <v>28</v>
      </c>
      <c r="B138">
        <f ca="1">IF(OR(changes[[#This Row],[Type]]="Checklist",changes[[#This Row],[Type]]="checklist-flat"),1+IF(changes[[#This Row],[Type of change]] = "Edit",COUNTIFS($I$4:changes[[#This Row],[Name]],changes[[#This Row],[Name]], $E$4:changes[[#This Row],[Type of change]], "Edit")),B137)</f>
        <v>1</v>
      </c>
      <c r="C138" s="16">
        <v>44515</v>
      </c>
      <c r="D138" s="1" t="s">
        <v>2401</v>
      </c>
      <c r="E138" t="s">
        <v>10</v>
      </c>
      <c r="F138" s="10"/>
      <c r="G138" s="10" t="s">
        <v>151</v>
      </c>
      <c r="H138" s="10" t="s">
        <v>55</v>
      </c>
      <c r="I138" t="s">
        <v>1581</v>
      </c>
      <c r="M138" s="2"/>
    </row>
    <row r="139" spans="1:13">
      <c r="A139" t="s">
        <v>28</v>
      </c>
      <c r="B139">
        <f ca="1">IF(OR(changes[[#This Row],[Type]]="Checklist",changes[[#This Row],[Type]]="checklist-flat"),1+IF(changes[[#This Row],[Type of change]] = "Edit",COUNTIFS($I$4:changes[[#This Row],[Name]],changes[[#This Row],[Name]], $E$4:changes[[#This Row],[Type of change]], "Edit")),B138)</f>
        <v>1</v>
      </c>
      <c r="C139" s="16">
        <v>44515</v>
      </c>
      <c r="D139" s="1" t="s">
        <v>2401</v>
      </c>
      <c r="E139" t="s">
        <v>10</v>
      </c>
      <c r="F139" s="10"/>
      <c r="G139" s="10" t="s">
        <v>151</v>
      </c>
      <c r="H139" s="10" t="s">
        <v>55</v>
      </c>
      <c r="I139" t="s">
        <v>1582</v>
      </c>
      <c r="M139" s="2"/>
    </row>
    <row r="140" spans="1:13">
      <c r="A140" t="s">
        <v>28</v>
      </c>
      <c r="B140">
        <f ca="1">IF(OR(changes[[#This Row],[Type]]="Checklist",changes[[#This Row],[Type]]="checklist-flat"),1+IF(changes[[#This Row],[Type of change]] = "Edit",COUNTIFS($I$4:changes[[#This Row],[Name]],changes[[#This Row],[Name]], $E$4:changes[[#This Row],[Type of change]], "Edit")),B139)</f>
        <v>1</v>
      </c>
      <c r="C140" s="16">
        <v>44515</v>
      </c>
      <c r="D140" s="1" t="s">
        <v>2401</v>
      </c>
      <c r="E140" t="s">
        <v>10</v>
      </c>
      <c r="F140" s="10"/>
      <c r="G140" s="10" t="s">
        <v>151</v>
      </c>
      <c r="H140" s="10" t="s">
        <v>55</v>
      </c>
      <c r="I140" t="s">
        <v>1581</v>
      </c>
      <c r="M140" s="2"/>
    </row>
    <row r="141" spans="1:13">
      <c r="A141" t="s">
        <v>28</v>
      </c>
      <c r="B141">
        <f ca="1">IF(OR(changes[[#This Row],[Type]]="Checklist",changes[[#This Row],[Type]]="checklist-flat"),1+IF(changes[[#This Row],[Type of change]] = "Edit",COUNTIFS($I$4:changes[[#This Row],[Name]],changes[[#This Row],[Name]], $E$4:changes[[#This Row],[Type of change]], "Edit")),B140)</f>
        <v>1</v>
      </c>
      <c r="C141" s="16">
        <v>44515</v>
      </c>
      <c r="D141" s="1" t="s">
        <v>2401</v>
      </c>
      <c r="E141" t="s">
        <v>10</v>
      </c>
      <c r="F141" s="10"/>
      <c r="G141" s="10" t="s">
        <v>151</v>
      </c>
      <c r="H141" s="10" t="s">
        <v>55</v>
      </c>
      <c r="I141" s="10" t="s">
        <v>1582</v>
      </c>
      <c r="J141" s="29"/>
      <c r="K141" s="2"/>
      <c r="M141" s="2"/>
    </row>
    <row r="142" spans="1:13">
      <c r="A142" t="s">
        <v>28</v>
      </c>
      <c r="B142">
        <f ca="1">IF(OR(changes[[#This Row],[Type]]="Checklist",changes[[#This Row],[Type]]="checklist-flat"),1+IF(changes[[#This Row],[Type of change]] = "Edit",COUNTIFS($I$4:changes[[#This Row],[Name]],changes[[#This Row],[Name]], $E$4:changes[[#This Row],[Type of change]], "Edit")),B141)</f>
        <v>1</v>
      </c>
      <c r="C142" s="16">
        <v>44515</v>
      </c>
      <c r="D142" s="1" t="s">
        <v>2401</v>
      </c>
      <c r="E142" t="s">
        <v>2396</v>
      </c>
      <c r="F142" s="10"/>
      <c r="G142" s="10" t="s">
        <v>1755</v>
      </c>
      <c r="H142" s="10" t="s">
        <v>478</v>
      </c>
      <c r="I142" s="10" t="s">
        <v>1755</v>
      </c>
      <c r="K142" s="2"/>
      <c r="M142" s="2"/>
    </row>
    <row r="143" spans="1:13">
      <c r="A143" t="s">
        <v>28</v>
      </c>
      <c r="B143">
        <f ca="1">IF(OR(changes[[#This Row],[Type]]="Checklist",changes[[#This Row],[Type]]="checklist-flat"),1+IF(changes[[#This Row],[Type of change]] = "Edit",COUNTIFS($I$4:changes[[#This Row],[Name]],changes[[#This Row],[Name]], $E$4:changes[[#This Row],[Type of change]], "Edit")),B142)</f>
        <v>1</v>
      </c>
      <c r="C143" s="16">
        <v>44515</v>
      </c>
      <c r="D143" s="1" t="s">
        <v>2401</v>
      </c>
      <c r="E143" t="s">
        <v>2396</v>
      </c>
      <c r="F143" s="10"/>
      <c r="G143" s="10" t="s">
        <v>1755</v>
      </c>
      <c r="H143" s="10" t="s">
        <v>479</v>
      </c>
      <c r="I143" s="10" t="s">
        <v>1716</v>
      </c>
      <c r="K143" s="2"/>
      <c r="M143" s="2"/>
    </row>
    <row r="144" spans="1:13">
      <c r="A144" t="s">
        <v>28</v>
      </c>
      <c r="B144">
        <f ca="1">IF(OR(changes[[#This Row],[Type]]="Checklist",changes[[#This Row],[Type]]="checklist-flat"),1+IF(changes[[#This Row],[Type of change]] = "Edit",COUNTIFS($I$4:changes[[#This Row],[Name]],changes[[#This Row],[Name]], $E$4:changes[[#This Row],[Type of change]], "Edit")),B143)</f>
        <v>1</v>
      </c>
      <c r="C144" s="16">
        <v>44515</v>
      </c>
      <c r="D144" s="1" t="s">
        <v>2401</v>
      </c>
      <c r="E144" t="s">
        <v>2396</v>
      </c>
      <c r="F144" s="10"/>
      <c r="G144" s="10" t="s">
        <v>1755</v>
      </c>
      <c r="H144" s="10" t="s">
        <v>214</v>
      </c>
      <c r="I144" s="10" t="s">
        <v>1613</v>
      </c>
      <c r="K144" s="2"/>
      <c r="M144" s="2"/>
    </row>
    <row r="145" spans="1:13">
      <c r="A145" t="s">
        <v>28</v>
      </c>
      <c r="B145">
        <f ca="1">IF(OR(changes[[#This Row],[Type]]="Checklist",changes[[#This Row],[Type]]="checklist-flat"),1+IF(changes[[#This Row],[Type of change]] = "Edit",COUNTIFS($I$4:changes[[#This Row],[Name]],changes[[#This Row],[Name]], $E$4:changes[[#This Row],[Type of change]], "Edit")),B144)</f>
        <v>1</v>
      </c>
      <c r="C145" s="16">
        <v>44515</v>
      </c>
      <c r="D145" s="1" t="s">
        <v>2401</v>
      </c>
      <c r="E145" t="s">
        <v>2396</v>
      </c>
      <c r="F145" s="10"/>
      <c r="G145" s="10" t="s">
        <v>1755</v>
      </c>
      <c r="H145" s="10" t="s">
        <v>214</v>
      </c>
      <c r="I145" s="10" t="s">
        <v>1614</v>
      </c>
      <c r="K145" s="2"/>
      <c r="M145" s="2"/>
    </row>
    <row r="146" spans="1:13">
      <c r="A146" t="s">
        <v>28</v>
      </c>
      <c r="B146">
        <f ca="1">IF(OR(changes[[#This Row],[Type]]="Checklist",changes[[#This Row],[Type]]="checklist-flat"),1+IF(changes[[#This Row],[Type of change]] = "Edit",COUNTIFS($I$4:changes[[#This Row],[Name]],changes[[#This Row],[Name]], $E$4:changes[[#This Row],[Type of change]], "Edit")),B145)</f>
        <v>1</v>
      </c>
      <c r="C146" s="16">
        <v>44515</v>
      </c>
      <c r="D146" s="1" t="s">
        <v>2401</v>
      </c>
      <c r="E146" t="s">
        <v>2396</v>
      </c>
      <c r="F146" s="10"/>
      <c r="G146" s="10" t="s">
        <v>1755</v>
      </c>
      <c r="H146" s="10" t="s">
        <v>55</v>
      </c>
      <c r="I146" s="10" t="s">
        <v>1718</v>
      </c>
      <c r="K146" s="2"/>
      <c r="M146" s="2"/>
    </row>
    <row r="147" spans="1:13">
      <c r="A147" t="s">
        <v>28</v>
      </c>
      <c r="B147">
        <f ca="1">IF(OR(changes[[#This Row],[Type]]="Checklist",changes[[#This Row],[Type]]="checklist-flat"),1+IF(changes[[#This Row],[Type of change]] = "Edit",COUNTIFS($I$4:changes[[#This Row],[Name]],changes[[#This Row],[Name]], $E$4:changes[[#This Row],[Type of change]], "Edit")),B146)</f>
        <v>1</v>
      </c>
      <c r="C147" s="16">
        <v>44515</v>
      </c>
      <c r="D147" s="1" t="s">
        <v>2401</v>
      </c>
      <c r="E147" t="s">
        <v>2396</v>
      </c>
      <c r="F147" s="10"/>
      <c r="G147" s="10" t="s">
        <v>1755</v>
      </c>
      <c r="H147" s="10" t="s">
        <v>479</v>
      </c>
      <c r="I147" s="10" t="s">
        <v>1719</v>
      </c>
      <c r="K147" s="2"/>
      <c r="M147" s="2"/>
    </row>
    <row r="148" spans="1:13">
      <c r="A148" t="s">
        <v>28</v>
      </c>
      <c r="B148">
        <f ca="1">IF(OR(changes[[#This Row],[Type]]="Checklist",changes[[#This Row],[Type]]="checklist-flat"),1+IF(changes[[#This Row],[Type of change]] = "Edit",COUNTIFS($I$4:changes[[#This Row],[Name]],changes[[#This Row],[Name]], $E$4:changes[[#This Row],[Type of change]], "Edit")),B147)</f>
        <v>1</v>
      </c>
      <c r="C148" s="16">
        <v>44515</v>
      </c>
      <c r="D148" s="1" t="s">
        <v>2401</v>
      </c>
      <c r="E148" t="s">
        <v>2396</v>
      </c>
      <c r="F148" s="10"/>
      <c r="G148" s="10" t="s">
        <v>1755</v>
      </c>
      <c r="H148" s="30" t="s">
        <v>55</v>
      </c>
      <c r="I148" s="30" t="s">
        <v>1720</v>
      </c>
      <c r="K148" s="2"/>
      <c r="M148" s="2"/>
    </row>
    <row r="149" spans="1:13">
      <c r="A149" t="s">
        <v>28</v>
      </c>
      <c r="B149">
        <f ca="1">IF(OR(changes[[#This Row],[Type]]="Checklist",changes[[#This Row],[Type]]="checklist-flat"),1+IF(changes[[#This Row],[Type of change]] = "Edit",COUNTIFS($I$4:changes[[#This Row],[Name]],changes[[#This Row],[Name]], $E$4:changes[[#This Row],[Type of change]], "Edit")),B148)</f>
        <v>1</v>
      </c>
      <c r="C149" s="16">
        <v>44515</v>
      </c>
      <c r="D149" s="1" t="s">
        <v>2401</v>
      </c>
      <c r="E149" t="s">
        <v>2396</v>
      </c>
      <c r="F149" s="10"/>
      <c r="G149" s="10" t="s">
        <v>1755</v>
      </c>
      <c r="H149" s="30" t="s">
        <v>55</v>
      </c>
      <c r="I149" s="30" t="s">
        <v>474</v>
      </c>
      <c r="K149" s="2"/>
      <c r="M149" s="2"/>
    </row>
    <row r="150" spans="1:13">
      <c r="A150" t="s">
        <v>28</v>
      </c>
      <c r="B150">
        <f ca="1">IF(OR(changes[[#This Row],[Type]]="Checklist",changes[[#This Row],[Type]]="checklist-flat"),1+IF(changes[[#This Row],[Type of change]] = "Edit",COUNTIFS($I$4:changes[[#This Row],[Name]],changes[[#This Row],[Name]], $E$4:changes[[#This Row],[Type of change]], "Edit")),B149)</f>
        <v>1</v>
      </c>
      <c r="C150" s="16">
        <v>44515</v>
      </c>
      <c r="D150" s="1" t="s">
        <v>2401</v>
      </c>
      <c r="E150" t="s">
        <v>2396</v>
      </c>
      <c r="F150" s="10"/>
      <c r="G150" s="10" t="s">
        <v>1755</v>
      </c>
      <c r="H150" s="30" t="s">
        <v>55</v>
      </c>
      <c r="I150" s="30" t="s">
        <v>2399</v>
      </c>
      <c r="K150" s="2"/>
      <c r="M150" s="2"/>
    </row>
    <row r="151" spans="1:13">
      <c r="A151" t="s">
        <v>28</v>
      </c>
      <c r="B151">
        <f ca="1">IF(OR(changes[[#This Row],[Type]]="Checklist",changes[[#This Row],[Type]]="checklist-flat"),1+IF(changes[[#This Row],[Type of change]] = "Edit",COUNTIFS($I$4:changes[[#This Row],[Name]],changes[[#This Row],[Name]], $E$4:changes[[#This Row],[Type of change]], "Edit")),B150)</f>
        <v>1</v>
      </c>
      <c r="C151" s="16">
        <v>44515</v>
      </c>
      <c r="D151" s="1" t="s">
        <v>2401</v>
      </c>
      <c r="E151" t="s">
        <v>2396</v>
      </c>
      <c r="F151" s="10"/>
      <c r="G151" s="10" t="s">
        <v>1755</v>
      </c>
      <c r="H151" s="30" t="s">
        <v>55</v>
      </c>
      <c r="I151" s="30" t="s">
        <v>476</v>
      </c>
      <c r="K151" s="2"/>
      <c r="M151" s="2"/>
    </row>
    <row r="152" spans="1:13">
      <c r="A152" t="s">
        <v>28</v>
      </c>
      <c r="B152">
        <f ca="1">IF(OR(changes[[#This Row],[Type]]="Checklist",changes[[#This Row],[Type]]="checklist-flat"),1+IF(changes[[#This Row],[Type of change]] = "Edit",COUNTIFS($I$4:changes[[#This Row],[Name]],changes[[#This Row],[Name]], $E$4:changes[[#This Row],[Type of change]], "Edit")),B151)</f>
        <v>1</v>
      </c>
      <c r="C152" s="16">
        <v>44515</v>
      </c>
      <c r="D152" s="1" t="s">
        <v>2401</v>
      </c>
      <c r="E152" t="s">
        <v>2396</v>
      </c>
      <c r="F152" s="10"/>
      <c r="G152" s="10" t="s">
        <v>1755</v>
      </c>
      <c r="H152" s="30" t="s">
        <v>479</v>
      </c>
      <c r="I152" s="30" t="s">
        <v>1734</v>
      </c>
      <c r="K152" s="2"/>
      <c r="M152" s="2"/>
    </row>
    <row r="153" spans="1:13">
      <c r="A153" t="s">
        <v>28</v>
      </c>
      <c r="B153">
        <f ca="1">IF(OR(changes[[#This Row],[Type]]="Checklist",changes[[#This Row],[Type]]="checklist-flat"),1+IF(changes[[#This Row],[Type of change]] = "Edit",COUNTIFS($I$4:changes[[#This Row],[Name]],changes[[#This Row],[Name]], $E$4:changes[[#This Row],[Type of change]], "Edit")),B152)</f>
        <v>1</v>
      </c>
      <c r="C153" s="16">
        <v>44515</v>
      </c>
      <c r="D153" s="1" t="s">
        <v>2401</v>
      </c>
      <c r="E153" t="s">
        <v>2396</v>
      </c>
      <c r="F153" s="10"/>
      <c r="G153" s="10" t="s">
        <v>1755</v>
      </c>
      <c r="H153" s="30" t="s">
        <v>55</v>
      </c>
      <c r="I153" s="30" t="s">
        <v>1735</v>
      </c>
      <c r="K153" s="2"/>
      <c r="M153" s="2"/>
    </row>
    <row r="154" spans="1:13">
      <c r="A154" t="s">
        <v>28</v>
      </c>
      <c r="B154">
        <f ca="1">IF(OR(changes[[#This Row],[Type]]="Checklist",changes[[#This Row],[Type]]="checklist-flat"),1+IF(changes[[#This Row],[Type of change]] = "Edit",COUNTIFS($I$4:changes[[#This Row],[Name]],changes[[#This Row],[Name]], $E$4:changes[[#This Row],[Type of change]], "Edit")),B153)</f>
        <v>1</v>
      </c>
      <c r="C154" s="16">
        <v>44515</v>
      </c>
      <c r="D154" s="1" t="s">
        <v>2401</v>
      </c>
      <c r="E154" t="s">
        <v>2396</v>
      </c>
      <c r="F154" s="10"/>
      <c r="G154" s="10" t="s">
        <v>1755</v>
      </c>
      <c r="H154" s="30" t="s">
        <v>55</v>
      </c>
      <c r="I154" s="30" t="s">
        <v>1736</v>
      </c>
      <c r="K154" s="2"/>
      <c r="M154" s="2"/>
    </row>
    <row r="155" spans="1:13">
      <c r="A155" t="s">
        <v>28</v>
      </c>
      <c r="B155">
        <f ca="1">IF(OR(changes[[#This Row],[Type]]="Checklist",changes[[#This Row],[Type]]="checklist-flat"),1+IF(changes[[#This Row],[Type of change]] = "Edit",COUNTIFS($I$4:changes[[#This Row],[Name]],changes[[#This Row],[Name]], $E$4:changes[[#This Row],[Type of change]], "Edit")),B154)</f>
        <v>1</v>
      </c>
      <c r="C155" s="16">
        <v>44515</v>
      </c>
      <c r="D155" s="1" t="s">
        <v>2401</v>
      </c>
      <c r="E155" t="s">
        <v>2396</v>
      </c>
      <c r="F155" s="10"/>
      <c r="G155" s="10" t="s">
        <v>1755</v>
      </c>
      <c r="H155" s="30" t="s">
        <v>55</v>
      </c>
      <c r="I155" s="30" t="s">
        <v>1737</v>
      </c>
      <c r="K155" s="2"/>
      <c r="M155" s="2"/>
    </row>
    <row r="156" spans="1:13">
      <c r="A156" t="s">
        <v>28</v>
      </c>
      <c r="B156">
        <f ca="1">IF(OR(changes[[#This Row],[Type]]="Checklist",changes[[#This Row],[Type]]="checklist-flat"),1+IF(changes[[#This Row],[Type of change]] = "Edit",COUNTIFS($I$4:changes[[#This Row],[Name]],changes[[#This Row],[Name]], $E$4:changes[[#This Row],[Type of change]], "Edit")),B155)</f>
        <v>1</v>
      </c>
      <c r="C156" s="16">
        <v>44515</v>
      </c>
      <c r="D156" s="1" t="s">
        <v>2401</v>
      </c>
      <c r="E156" t="s">
        <v>2396</v>
      </c>
      <c r="F156" s="10"/>
      <c r="G156" s="10" t="s">
        <v>1755</v>
      </c>
      <c r="H156" s="30" t="s">
        <v>55</v>
      </c>
      <c r="I156" s="30" t="s">
        <v>1738</v>
      </c>
      <c r="K156" s="2"/>
      <c r="M156" s="2"/>
    </row>
    <row r="157" spans="1:13">
      <c r="A157" t="s">
        <v>28</v>
      </c>
      <c r="B157">
        <f ca="1">IF(OR(changes[[#This Row],[Type]]="Checklist",changes[[#This Row],[Type]]="checklist-flat"),1+IF(changes[[#This Row],[Type of change]] = "Edit",COUNTIFS($I$4:changes[[#This Row],[Name]],changes[[#This Row],[Name]], $E$4:changes[[#This Row],[Type of change]], "Edit")),B156)</f>
        <v>1</v>
      </c>
      <c r="C157" s="16">
        <v>44515</v>
      </c>
      <c r="D157" s="1" t="s">
        <v>2401</v>
      </c>
      <c r="E157" t="s">
        <v>2396</v>
      </c>
      <c r="F157" s="10"/>
      <c r="G157" s="10" t="s">
        <v>1755</v>
      </c>
      <c r="H157" s="30" t="s">
        <v>479</v>
      </c>
      <c r="I157" s="30" t="s">
        <v>1739</v>
      </c>
      <c r="K157" s="2"/>
      <c r="M157" s="2"/>
    </row>
    <row r="158" spans="1:13">
      <c r="A158" t="s">
        <v>28</v>
      </c>
      <c r="B158">
        <f ca="1">IF(OR(changes[[#This Row],[Type]]="Checklist",changes[[#This Row],[Type]]="checklist-flat"),1+IF(changes[[#This Row],[Type of change]] = "Edit",COUNTIFS($I$4:changes[[#This Row],[Name]],changes[[#This Row],[Name]], $E$4:changes[[#This Row],[Type of change]], "Edit")),B157)</f>
        <v>1</v>
      </c>
      <c r="C158" s="16">
        <v>44515</v>
      </c>
      <c r="D158" s="1" t="s">
        <v>2401</v>
      </c>
      <c r="E158" t="s">
        <v>2396</v>
      </c>
      <c r="F158" s="10"/>
      <c r="G158" s="10" t="s">
        <v>1755</v>
      </c>
      <c r="H158" s="30" t="s">
        <v>214</v>
      </c>
      <c r="I158" s="30" t="s">
        <v>1741</v>
      </c>
      <c r="K158" s="2"/>
      <c r="M158" s="2"/>
    </row>
    <row r="159" spans="1:13">
      <c r="A159" t="s">
        <v>28</v>
      </c>
      <c r="B159">
        <f ca="1">IF(OR(changes[[#This Row],[Type]]="Checklist",changes[[#This Row],[Type]]="checklist-flat"),1+IF(changes[[#This Row],[Type of change]] = "Edit",COUNTIFS($I$4:changes[[#This Row],[Name]],changes[[#This Row],[Name]], $E$4:changes[[#This Row],[Type of change]], "Edit")),B158)</f>
        <v>1</v>
      </c>
      <c r="C159" s="16">
        <v>44515</v>
      </c>
      <c r="D159" s="1" t="s">
        <v>2401</v>
      </c>
      <c r="E159" t="s">
        <v>2396</v>
      </c>
      <c r="F159" s="10"/>
      <c r="G159" s="10" t="s">
        <v>1755</v>
      </c>
      <c r="H159" s="30" t="s">
        <v>214</v>
      </c>
      <c r="I159" s="30" t="s">
        <v>1618</v>
      </c>
      <c r="K159" s="2"/>
      <c r="M159" s="2"/>
    </row>
    <row r="160" spans="1:13">
      <c r="A160" t="s">
        <v>28</v>
      </c>
      <c r="B160">
        <f ca="1">IF(OR(changes[[#This Row],[Type]]="Checklist",changes[[#This Row],[Type]]="checklist-flat"),1+IF(changes[[#This Row],[Type of change]] = "Edit",COUNTIFS($I$4:changes[[#This Row],[Name]],changes[[#This Row],[Name]], $E$4:changes[[#This Row],[Type of change]], "Edit")),B159)</f>
        <v>1</v>
      </c>
      <c r="C160" s="16">
        <v>44515</v>
      </c>
      <c r="D160" s="1" t="s">
        <v>2401</v>
      </c>
      <c r="E160" t="s">
        <v>2396</v>
      </c>
      <c r="F160" s="10"/>
      <c r="G160" s="10" t="s">
        <v>1755</v>
      </c>
      <c r="H160" s="30" t="s">
        <v>214</v>
      </c>
      <c r="I160" s="30" t="s">
        <v>1619</v>
      </c>
      <c r="K160" s="2"/>
      <c r="M160" s="2"/>
    </row>
    <row r="161" spans="1:13">
      <c r="A161" t="s">
        <v>28</v>
      </c>
      <c r="B161">
        <f ca="1">IF(OR(changes[[#This Row],[Type]]="Checklist",changes[[#This Row],[Type]]="checklist-flat"),1+IF(changes[[#This Row],[Type of change]] = "Edit",COUNTIFS($I$4:changes[[#This Row],[Name]],changes[[#This Row],[Name]], $E$4:changes[[#This Row],[Type of change]], "Edit")),B160)</f>
        <v>1</v>
      </c>
      <c r="C161" s="16">
        <v>44515</v>
      </c>
      <c r="D161" s="1" t="s">
        <v>2401</v>
      </c>
      <c r="E161" t="s">
        <v>2396</v>
      </c>
      <c r="F161" s="10"/>
      <c r="G161" s="10" t="s">
        <v>1755</v>
      </c>
      <c r="H161" s="30" t="s">
        <v>214</v>
      </c>
      <c r="I161" s="30" t="s">
        <v>1620</v>
      </c>
      <c r="K161" s="2"/>
      <c r="M161" s="2"/>
    </row>
    <row r="162" spans="1:13">
      <c r="A162" t="s">
        <v>28</v>
      </c>
      <c r="B162">
        <f ca="1">IF(OR(changes[[#This Row],[Type]]="Checklist",changes[[#This Row],[Type]]="checklist-flat"),1+IF(changes[[#This Row],[Type of change]] = "Edit",COUNTIFS($I$4:changes[[#This Row],[Name]],changes[[#This Row],[Name]], $E$4:changes[[#This Row],[Type of change]], "Edit")),B161)</f>
        <v>1</v>
      </c>
      <c r="C162" s="16">
        <v>44515</v>
      </c>
      <c r="D162" s="1" t="s">
        <v>2401</v>
      </c>
      <c r="E162" t="s">
        <v>2396</v>
      </c>
      <c r="F162" s="10"/>
      <c r="G162" s="10" t="s">
        <v>1755</v>
      </c>
      <c r="H162" s="30" t="s">
        <v>437</v>
      </c>
      <c r="I162" s="30" t="s">
        <v>1621</v>
      </c>
      <c r="K162" s="2"/>
      <c r="M162" s="2"/>
    </row>
    <row r="163" spans="1:13">
      <c r="A163" t="s">
        <v>28</v>
      </c>
      <c r="B163">
        <f ca="1">IF(OR(changes[[#This Row],[Type]]="Checklist",changes[[#This Row],[Type]]="checklist-flat"),1+IF(changes[[#This Row],[Type of change]] = "Edit",COUNTIFS($I$4:changes[[#This Row],[Name]],changes[[#This Row],[Name]], $E$4:changes[[#This Row],[Type of change]], "Edit")),B162)</f>
        <v>1</v>
      </c>
      <c r="C163" s="16">
        <v>44515</v>
      </c>
      <c r="D163" s="1" t="s">
        <v>2401</v>
      </c>
      <c r="E163" t="s">
        <v>2396</v>
      </c>
      <c r="F163" s="10"/>
      <c r="G163" s="10" t="s">
        <v>1755</v>
      </c>
      <c r="H163" s="30" t="s">
        <v>55</v>
      </c>
      <c r="I163" s="30" t="s">
        <v>1581</v>
      </c>
      <c r="K163" s="2"/>
      <c r="M163" s="2"/>
    </row>
    <row r="164" spans="1:13">
      <c r="A164" t="s">
        <v>28</v>
      </c>
      <c r="B164">
        <f ca="1">IF(OR(changes[[#This Row],[Type]]="Checklist",changes[[#This Row],[Type]]="checklist-flat"),1+IF(changes[[#This Row],[Type of change]] = "Edit",COUNTIFS($I$4:changes[[#This Row],[Name]],changes[[#This Row],[Name]], $E$4:changes[[#This Row],[Type of change]], "Edit")),B163)</f>
        <v>1</v>
      </c>
      <c r="C164" s="16">
        <v>44515</v>
      </c>
      <c r="D164" s="1" t="s">
        <v>2401</v>
      </c>
      <c r="E164" t="s">
        <v>2396</v>
      </c>
      <c r="F164" s="10"/>
      <c r="G164" s="10" t="s">
        <v>1755</v>
      </c>
      <c r="H164" s="30" t="s">
        <v>55</v>
      </c>
      <c r="I164" s="30" t="s">
        <v>1582</v>
      </c>
      <c r="K164" s="2"/>
      <c r="M164" s="2"/>
    </row>
    <row r="165" spans="1:13">
      <c r="A165" t="s">
        <v>28</v>
      </c>
      <c r="B165">
        <f ca="1">IF(OR(changes[[#This Row],[Type]]="Checklist",changes[[#This Row],[Type]]="checklist-flat"),1+IF(changes[[#This Row],[Type of change]] = "Edit",COUNTIFS($I$4:changes[[#This Row],[Name]],changes[[#This Row],[Name]], $E$4:changes[[#This Row],[Type of change]], "Edit")),B164)</f>
        <v>1</v>
      </c>
      <c r="C165" s="16">
        <v>44515</v>
      </c>
      <c r="D165" s="1" t="s">
        <v>2401</v>
      </c>
      <c r="E165" t="s">
        <v>2396</v>
      </c>
      <c r="F165" s="10"/>
      <c r="G165" s="10" t="s">
        <v>1755</v>
      </c>
      <c r="H165" s="30" t="s">
        <v>479</v>
      </c>
      <c r="I165" s="30" t="s">
        <v>1744</v>
      </c>
      <c r="K165" s="2"/>
      <c r="M165" s="2"/>
    </row>
    <row r="166" spans="1:13">
      <c r="A166" t="s">
        <v>28</v>
      </c>
      <c r="B166">
        <f ca="1">IF(OR(changes[[#This Row],[Type]]="Checklist",changes[[#This Row],[Type]]="checklist-flat"),1+IF(changes[[#This Row],[Type of change]] = "Edit",COUNTIFS($I$4:changes[[#This Row],[Name]],changes[[#This Row],[Name]], $E$4:changes[[#This Row],[Type of change]], "Edit")),B165)</f>
        <v>1</v>
      </c>
      <c r="C166" s="16">
        <v>44515</v>
      </c>
      <c r="D166" s="1" t="s">
        <v>2401</v>
      </c>
      <c r="E166" t="s">
        <v>2396</v>
      </c>
      <c r="F166" s="10"/>
      <c r="G166" s="10" t="s">
        <v>1755</v>
      </c>
      <c r="H166" s="30" t="s">
        <v>55</v>
      </c>
      <c r="I166" s="30" t="s">
        <v>1745</v>
      </c>
      <c r="K166" s="2"/>
      <c r="M166" s="2"/>
    </row>
    <row r="167" spans="1:13">
      <c r="A167" t="s">
        <v>28</v>
      </c>
      <c r="B167">
        <f ca="1">IF(OR(changes[[#This Row],[Type]]="Checklist",changes[[#This Row],[Type]]="checklist-flat"),1+IF(changes[[#This Row],[Type of change]] = "Edit",COUNTIFS($I$4:changes[[#This Row],[Name]],changes[[#This Row],[Name]], $E$4:changes[[#This Row],[Type of change]], "Edit")),B166)</f>
        <v>1</v>
      </c>
      <c r="C167" s="16">
        <v>44515</v>
      </c>
      <c r="D167" s="1" t="s">
        <v>2401</v>
      </c>
      <c r="E167" t="s">
        <v>2396</v>
      </c>
      <c r="F167" s="10"/>
      <c r="G167" s="10" t="s">
        <v>1755</v>
      </c>
      <c r="H167" s="30" t="s">
        <v>55</v>
      </c>
      <c r="I167" s="30" t="s">
        <v>1746</v>
      </c>
      <c r="K167" s="2"/>
      <c r="M167" s="2"/>
    </row>
    <row r="168" spans="1:13">
      <c r="A168" t="s">
        <v>28</v>
      </c>
      <c r="B168">
        <f ca="1">IF(OR(changes[[#This Row],[Type]]="Checklist",changes[[#This Row],[Type]]="checklist-flat"),1+IF(changes[[#This Row],[Type of change]] = "Edit",COUNTIFS($I$4:changes[[#This Row],[Name]],changes[[#This Row],[Name]], $E$4:changes[[#This Row],[Type of change]], "Edit")),B167)</f>
        <v>1</v>
      </c>
      <c r="C168" s="16">
        <v>44515</v>
      </c>
      <c r="D168" s="1" t="s">
        <v>2401</v>
      </c>
      <c r="E168" t="s">
        <v>2396</v>
      </c>
      <c r="F168" s="10"/>
      <c r="G168" s="10" t="s">
        <v>1755</v>
      </c>
      <c r="H168" s="30" t="s">
        <v>437</v>
      </c>
      <c r="I168" s="30" t="s">
        <v>1747</v>
      </c>
      <c r="K168" s="2"/>
      <c r="M168" s="2"/>
    </row>
    <row r="169" spans="1:13">
      <c r="A169" t="s">
        <v>28</v>
      </c>
      <c r="B169">
        <f ca="1">IF(OR(changes[[#This Row],[Type]]="Checklist",changes[[#This Row],[Type]]="checklist-flat"),1+IF(changes[[#This Row],[Type of change]] = "Edit",COUNTIFS($I$4:changes[[#This Row],[Name]],changes[[#This Row],[Name]], $E$4:changes[[#This Row],[Type of change]], "Edit")),B168)</f>
        <v>1</v>
      </c>
      <c r="C169" s="16">
        <v>44515</v>
      </c>
      <c r="D169" s="1" t="s">
        <v>2401</v>
      </c>
      <c r="E169" t="s">
        <v>2396</v>
      </c>
      <c r="F169" s="10"/>
      <c r="G169" s="10" t="s">
        <v>1755</v>
      </c>
      <c r="H169" s="30" t="s">
        <v>55</v>
      </c>
      <c r="I169" s="30" t="s">
        <v>1748</v>
      </c>
      <c r="K169" s="2"/>
      <c r="M169" s="2"/>
    </row>
    <row r="170" spans="1:13">
      <c r="A170" t="s">
        <v>28</v>
      </c>
      <c r="B170">
        <f ca="1">IF(OR(changes[[#This Row],[Type]]="Checklist",changes[[#This Row],[Type]]="checklist-flat"),1+IF(changes[[#This Row],[Type of change]] = "Edit",COUNTIFS($I$4:changes[[#This Row],[Name]],changes[[#This Row],[Name]], $E$4:changes[[#This Row],[Type of change]], "Edit")),B169)</f>
        <v>1</v>
      </c>
      <c r="C170" s="16">
        <v>44515</v>
      </c>
      <c r="D170" s="1" t="s">
        <v>2401</v>
      </c>
      <c r="E170" t="s">
        <v>2396</v>
      </c>
      <c r="F170" s="10"/>
      <c r="G170" s="10" t="s">
        <v>1755</v>
      </c>
      <c r="H170" s="30" t="s">
        <v>55</v>
      </c>
      <c r="I170" s="30" t="s">
        <v>1749</v>
      </c>
      <c r="K170" s="2"/>
      <c r="M170" s="2"/>
    </row>
    <row r="171" spans="1:13">
      <c r="A171" t="s">
        <v>28</v>
      </c>
      <c r="B171">
        <f ca="1">IF(OR(changes[[#This Row],[Type]]="Checklist",changes[[#This Row],[Type]]="checklist-flat"),1+IF(changes[[#This Row],[Type of change]] = "Edit",COUNTIFS($I$4:changes[[#This Row],[Name]],changes[[#This Row],[Name]], $E$4:changes[[#This Row],[Type of change]], "Edit")),B170)</f>
        <v>1</v>
      </c>
      <c r="C171" s="16">
        <v>44515</v>
      </c>
      <c r="D171" s="1" t="s">
        <v>2401</v>
      </c>
      <c r="E171" t="s">
        <v>2396</v>
      </c>
      <c r="F171" s="10"/>
      <c r="G171" s="10" t="s">
        <v>1755</v>
      </c>
      <c r="H171" s="30" t="s">
        <v>55</v>
      </c>
      <c r="I171" s="30" t="s">
        <v>1750</v>
      </c>
      <c r="K171" s="2"/>
      <c r="M171" s="2"/>
    </row>
    <row r="172" spans="1:13">
      <c r="A172" t="s">
        <v>28</v>
      </c>
      <c r="B172">
        <f ca="1">IF(OR(changes[[#This Row],[Type]]="Checklist",changes[[#This Row],[Type]]="checklist-flat"),1+IF(changes[[#This Row],[Type of change]] = "Edit",COUNTIFS($I$4:changes[[#This Row],[Name]],changes[[#This Row],[Name]], $E$4:changes[[#This Row],[Type of change]], "Edit")),B171)</f>
        <v>1</v>
      </c>
      <c r="C172" s="16">
        <v>44515</v>
      </c>
      <c r="D172" s="1" t="s">
        <v>2401</v>
      </c>
      <c r="E172" t="s">
        <v>2396</v>
      </c>
      <c r="F172" s="10"/>
      <c r="G172" s="10" t="s">
        <v>1755</v>
      </c>
      <c r="H172" s="30" t="s">
        <v>479</v>
      </c>
      <c r="I172" s="30" t="s">
        <v>1751</v>
      </c>
      <c r="K172" s="2"/>
      <c r="M172" s="2"/>
    </row>
    <row r="173" spans="1:13">
      <c r="A173" t="s">
        <v>28</v>
      </c>
      <c r="B173">
        <f ca="1">IF(OR(changes[[#This Row],[Type]]="Checklist",changes[[#This Row],[Type]]="checklist-flat"),1+IF(changes[[#This Row],[Type of change]] = "Edit",COUNTIFS($I$4:changes[[#This Row],[Name]],changes[[#This Row],[Name]], $E$4:changes[[#This Row],[Type of change]], "Edit")),B172)</f>
        <v>1</v>
      </c>
      <c r="C173" s="16">
        <v>44515</v>
      </c>
      <c r="D173" s="1" t="s">
        <v>2401</v>
      </c>
      <c r="E173" t="s">
        <v>2396</v>
      </c>
      <c r="F173" s="10"/>
      <c r="G173" s="10" t="s">
        <v>1755</v>
      </c>
      <c r="H173" s="30" t="s">
        <v>55</v>
      </c>
      <c r="I173" s="30" t="s">
        <v>1752</v>
      </c>
      <c r="K173" s="2"/>
      <c r="M173" s="2"/>
    </row>
    <row r="174" spans="1:13">
      <c r="A174" t="s">
        <v>28</v>
      </c>
      <c r="B174">
        <f ca="1">IF(OR(changes[[#This Row],[Type]]="Checklist",changes[[#This Row],[Type]]="checklist-flat"),1+IF(changes[[#This Row],[Type of change]] = "Edit",COUNTIFS($I$4:changes[[#This Row],[Name]],changes[[#This Row],[Name]], $E$4:changes[[#This Row],[Type of change]], "Edit")),B173)</f>
        <v>1</v>
      </c>
      <c r="C174" s="16">
        <v>44515</v>
      </c>
      <c r="D174" s="1" t="s">
        <v>2401</v>
      </c>
      <c r="E174" t="s">
        <v>2396</v>
      </c>
      <c r="F174" s="10"/>
      <c r="G174" s="10" t="s">
        <v>1755</v>
      </c>
      <c r="H174" s="30" t="s">
        <v>994</v>
      </c>
      <c r="I174" s="30" t="s">
        <v>1753</v>
      </c>
      <c r="K174" s="2"/>
      <c r="M174" s="2"/>
    </row>
    <row r="175" spans="1:13">
      <c r="A175" t="s">
        <v>28</v>
      </c>
      <c r="B175">
        <f ca="1">IF(OR(changes[[#This Row],[Type]]="Checklist",changes[[#This Row],[Type]]="checklist-flat"),1+IF(changes[[#This Row],[Type of change]] = "Edit",COUNTIFS($I$4:changes[[#This Row],[Name]],changes[[#This Row],[Name]], $E$4:changes[[#This Row],[Type of change]], "Edit")),B174)</f>
        <v>1</v>
      </c>
      <c r="C175" s="16">
        <v>44515</v>
      </c>
      <c r="D175" s="1" t="s">
        <v>2401</v>
      </c>
      <c r="E175" t="s">
        <v>2396</v>
      </c>
      <c r="F175" s="10"/>
      <c r="G175" s="10" t="s">
        <v>1755</v>
      </c>
      <c r="H175" s="30" t="s">
        <v>55</v>
      </c>
      <c r="I175" s="30" t="s">
        <v>1754</v>
      </c>
      <c r="K175" s="2"/>
      <c r="M175" s="2"/>
    </row>
    <row r="176" spans="1:13">
      <c r="A176" t="s">
        <v>28</v>
      </c>
      <c r="B176">
        <f ca="1">IF(OR(changes[[#This Row],[Type]]="Checklist",changes[[#This Row],[Type]]="checklist-flat"),1+IF(changes[[#This Row],[Type of change]] = "Edit",COUNTIFS($I$4:changes[[#This Row],[Name]],changes[[#This Row],[Name]], $E$4:changes[[#This Row],[Type of change]], "Edit")),B175)</f>
        <v>2</v>
      </c>
      <c r="C176" s="16">
        <v>44530</v>
      </c>
      <c r="D176" s="1" t="s">
        <v>2401</v>
      </c>
      <c r="E176" t="s">
        <v>15</v>
      </c>
      <c r="F176" s="10"/>
      <c r="G176" s="10" t="s">
        <v>106</v>
      </c>
      <c r="H176" t="s">
        <v>54</v>
      </c>
      <c r="I176" t="s">
        <v>106</v>
      </c>
      <c r="K176" s="2"/>
      <c r="M176" s="2"/>
    </row>
    <row r="177" spans="1:13">
      <c r="A177" t="s">
        <v>28</v>
      </c>
      <c r="B177">
        <f ca="1">IF(OR(changes[[#This Row],[Type]]="Checklist",changes[[#This Row],[Type]]="checklist-flat"),1+IF(changes[[#This Row],[Type of change]] = "Edit",COUNTIFS($I$4:changes[[#This Row],[Name]],changes[[#This Row],[Name]], $E$4:changes[[#This Row],[Type of change]], "Edit")),B176)</f>
        <v>2</v>
      </c>
      <c r="C177" s="16">
        <v>44530</v>
      </c>
      <c r="D177" s="1" t="s">
        <v>2401</v>
      </c>
      <c r="E177" t="s">
        <v>15</v>
      </c>
      <c r="F177" s="10"/>
      <c r="G177" s="10" t="s">
        <v>106</v>
      </c>
      <c r="H177" t="s">
        <v>55</v>
      </c>
      <c r="I177" t="s">
        <v>107</v>
      </c>
      <c r="K177" s="2"/>
      <c r="M177" s="2"/>
    </row>
    <row r="178" spans="1:13">
      <c r="A178" t="s">
        <v>28</v>
      </c>
      <c r="B178">
        <f ca="1">IF(OR(changes[[#This Row],[Type]]="Checklist",changes[[#This Row],[Type]]="checklist-flat"),1+IF(changes[[#This Row],[Type of change]] = "Edit",COUNTIFS($I$4:changes[[#This Row],[Name]],changes[[#This Row],[Name]], $E$4:changes[[#This Row],[Type of change]], "Edit")),B177)</f>
        <v>2</v>
      </c>
      <c r="C178" s="16">
        <v>44530</v>
      </c>
      <c r="D178" s="1" t="s">
        <v>2401</v>
      </c>
      <c r="E178" t="s">
        <v>15</v>
      </c>
      <c r="F178" s="10"/>
      <c r="G178" s="10" t="s">
        <v>106</v>
      </c>
      <c r="H178" t="s">
        <v>55</v>
      </c>
      <c r="I178" t="s">
        <v>108</v>
      </c>
      <c r="K178" s="2"/>
      <c r="M178" s="2"/>
    </row>
    <row r="179" spans="1:13">
      <c r="A179" t="s">
        <v>28</v>
      </c>
      <c r="B179">
        <f ca="1">IF(OR(changes[[#This Row],[Type]]="Checklist",changes[[#This Row],[Type]]="checklist-flat"),1+IF(changes[[#This Row],[Type of change]] = "Edit",COUNTIFS($I$4:changes[[#This Row],[Name]],changes[[#This Row],[Name]], $E$4:changes[[#This Row],[Type of change]], "Edit")),B178)</f>
        <v>2</v>
      </c>
      <c r="C179" s="16">
        <v>44530</v>
      </c>
      <c r="D179" s="1" t="s">
        <v>2401</v>
      </c>
      <c r="E179" t="s">
        <v>15</v>
      </c>
      <c r="F179" s="10"/>
      <c r="G179" s="10" t="s">
        <v>106</v>
      </c>
      <c r="H179" t="s">
        <v>55</v>
      </c>
      <c r="I179" t="s">
        <v>2190</v>
      </c>
      <c r="K179" s="2"/>
      <c r="M179" s="2"/>
    </row>
    <row r="180" spans="1:13">
      <c r="A180" t="s">
        <v>28</v>
      </c>
      <c r="B180">
        <f ca="1">IF(OR(changes[[#This Row],[Type]]="Checklist",changes[[#This Row],[Type]]="checklist-flat"),1+IF(changes[[#This Row],[Type of change]] = "Edit",COUNTIFS($I$4:changes[[#This Row],[Name]],changes[[#This Row],[Name]], $E$4:changes[[#This Row],[Type of change]], "Edit")),B179)</f>
        <v>2</v>
      </c>
      <c r="C180" s="16">
        <v>44530</v>
      </c>
      <c r="D180" s="1" t="s">
        <v>2401</v>
      </c>
      <c r="E180" t="s">
        <v>15</v>
      </c>
      <c r="F180" s="10"/>
      <c r="G180" s="10" t="s">
        <v>106</v>
      </c>
      <c r="H180" t="s">
        <v>55</v>
      </c>
      <c r="I180" t="s">
        <v>110</v>
      </c>
      <c r="K180" s="2"/>
      <c r="M180" s="2"/>
    </row>
    <row r="181" spans="1:13">
      <c r="A181" t="s">
        <v>28</v>
      </c>
      <c r="B181">
        <f ca="1">IF(OR(changes[[#This Row],[Type]]="Checklist",changes[[#This Row],[Type]]="checklist-flat"),1+IF(changes[[#This Row],[Type of change]] = "Edit",COUNTIFS($I$4:changes[[#This Row],[Name]],changes[[#This Row],[Name]], $E$4:changes[[#This Row],[Type of change]], "Edit")),B180)</f>
        <v>2</v>
      </c>
      <c r="C181" s="16">
        <v>44530</v>
      </c>
      <c r="D181" s="1" t="s">
        <v>2401</v>
      </c>
      <c r="E181" t="s">
        <v>15</v>
      </c>
      <c r="F181" s="10"/>
      <c r="G181" s="10" t="s">
        <v>106</v>
      </c>
      <c r="H181" t="s">
        <v>55</v>
      </c>
      <c r="I181" t="s">
        <v>111</v>
      </c>
      <c r="K181" s="2"/>
      <c r="M181" s="2"/>
    </row>
    <row r="182" spans="1:13">
      <c r="A182" t="s">
        <v>28</v>
      </c>
      <c r="B182">
        <f ca="1">IF(OR(changes[[#This Row],[Type]]="Checklist",changes[[#This Row],[Type]]="checklist-flat"),1+IF(changes[[#This Row],[Type of change]] = "Edit",COUNTIFS($I$4:changes[[#This Row],[Name]],changes[[#This Row],[Name]], $E$4:changes[[#This Row],[Type of change]], "Edit")),B181)</f>
        <v>2</v>
      </c>
      <c r="C182" s="16">
        <v>44530</v>
      </c>
      <c r="D182" s="1" t="s">
        <v>2401</v>
      </c>
      <c r="E182" t="s">
        <v>15</v>
      </c>
      <c r="F182" s="10"/>
      <c r="G182" s="10" t="s">
        <v>106</v>
      </c>
      <c r="H182" t="s">
        <v>99</v>
      </c>
      <c r="I182" t="s">
        <v>112</v>
      </c>
      <c r="K182" s="2"/>
      <c r="M182" s="2"/>
    </row>
    <row r="183" spans="1:13">
      <c r="A183" t="s">
        <v>28</v>
      </c>
      <c r="B183">
        <f ca="1">IF(OR(changes[[#This Row],[Type]]="Checklist",changes[[#This Row],[Type]]="checklist-flat"),1+IF(changes[[#This Row],[Type of change]] = "Edit",COUNTIFS($I$4:changes[[#This Row],[Name]],changes[[#This Row],[Name]], $E$4:changes[[#This Row],[Type of change]], "Edit")),B182)</f>
        <v>2</v>
      </c>
      <c r="C183" s="16">
        <v>44530</v>
      </c>
      <c r="D183" s="1" t="s">
        <v>2401</v>
      </c>
      <c r="E183" t="s">
        <v>15</v>
      </c>
      <c r="F183" s="10"/>
      <c r="G183" s="10" t="s">
        <v>106</v>
      </c>
      <c r="H183" t="s">
        <v>99</v>
      </c>
      <c r="I183" t="s">
        <v>113</v>
      </c>
      <c r="K183" s="2"/>
      <c r="M183" s="2"/>
    </row>
    <row r="184" spans="1:13">
      <c r="A184" t="s">
        <v>28</v>
      </c>
      <c r="B184">
        <f ca="1">IF(OR(changes[[#This Row],[Type]]="Checklist",changes[[#This Row],[Type]]="checklist-flat"),1+IF(changes[[#This Row],[Type of change]] = "Edit",COUNTIFS($I$4:changes[[#This Row],[Name]],changes[[#This Row],[Name]], $E$4:changes[[#This Row],[Type of change]], "Edit")),B183)</f>
        <v>2</v>
      </c>
      <c r="C184" s="16">
        <v>44530</v>
      </c>
      <c r="D184" s="1" t="s">
        <v>2401</v>
      </c>
      <c r="E184" t="s">
        <v>15</v>
      </c>
      <c r="F184" s="10"/>
      <c r="G184" s="10" t="s">
        <v>106</v>
      </c>
      <c r="H184" t="s">
        <v>99</v>
      </c>
      <c r="I184" t="s">
        <v>114</v>
      </c>
      <c r="K184" s="2"/>
      <c r="M184" s="2"/>
    </row>
    <row r="185" spans="1:13">
      <c r="A185" t="s">
        <v>28</v>
      </c>
      <c r="B185">
        <f ca="1">IF(OR(changes[[#This Row],[Type]]="Checklist",changes[[#This Row],[Type]]="checklist-flat"),1+IF(changes[[#This Row],[Type of change]] = "Edit",COUNTIFS($I$4:changes[[#This Row],[Name]],changes[[#This Row],[Name]], $E$4:changes[[#This Row],[Type of change]], "Edit")),B184)</f>
        <v>2</v>
      </c>
      <c r="C185" s="16">
        <v>44530</v>
      </c>
      <c r="D185" s="1" t="s">
        <v>2401</v>
      </c>
      <c r="E185" t="s">
        <v>15</v>
      </c>
      <c r="F185" s="10"/>
      <c r="G185" s="10" t="s">
        <v>106</v>
      </c>
      <c r="H185" t="s">
        <v>55</v>
      </c>
      <c r="I185" t="s">
        <v>123</v>
      </c>
      <c r="K185" s="2"/>
      <c r="M185" s="2"/>
    </row>
    <row r="186" spans="1:13">
      <c r="A186" t="s">
        <v>28</v>
      </c>
      <c r="B186">
        <f ca="1">IF(OR(changes[[#This Row],[Type]]="Checklist",changes[[#This Row],[Type]]="checklist-flat"),1+IF(changes[[#This Row],[Type of change]] = "Edit",COUNTIFS($I$4:changes[[#This Row],[Name]],changes[[#This Row],[Name]], $E$4:changes[[#This Row],[Type of change]], "Edit")),B185)</f>
        <v>2</v>
      </c>
      <c r="C186" s="16">
        <v>44530</v>
      </c>
      <c r="D186" s="1" t="s">
        <v>2401</v>
      </c>
      <c r="E186" t="s">
        <v>15</v>
      </c>
      <c r="F186" s="10"/>
      <c r="G186" s="10" t="s">
        <v>106</v>
      </c>
      <c r="H186" t="s">
        <v>55</v>
      </c>
      <c r="I186" t="s">
        <v>124</v>
      </c>
      <c r="K186" s="2"/>
      <c r="M186" s="2"/>
    </row>
    <row r="187" spans="1:13">
      <c r="A187" t="s">
        <v>28</v>
      </c>
      <c r="B187">
        <f ca="1">IF(OR(changes[[#This Row],[Type]]="Checklist",changes[[#This Row],[Type]]="checklist-flat"),1+IF(changes[[#This Row],[Type of change]] = "Edit",COUNTIFS($I$4:changes[[#This Row],[Name]],changes[[#This Row],[Name]], $E$4:changes[[#This Row],[Type of change]], "Edit")),B186)</f>
        <v>2</v>
      </c>
      <c r="C187" s="16">
        <v>44530</v>
      </c>
      <c r="D187" s="1" t="s">
        <v>2401</v>
      </c>
      <c r="E187" t="s">
        <v>15</v>
      </c>
      <c r="F187" s="10"/>
      <c r="G187" s="10" t="s">
        <v>106</v>
      </c>
      <c r="H187" t="s">
        <v>55</v>
      </c>
      <c r="I187" t="s">
        <v>125</v>
      </c>
      <c r="K187" s="2"/>
      <c r="M187" s="2"/>
    </row>
    <row r="188" spans="1:13">
      <c r="A188" t="s">
        <v>28</v>
      </c>
      <c r="B188">
        <f ca="1">IF(OR(changes[[#This Row],[Type]]="Checklist",changes[[#This Row],[Type]]="checklist-flat"),1+IF(changes[[#This Row],[Type of change]] = "Edit",COUNTIFS($I$4:changes[[#This Row],[Name]],changes[[#This Row],[Name]], $E$4:changes[[#This Row],[Type of change]], "Edit")),B187)</f>
        <v>2</v>
      </c>
      <c r="C188" s="16">
        <v>44530</v>
      </c>
      <c r="D188" s="1" t="s">
        <v>2401</v>
      </c>
      <c r="E188" t="s">
        <v>15</v>
      </c>
      <c r="F188" s="10"/>
      <c r="G188" s="10" t="s">
        <v>2404</v>
      </c>
      <c r="H188" t="s">
        <v>478</v>
      </c>
      <c r="I188" t="s">
        <v>2404</v>
      </c>
      <c r="K188" s="2"/>
      <c r="M188" s="2"/>
    </row>
    <row r="189" spans="1:13">
      <c r="A189" t="s">
        <v>28</v>
      </c>
      <c r="B189">
        <f ca="1">IF(OR(changes[[#This Row],[Type]]="Checklist",changes[[#This Row],[Type]]="checklist-flat"),1+IF(changes[[#This Row],[Type of change]] = "Edit",COUNTIFS($I$4:changes[[#This Row],[Name]],changes[[#This Row],[Name]], $E$4:changes[[#This Row],[Type of change]], "Edit")),B188)</f>
        <v>2</v>
      </c>
      <c r="C189" s="16">
        <v>44530</v>
      </c>
      <c r="D189" s="1" t="s">
        <v>2401</v>
      </c>
      <c r="E189" t="s">
        <v>15</v>
      </c>
      <c r="F189" s="10"/>
      <c r="G189" s="10" t="s">
        <v>2404</v>
      </c>
      <c r="H189" t="s">
        <v>479</v>
      </c>
      <c r="I189" t="s">
        <v>1716</v>
      </c>
      <c r="K189" s="2"/>
      <c r="M189" s="2"/>
    </row>
    <row r="190" spans="1:13">
      <c r="A190" t="s">
        <v>28</v>
      </c>
      <c r="B190">
        <f ca="1">IF(OR(changes[[#This Row],[Type]]="Checklist",changes[[#This Row],[Type]]="checklist-flat"),1+IF(changes[[#This Row],[Type of change]] = "Edit",COUNTIFS($I$4:changes[[#This Row],[Name]],changes[[#This Row],[Name]], $E$4:changes[[#This Row],[Type of change]], "Edit")),B189)</f>
        <v>2</v>
      </c>
      <c r="C190" s="16">
        <v>44530</v>
      </c>
      <c r="D190" s="1" t="s">
        <v>2401</v>
      </c>
      <c r="E190" t="s">
        <v>15</v>
      </c>
      <c r="F190" s="10"/>
      <c r="G190" s="10" t="s">
        <v>2404</v>
      </c>
      <c r="H190" t="s">
        <v>55</v>
      </c>
      <c r="I190" t="s">
        <v>1779</v>
      </c>
      <c r="K190" s="2"/>
      <c r="M190" s="2"/>
    </row>
    <row r="191" spans="1:13">
      <c r="A191" t="s">
        <v>28</v>
      </c>
      <c r="B191">
        <f ca="1">IF(OR(changes[[#This Row],[Type]]="Checklist",changes[[#This Row],[Type]]="checklist-flat"),1+IF(changes[[#This Row],[Type of change]] = "Edit",COUNTIFS($I$4:changes[[#This Row],[Name]],changes[[#This Row],[Name]], $E$4:changes[[#This Row],[Type of change]], "Edit")),B190)</f>
        <v>2</v>
      </c>
      <c r="C191" s="16">
        <v>44530</v>
      </c>
      <c r="D191" s="1" t="s">
        <v>2401</v>
      </c>
      <c r="E191" t="s">
        <v>15</v>
      </c>
      <c r="F191" s="10"/>
      <c r="G191" s="10" t="s">
        <v>2404</v>
      </c>
      <c r="H191" t="s">
        <v>214</v>
      </c>
      <c r="I191" t="s">
        <v>1613</v>
      </c>
      <c r="K191" s="2"/>
      <c r="M191" s="2"/>
    </row>
    <row r="192" spans="1:13">
      <c r="A192" t="s">
        <v>28</v>
      </c>
      <c r="B192">
        <f ca="1">IF(OR(changes[[#This Row],[Type]]="Checklist",changes[[#This Row],[Type]]="checklist-flat"),1+IF(changes[[#This Row],[Type of change]] = "Edit",COUNTIFS($I$4:changes[[#This Row],[Name]],changes[[#This Row],[Name]], $E$4:changes[[#This Row],[Type of change]], "Edit")),B191)</f>
        <v>2</v>
      </c>
      <c r="C192" s="16">
        <v>44530</v>
      </c>
      <c r="D192" s="1" t="s">
        <v>2401</v>
      </c>
      <c r="E192" t="s">
        <v>15</v>
      </c>
      <c r="F192" s="10"/>
      <c r="G192" s="10" t="s">
        <v>2404</v>
      </c>
      <c r="H192" t="s">
        <v>214</v>
      </c>
      <c r="I192" t="s">
        <v>1614</v>
      </c>
      <c r="K192" s="2"/>
      <c r="M192" s="2"/>
    </row>
    <row r="193" spans="1:13">
      <c r="A193" t="s">
        <v>28</v>
      </c>
      <c r="B193">
        <f ca="1">IF(OR(changes[[#This Row],[Type]]="Checklist",changes[[#This Row],[Type]]="checklist-flat"),1+IF(changes[[#This Row],[Type of change]] = "Edit",COUNTIFS($I$4:changes[[#This Row],[Name]],changes[[#This Row],[Name]], $E$4:changes[[#This Row],[Type of change]], "Edit")),B192)</f>
        <v>2</v>
      </c>
      <c r="C193" s="16">
        <v>44530</v>
      </c>
      <c r="D193" s="1" t="s">
        <v>2401</v>
      </c>
      <c r="E193" t="s">
        <v>15</v>
      </c>
      <c r="F193" s="10"/>
      <c r="G193" s="10" t="s">
        <v>2404</v>
      </c>
      <c r="H193" t="s">
        <v>55</v>
      </c>
      <c r="I193" t="s">
        <v>1718</v>
      </c>
      <c r="K193" s="2"/>
      <c r="M193" s="2"/>
    </row>
    <row r="194" spans="1:13">
      <c r="A194" t="s">
        <v>28</v>
      </c>
      <c r="B194">
        <f ca="1">IF(OR(changes[[#This Row],[Type]]="Checklist",changes[[#This Row],[Type]]="checklist-flat"),1+IF(changes[[#This Row],[Type of change]] = "Edit",COUNTIFS($I$4:changes[[#This Row],[Name]],changes[[#This Row],[Name]], $E$4:changes[[#This Row],[Type of change]], "Edit")),B193)</f>
        <v>2</v>
      </c>
      <c r="C194" s="16">
        <v>44530</v>
      </c>
      <c r="D194" s="1" t="s">
        <v>2401</v>
      </c>
      <c r="E194" t="s">
        <v>15</v>
      </c>
      <c r="F194" s="10"/>
      <c r="G194" s="10" t="s">
        <v>2404</v>
      </c>
      <c r="H194" t="s">
        <v>479</v>
      </c>
      <c r="I194" t="s">
        <v>1780</v>
      </c>
      <c r="K194" s="2"/>
      <c r="M194" s="2"/>
    </row>
    <row r="195" spans="1:13">
      <c r="A195" t="s">
        <v>28</v>
      </c>
      <c r="B195">
        <f ca="1">IF(OR(changes[[#This Row],[Type]]="Checklist",changes[[#This Row],[Type]]="checklist-flat"),1+IF(changes[[#This Row],[Type of change]] = "Edit",COUNTIFS($I$4:changes[[#This Row],[Name]],changes[[#This Row],[Name]], $E$4:changes[[#This Row],[Type of change]], "Edit")),B194)</f>
        <v>2</v>
      </c>
      <c r="C195" s="16">
        <v>44530</v>
      </c>
      <c r="D195" s="1" t="s">
        <v>2401</v>
      </c>
      <c r="E195" t="s">
        <v>15</v>
      </c>
      <c r="F195" s="10"/>
      <c r="G195" s="10" t="s">
        <v>2404</v>
      </c>
      <c r="H195" t="s">
        <v>55</v>
      </c>
      <c r="I195" t="s">
        <v>1781</v>
      </c>
      <c r="K195" s="2"/>
      <c r="M195" s="2"/>
    </row>
    <row r="196" spans="1:13">
      <c r="A196" t="s">
        <v>28</v>
      </c>
      <c r="B196">
        <f ca="1">IF(OR(changes[[#This Row],[Type]]="Checklist",changes[[#This Row],[Type]]="checklist-flat"),1+IF(changes[[#This Row],[Type of change]] = "Edit",COUNTIFS($I$4:changes[[#This Row],[Name]],changes[[#This Row],[Name]], $E$4:changes[[#This Row],[Type of change]], "Edit")),B195)</f>
        <v>2</v>
      </c>
      <c r="C196" s="16">
        <v>44530</v>
      </c>
      <c r="D196" s="1" t="s">
        <v>2401</v>
      </c>
      <c r="E196" t="s">
        <v>15</v>
      </c>
      <c r="F196" s="10"/>
      <c r="G196" s="10" t="s">
        <v>2404</v>
      </c>
      <c r="H196" t="s">
        <v>55</v>
      </c>
      <c r="I196" t="s">
        <v>2405</v>
      </c>
      <c r="K196" s="2"/>
      <c r="M196" s="2"/>
    </row>
    <row r="197" spans="1:13">
      <c r="A197" t="s">
        <v>28</v>
      </c>
      <c r="B197">
        <f ca="1">IF(OR(changes[[#This Row],[Type]]="Checklist",changes[[#This Row],[Type]]="checklist-flat"),1+IF(changes[[#This Row],[Type of change]] = "Edit",COUNTIFS($I$4:changes[[#This Row],[Name]],changes[[#This Row],[Name]], $E$4:changes[[#This Row],[Type of change]], "Edit")),B196)</f>
        <v>2</v>
      </c>
      <c r="C197" s="16">
        <v>44530</v>
      </c>
      <c r="D197" s="1" t="s">
        <v>2401</v>
      </c>
      <c r="E197" t="s">
        <v>15</v>
      </c>
      <c r="F197" s="10"/>
      <c r="G197" s="10" t="s">
        <v>2404</v>
      </c>
      <c r="H197" t="s">
        <v>479</v>
      </c>
      <c r="I197" t="s">
        <v>1721</v>
      </c>
      <c r="K197" s="2"/>
      <c r="M197" s="2"/>
    </row>
    <row r="198" spans="1:13">
      <c r="A198" t="s">
        <v>28</v>
      </c>
      <c r="B198">
        <f ca="1">IF(OR(changes[[#This Row],[Type]]="Checklist",changes[[#This Row],[Type]]="checklist-flat"),1+IF(changes[[#This Row],[Type of change]] = "Edit",COUNTIFS($I$4:changes[[#This Row],[Name]],changes[[#This Row],[Name]], $E$4:changes[[#This Row],[Type of change]], "Edit")),B197)</f>
        <v>2</v>
      </c>
      <c r="C198" s="16">
        <v>44530</v>
      </c>
      <c r="D198" s="1" t="s">
        <v>2401</v>
      </c>
      <c r="E198" t="s">
        <v>15</v>
      </c>
      <c r="F198" s="10"/>
      <c r="G198" s="10" t="s">
        <v>2404</v>
      </c>
      <c r="H198" t="s">
        <v>55</v>
      </c>
      <c r="I198" t="s">
        <v>1722</v>
      </c>
      <c r="K198" s="2"/>
      <c r="M198" s="2"/>
    </row>
    <row r="199" spans="1:13">
      <c r="A199" t="s">
        <v>28</v>
      </c>
      <c r="B199">
        <f ca="1">IF(OR(changes[[#This Row],[Type]]="Checklist",changes[[#This Row],[Type]]="checklist-flat"),1+IF(changes[[#This Row],[Type of change]] = "Edit",COUNTIFS($I$4:changes[[#This Row],[Name]],changes[[#This Row],[Name]], $E$4:changes[[#This Row],[Type of change]], "Edit")),B198)</f>
        <v>2</v>
      </c>
      <c r="C199" s="16">
        <v>44530</v>
      </c>
      <c r="D199" s="1" t="s">
        <v>2401</v>
      </c>
      <c r="E199" t="s">
        <v>15</v>
      </c>
      <c r="F199" s="10"/>
      <c r="G199" s="10" t="s">
        <v>2404</v>
      </c>
      <c r="H199" t="s">
        <v>479</v>
      </c>
      <c r="I199" t="s">
        <v>1734</v>
      </c>
      <c r="K199" s="2"/>
      <c r="M199" s="2"/>
    </row>
    <row r="200" spans="1:13">
      <c r="A200" t="s">
        <v>28</v>
      </c>
      <c r="B200">
        <f ca="1">IF(OR(changes[[#This Row],[Type]]="Checklist",changes[[#This Row],[Type]]="checklist-flat"),1+IF(changes[[#This Row],[Type of change]] = "Edit",COUNTIFS($I$4:changes[[#This Row],[Name]],changes[[#This Row],[Name]], $E$4:changes[[#This Row],[Type of change]], "Edit")),B199)</f>
        <v>2</v>
      </c>
      <c r="C200" s="16">
        <v>44530</v>
      </c>
      <c r="D200" s="1" t="s">
        <v>2401</v>
      </c>
      <c r="E200" t="s">
        <v>15</v>
      </c>
      <c r="F200" s="10"/>
      <c r="G200" s="10" t="s">
        <v>2404</v>
      </c>
      <c r="H200" t="s">
        <v>55</v>
      </c>
      <c r="I200" t="s">
        <v>1737</v>
      </c>
      <c r="K200" s="2"/>
      <c r="M200" s="2"/>
    </row>
    <row r="201" spans="1:13">
      <c r="A201" t="s">
        <v>28</v>
      </c>
      <c r="B201">
        <f ca="1">IF(OR(changes[[#This Row],[Type]]="Checklist",changes[[#This Row],[Type]]="checklist-flat"),1+IF(changes[[#This Row],[Type of change]] = "Edit",COUNTIFS($I$4:changes[[#This Row],[Name]],changes[[#This Row],[Name]], $E$4:changes[[#This Row],[Type of change]], "Edit")),B200)</f>
        <v>2</v>
      </c>
      <c r="C201" s="16">
        <v>44530</v>
      </c>
      <c r="D201" s="1" t="s">
        <v>2401</v>
      </c>
      <c r="E201" t="s">
        <v>15</v>
      </c>
      <c r="F201" s="10"/>
      <c r="G201" s="10" t="s">
        <v>2404</v>
      </c>
      <c r="H201" t="s">
        <v>64</v>
      </c>
      <c r="I201" t="s">
        <v>65</v>
      </c>
      <c r="K201" s="2"/>
      <c r="M201" s="2"/>
    </row>
    <row r="202" spans="1:13">
      <c r="A202" t="s">
        <v>28</v>
      </c>
      <c r="B202">
        <f ca="1">IF(OR(changes[[#This Row],[Type]]="Checklist",changes[[#This Row],[Type]]="checklist-flat"),1+IF(changes[[#This Row],[Type of change]] = "Edit",COUNTIFS($I$4:changes[[#This Row],[Name]],changes[[#This Row],[Name]], $E$4:changes[[#This Row],[Type of change]], "Edit")),B201)</f>
        <v>2</v>
      </c>
      <c r="C202" s="16">
        <v>44530</v>
      </c>
      <c r="D202" s="1" t="s">
        <v>2401</v>
      </c>
      <c r="E202" t="s">
        <v>15</v>
      </c>
      <c r="F202" s="10"/>
      <c r="G202" s="10" t="s">
        <v>2404</v>
      </c>
      <c r="H202" t="s">
        <v>55</v>
      </c>
      <c r="I202" t="s">
        <v>1784</v>
      </c>
      <c r="K202" s="2"/>
      <c r="M202" s="2"/>
    </row>
    <row r="203" spans="1:13">
      <c r="A203" t="s">
        <v>28</v>
      </c>
      <c r="B203">
        <f ca="1">IF(OR(changes[[#This Row],[Type]]="Checklist",changes[[#This Row],[Type]]="checklist-flat"),1+IF(changes[[#This Row],[Type of change]] = "Edit",COUNTIFS($I$4:changes[[#This Row],[Name]],changes[[#This Row],[Name]], $E$4:changes[[#This Row],[Type of change]], "Edit")),B202)</f>
        <v>2</v>
      </c>
      <c r="C203" s="16">
        <v>44530</v>
      </c>
      <c r="D203" s="1" t="s">
        <v>2401</v>
      </c>
      <c r="E203" t="s">
        <v>15</v>
      </c>
      <c r="F203" s="10"/>
      <c r="G203" s="10" t="s">
        <v>2404</v>
      </c>
      <c r="H203" t="s">
        <v>55</v>
      </c>
      <c r="I203" t="s">
        <v>1738</v>
      </c>
      <c r="K203" s="2"/>
      <c r="M203" s="2"/>
    </row>
    <row r="204" spans="1:13">
      <c r="A204" t="s">
        <v>28</v>
      </c>
      <c r="B204">
        <f ca="1">IF(OR(changes[[#This Row],[Type]]="Checklist",changes[[#This Row],[Type]]="checklist-flat"),1+IF(changes[[#This Row],[Type of change]] = "Edit",COUNTIFS($I$4:changes[[#This Row],[Name]],changes[[#This Row],[Name]], $E$4:changes[[#This Row],[Type of change]], "Edit")),B203)</f>
        <v>2</v>
      </c>
      <c r="C204" s="16">
        <v>44530</v>
      </c>
      <c r="D204" s="1" t="s">
        <v>2401</v>
      </c>
      <c r="E204" t="s">
        <v>15</v>
      </c>
      <c r="F204" s="10"/>
      <c r="G204" s="10" t="s">
        <v>2404</v>
      </c>
      <c r="H204" t="s">
        <v>479</v>
      </c>
      <c r="I204" t="s">
        <v>1739</v>
      </c>
      <c r="K204" s="2"/>
      <c r="M204" s="2"/>
    </row>
    <row r="205" spans="1:13">
      <c r="A205" t="s">
        <v>28</v>
      </c>
      <c r="B205">
        <f ca="1">IF(OR(changes[[#This Row],[Type]]="Checklist",changes[[#This Row],[Type]]="checklist-flat"),1+IF(changes[[#This Row],[Type of change]] = "Edit",COUNTIFS($I$4:changes[[#This Row],[Name]],changes[[#This Row],[Name]], $E$4:changes[[#This Row],[Type of change]], "Edit")),B204)</f>
        <v>2</v>
      </c>
      <c r="C205" s="16">
        <v>44530</v>
      </c>
      <c r="D205" s="1" t="s">
        <v>2401</v>
      </c>
      <c r="E205" t="s">
        <v>15</v>
      </c>
      <c r="F205" s="10"/>
      <c r="G205" s="10" t="s">
        <v>2404</v>
      </c>
      <c r="H205" t="s">
        <v>55</v>
      </c>
      <c r="I205" t="s">
        <v>1621</v>
      </c>
      <c r="K205" s="2"/>
      <c r="M205" s="2"/>
    </row>
    <row r="206" spans="1:13">
      <c r="A206" t="s">
        <v>28</v>
      </c>
      <c r="B206">
        <f ca="1">IF(OR(changes[[#This Row],[Type]]="Checklist",changes[[#This Row],[Type]]="checklist-flat"),1+IF(changes[[#This Row],[Type of change]] = "Edit",COUNTIFS($I$4:changes[[#This Row],[Name]],changes[[#This Row],[Name]], $E$4:changes[[#This Row],[Type of change]], "Edit")),B205)</f>
        <v>2</v>
      </c>
      <c r="C206" s="16">
        <v>44530</v>
      </c>
      <c r="D206" s="1" t="s">
        <v>2401</v>
      </c>
      <c r="E206" t="s">
        <v>15</v>
      </c>
      <c r="F206" s="10"/>
      <c r="G206" s="10" t="s">
        <v>2404</v>
      </c>
      <c r="H206" t="s">
        <v>55</v>
      </c>
      <c r="I206" t="s">
        <v>1581</v>
      </c>
      <c r="K206" s="2"/>
      <c r="M206" s="2"/>
    </row>
    <row r="207" spans="1:13">
      <c r="A207" t="s">
        <v>28</v>
      </c>
      <c r="B207">
        <f ca="1">IF(OR(changes[[#This Row],[Type]]="Checklist",changes[[#This Row],[Type]]="checklist-flat"),1+IF(changes[[#This Row],[Type of change]] = "Edit",COUNTIFS($I$4:changes[[#This Row],[Name]],changes[[#This Row],[Name]], $E$4:changes[[#This Row],[Type of change]], "Edit")),B206)</f>
        <v>2</v>
      </c>
      <c r="C207" s="16">
        <v>44530</v>
      </c>
      <c r="D207" s="1" t="s">
        <v>2401</v>
      </c>
      <c r="E207" t="s">
        <v>15</v>
      </c>
      <c r="F207" s="10"/>
      <c r="G207" s="10" t="s">
        <v>2404</v>
      </c>
      <c r="H207" t="s">
        <v>479</v>
      </c>
      <c r="I207" t="s">
        <v>1751</v>
      </c>
      <c r="K207" s="2"/>
      <c r="M207" s="2"/>
    </row>
    <row r="208" spans="1:13">
      <c r="A208" t="s">
        <v>28</v>
      </c>
      <c r="B208">
        <f ca="1">IF(OR(changes[[#This Row],[Type]]="Checklist",changes[[#This Row],[Type]]="checklist-flat"),1+IF(changes[[#This Row],[Type of change]] = "Edit",COUNTIFS($I$4:changes[[#This Row],[Name]],changes[[#This Row],[Name]], $E$4:changes[[#This Row],[Type of change]], "Edit")),B207)</f>
        <v>2</v>
      </c>
      <c r="C208" s="16">
        <v>44530</v>
      </c>
      <c r="D208" s="1" t="s">
        <v>2401</v>
      </c>
      <c r="E208" t="s">
        <v>15</v>
      </c>
      <c r="F208" s="10"/>
      <c r="G208" s="10" t="s">
        <v>2404</v>
      </c>
      <c r="H208" t="s">
        <v>55</v>
      </c>
      <c r="I208" t="s">
        <v>1752</v>
      </c>
      <c r="K208" s="2"/>
      <c r="M208" s="2"/>
    </row>
    <row r="209" spans="1:13">
      <c r="A209" t="s">
        <v>28</v>
      </c>
      <c r="B209">
        <f ca="1">IF(OR(changes[[#This Row],[Type]]="Checklist",changes[[#This Row],[Type]]="checklist-flat"),1+IF(changes[[#This Row],[Type of change]] = "Edit",COUNTIFS($I$4:changes[[#This Row],[Name]],changes[[#This Row],[Name]], $E$4:changes[[#This Row],[Type of change]], "Edit")),B208)</f>
        <v>2</v>
      </c>
      <c r="C209" s="16">
        <v>44530</v>
      </c>
      <c r="D209" s="1" t="s">
        <v>2401</v>
      </c>
      <c r="E209" t="s">
        <v>15</v>
      </c>
      <c r="F209" s="10"/>
      <c r="G209" s="10" t="s">
        <v>2404</v>
      </c>
      <c r="H209" t="s">
        <v>64</v>
      </c>
      <c r="I209" t="s">
        <v>65</v>
      </c>
      <c r="K209" s="2"/>
      <c r="M209" s="2"/>
    </row>
    <row r="210" spans="1:13">
      <c r="A210" t="s">
        <v>28</v>
      </c>
      <c r="B210">
        <f ca="1">IF(OR(changes[[#This Row],[Type]]="Checklist",changes[[#This Row],[Type]]="checklist-flat"),1+IF(changes[[#This Row],[Type of change]] = "Edit",COUNTIFS($I$4:changes[[#This Row],[Name]],changes[[#This Row],[Name]], $E$4:changes[[#This Row],[Type of change]], "Edit")),B209)</f>
        <v>2</v>
      </c>
      <c r="C210" s="16">
        <v>44530</v>
      </c>
      <c r="D210" s="1" t="s">
        <v>2401</v>
      </c>
      <c r="E210" t="s">
        <v>15</v>
      </c>
      <c r="F210" s="10"/>
      <c r="G210" s="10" t="s">
        <v>2404</v>
      </c>
      <c r="H210" t="s">
        <v>55</v>
      </c>
      <c r="I210" t="s">
        <v>1754</v>
      </c>
      <c r="K210" s="2"/>
      <c r="M210" s="2"/>
    </row>
    <row r="211" spans="1:13">
      <c r="A211" t="s">
        <v>28</v>
      </c>
      <c r="B211">
        <f ca="1">IF(OR(changes[[#This Row],[Type]]="Checklist",changes[[#This Row],[Type]]="checklist-flat"),1+IF(changes[[#This Row],[Type of change]] = "Edit",COUNTIFS($I$4:changes[[#This Row],[Name]],changes[[#This Row],[Name]], $E$4:changes[[#This Row],[Type of change]], "Edit")),B210)</f>
        <v>2</v>
      </c>
      <c r="C211" s="16">
        <v>44530</v>
      </c>
      <c r="D211" s="1" t="s">
        <v>2401</v>
      </c>
      <c r="E211" t="s">
        <v>15</v>
      </c>
      <c r="F211" s="10"/>
      <c r="G211" s="10" t="s">
        <v>1702</v>
      </c>
      <c r="H211" t="s">
        <v>54</v>
      </c>
      <c r="I211" t="s">
        <v>1702</v>
      </c>
      <c r="K211" s="2"/>
      <c r="M211" s="2"/>
    </row>
    <row r="212" spans="1:13">
      <c r="A212" t="s">
        <v>28</v>
      </c>
      <c r="B212">
        <f ca="1">IF(OR(changes[[#This Row],[Type]]="Checklist",changes[[#This Row],[Type]]="checklist-flat"),1+IF(changes[[#This Row],[Type of change]] = "Edit",COUNTIFS($I$4:changes[[#This Row],[Name]],changes[[#This Row],[Name]], $E$4:changes[[#This Row],[Type of change]], "Edit")),B211)</f>
        <v>2</v>
      </c>
      <c r="C212" s="16">
        <v>44530</v>
      </c>
      <c r="D212" s="1" t="s">
        <v>2401</v>
      </c>
      <c r="E212" t="s">
        <v>15</v>
      </c>
      <c r="F212" s="10"/>
      <c r="G212" s="10" t="s">
        <v>1702</v>
      </c>
      <c r="H212" t="s">
        <v>55</v>
      </c>
      <c r="I212" t="s">
        <v>1703</v>
      </c>
      <c r="K212" s="2"/>
      <c r="M212" s="2"/>
    </row>
    <row r="213" spans="1:13">
      <c r="A213" t="s">
        <v>28</v>
      </c>
      <c r="B213">
        <f ca="1">IF(OR(changes[[#This Row],[Type]]="Checklist",changes[[#This Row],[Type]]="checklist-flat"),1+IF(changes[[#This Row],[Type of change]] = "Edit",COUNTIFS($I$4:changes[[#This Row],[Name]],changes[[#This Row],[Name]], $E$4:changes[[#This Row],[Type of change]], "Edit")),B212)</f>
        <v>2</v>
      </c>
      <c r="C213" s="16">
        <v>44530</v>
      </c>
      <c r="D213" s="1" t="s">
        <v>2401</v>
      </c>
      <c r="E213" t="s">
        <v>15</v>
      </c>
      <c r="F213" s="10"/>
      <c r="G213" s="10" t="s">
        <v>1702</v>
      </c>
      <c r="H213" t="s">
        <v>55</v>
      </c>
      <c r="I213" t="s">
        <v>1704</v>
      </c>
      <c r="K213" s="2"/>
      <c r="M213" s="2"/>
    </row>
    <row r="214" spans="1:13">
      <c r="A214" t="s">
        <v>28</v>
      </c>
      <c r="B214">
        <f ca="1">IF(OR(changes[[#This Row],[Type]]="Checklist",changes[[#This Row],[Type]]="checklist-flat"),1+IF(changes[[#This Row],[Type of change]] = "Edit",COUNTIFS($I$4:changes[[#This Row],[Name]],changes[[#This Row],[Name]], $E$4:changes[[#This Row],[Type of change]], "Edit")),B213)</f>
        <v>2</v>
      </c>
      <c r="C214" s="16">
        <v>44530</v>
      </c>
      <c r="D214" s="1" t="s">
        <v>2401</v>
      </c>
      <c r="E214" t="s">
        <v>15</v>
      </c>
      <c r="F214" s="10"/>
      <c r="G214" s="10" t="s">
        <v>1702</v>
      </c>
      <c r="H214" t="s">
        <v>55</v>
      </c>
      <c r="I214" t="s">
        <v>1705</v>
      </c>
      <c r="K214" s="2"/>
      <c r="M214" s="2"/>
    </row>
    <row r="215" spans="1:13">
      <c r="A215" t="s">
        <v>28</v>
      </c>
      <c r="B215">
        <f ca="1">IF(OR(changes[[#This Row],[Type]]="Checklist",changes[[#This Row],[Type]]="checklist-flat"),1+IF(changes[[#This Row],[Type of change]] = "Edit",COUNTIFS($I$4:changes[[#This Row],[Name]],changes[[#This Row],[Name]], $E$4:changes[[#This Row],[Type of change]], "Edit")),B214)</f>
        <v>2</v>
      </c>
      <c r="C215" s="16">
        <v>44530</v>
      </c>
      <c r="D215" s="1" t="s">
        <v>2401</v>
      </c>
      <c r="E215" t="s">
        <v>15</v>
      </c>
      <c r="F215" s="10"/>
      <c r="G215" s="10" t="s">
        <v>1702</v>
      </c>
      <c r="H215" t="s">
        <v>55</v>
      </c>
      <c r="I215" t="s">
        <v>2406</v>
      </c>
      <c r="K215" s="2"/>
      <c r="M215" s="2"/>
    </row>
    <row r="216" spans="1:13">
      <c r="A216" t="s">
        <v>28</v>
      </c>
      <c r="B216">
        <f ca="1">IF(OR(changes[[#This Row],[Type]]="Checklist",changes[[#This Row],[Type]]="checklist-flat"),1+IF(changes[[#This Row],[Type of change]] = "Edit",COUNTIFS($I$4:changes[[#This Row],[Name]],changes[[#This Row],[Name]], $E$4:changes[[#This Row],[Type of change]], "Edit")),B215)</f>
        <v>2</v>
      </c>
      <c r="C216" s="16">
        <v>44530</v>
      </c>
      <c r="D216" s="1" t="s">
        <v>2401</v>
      </c>
      <c r="E216" t="s">
        <v>15</v>
      </c>
      <c r="F216" s="10"/>
      <c r="G216" s="10" t="s">
        <v>1702</v>
      </c>
      <c r="H216" t="s">
        <v>55</v>
      </c>
      <c r="I216" t="s">
        <v>1707</v>
      </c>
      <c r="K216" s="2"/>
      <c r="M216" s="2"/>
    </row>
    <row r="217" spans="1:13">
      <c r="A217" t="s">
        <v>28</v>
      </c>
      <c r="B217">
        <f ca="1">IF(OR(changes[[#This Row],[Type]]="Checklist",changes[[#This Row],[Type]]="checklist-flat"),1+IF(changes[[#This Row],[Type of change]] = "Edit",COUNTIFS($I$4:changes[[#This Row],[Name]],changes[[#This Row],[Name]], $E$4:changes[[#This Row],[Type of change]], "Edit")),B216)</f>
        <v>2</v>
      </c>
      <c r="C217" s="16">
        <v>44530</v>
      </c>
      <c r="D217" s="1" t="s">
        <v>2401</v>
      </c>
      <c r="E217" t="s">
        <v>15</v>
      </c>
      <c r="F217" s="10"/>
      <c r="G217" s="10" t="s">
        <v>1702</v>
      </c>
      <c r="H217" t="s">
        <v>55</v>
      </c>
      <c r="I217" t="s">
        <v>1708</v>
      </c>
      <c r="K217" s="2"/>
      <c r="M217" s="2"/>
    </row>
    <row r="218" spans="1:13">
      <c r="A218" t="s">
        <v>28</v>
      </c>
      <c r="B218">
        <f ca="1">IF(OR(changes[[#This Row],[Type]]="Checklist",changes[[#This Row],[Type]]="checklist-flat"),1+IF(changes[[#This Row],[Type of change]] = "Edit",COUNTIFS($I$4:changes[[#This Row],[Name]],changes[[#This Row],[Name]], $E$4:changes[[#This Row],[Type of change]], "Edit")),B217)</f>
        <v>2</v>
      </c>
      <c r="C218" s="16">
        <v>44530</v>
      </c>
      <c r="D218" s="1" t="s">
        <v>2401</v>
      </c>
      <c r="E218" t="s">
        <v>15</v>
      </c>
      <c r="F218" s="10"/>
      <c r="G218" s="10" t="s">
        <v>1702</v>
      </c>
      <c r="H218" t="s">
        <v>55</v>
      </c>
      <c r="I218" t="s">
        <v>1709</v>
      </c>
      <c r="K218" s="2"/>
      <c r="M218" s="2"/>
    </row>
    <row r="219" spans="1:13">
      <c r="A219" t="s">
        <v>28</v>
      </c>
      <c r="B219">
        <f ca="1">IF(OR(changes[[#This Row],[Type]]="Checklist",changes[[#This Row],[Type]]="checklist-flat"),1+IF(changes[[#This Row],[Type of change]] = "Edit",COUNTIFS($I$4:changes[[#This Row],[Name]],changes[[#This Row],[Name]], $E$4:changes[[#This Row],[Type of change]], "Edit")),B218)</f>
        <v>2</v>
      </c>
      <c r="C219" s="16">
        <v>44530</v>
      </c>
      <c r="D219" s="1" t="s">
        <v>2401</v>
      </c>
      <c r="E219" t="s">
        <v>15</v>
      </c>
      <c r="F219" s="10"/>
      <c r="G219" s="10" t="s">
        <v>1702</v>
      </c>
      <c r="H219" t="s">
        <v>55</v>
      </c>
      <c r="I219" t="s">
        <v>1710</v>
      </c>
      <c r="K219" s="2"/>
      <c r="M219" s="2"/>
    </row>
    <row r="220" spans="1:13">
      <c r="A220" t="s">
        <v>28</v>
      </c>
      <c r="B220">
        <f ca="1">IF(OR(changes[[#This Row],[Type]]="Checklist",changes[[#This Row],[Type]]="checklist-flat"),1+IF(changes[[#This Row],[Type of change]] = "Edit",COUNTIFS($I$4:changes[[#This Row],[Name]],changes[[#This Row],[Name]], $E$4:changes[[#This Row],[Type of change]], "Edit")),B219)</f>
        <v>2</v>
      </c>
      <c r="C220" s="16">
        <v>44530</v>
      </c>
      <c r="D220" s="1" t="s">
        <v>2401</v>
      </c>
      <c r="E220" t="s">
        <v>15</v>
      </c>
      <c r="F220" s="10"/>
      <c r="G220" s="10" t="s">
        <v>1702</v>
      </c>
      <c r="H220" t="s">
        <v>55</v>
      </c>
      <c r="I220" t="s">
        <v>1711</v>
      </c>
      <c r="K220" s="2"/>
      <c r="M220" s="2"/>
    </row>
    <row r="221" spans="1:13">
      <c r="A221" t="s">
        <v>28</v>
      </c>
      <c r="B221">
        <f ca="1">IF(OR(changes[[#This Row],[Type]]="Checklist",changes[[#This Row],[Type]]="checklist-flat"),1+IF(changes[[#This Row],[Type of change]] = "Edit",COUNTIFS($I$4:changes[[#This Row],[Name]],changes[[#This Row],[Name]], $E$4:changes[[#This Row],[Type of change]], "Edit")),B220)</f>
        <v>2</v>
      </c>
      <c r="C221" s="16">
        <v>44530</v>
      </c>
      <c r="D221" s="1" t="s">
        <v>2401</v>
      </c>
      <c r="E221" t="s">
        <v>15</v>
      </c>
      <c r="F221" s="10"/>
      <c r="G221" s="10" t="s">
        <v>1702</v>
      </c>
      <c r="H221" t="s">
        <v>55</v>
      </c>
      <c r="I221" t="s">
        <v>1712</v>
      </c>
      <c r="K221" s="2"/>
      <c r="M221" s="2"/>
    </row>
    <row r="222" spans="1:13">
      <c r="A222" t="s">
        <v>28</v>
      </c>
      <c r="B222">
        <f ca="1">IF(OR(changes[[#This Row],[Type]]="Checklist",changes[[#This Row],[Type]]="checklist-flat"),1+IF(changes[[#This Row],[Type of change]] = "Edit",COUNTIFS($I$4:changes[[#This Row],[Name]],changes[[#This Row],[Name]], $E$4:changes[[#This Row],[Type of change]], "Edit")),B221)</f>
        <v>2</v>
      </c>
      <c r="C222" s="16">
        <v>44530</v>
      </c>
      <c r="D222" s="1" t="s">
        <v>2401</v>
      </c>
      <c r="E222" t="s">
        <v>15</v>
      </c>
      <c r="F222" s="10"/>
      <c r="G222" s="10" t="s">
        <v>1702</v>
      </c>
      <c r="H222" t="s">
        <v>55</v>
      </c>
      <c r="I222" t="s">
        <v>1713</v>
      </c>
      <c r="K222" s="2"/>
      <c r="M222" s="2"/>
    </row>
    <row r="223" spans="1:13">
      <c r="A223" t="s">
        <v>28</v>
      </c>
      <c r="B223">
        <f ca="1">IF(OR(changes[[#This Row],[Type]]="Checklist",changes[[#This Row],[Type]]="checklist-flat"),1+IF(changes[[#This Row],[Type of change]] = "Edit",COUNTIFS($I$4:changes[[#This Row],[Name]],changes[[#This Row],[Name]], $E$4:changes[[#This Row],[Type of change]], "Edit")),B222)</f>
        <v>2</v>
      </c>
      <c r="C223" s="16">
        <v>44530</v>
      </c>
      <c r="D223" s="1" t="s">
        <v>2401</v>
      </c>
      <c r="E223" t="s">
        <v>15</v>
      </c>
      <c r="F223" s="10"/>
      <c r="G223" s="10" t="s">
        <v>1702</v>
      </c>
      <c r="H223" t="s">
        <v>55</v>
      </c>
      <c r="I223" t="s">
        <v>1714</v>
      </c>
      <c r="K223" s="2"/>
      <c r="M223" s="2"/>
    </row>
    <row r="224" spans="1:13">
      <c r="A224" t="s">
        <v>28</v>
      </c>
      <c r="B224">
        <f ca="1">IF(OR(changes[[#This Row],[Type]]="Checklist",changes[[#This Row],[Type]]="checklist-flat"),1+IF(changes[[#This Row],[Type of change]] = "Edit",COUNTIFS($I$4:changes[[#This Row],[Name]],changes[[#This Row],[Name]], $E$4:changes[[#This Row],[Type of change]], "Edit")),B223)</f>
        <v>2</v>
      </c>
      <c r="C224" s="16">
        <v>44530</v>
      </c>
      <c r="D224" s="1" t="s">
        <v>2401</v>
      </c>
      <c r="E224" t="s">
        <v>15</v>
      </c>
      <c r="F224" s="10"/>
      <c r="G224" s="10" t="s">
        <v>1755</v>
      </c>
      <c r="H224" t="s">
        <v>478</v>
      </c>
      <c r="I224" t="s">
        <v>1755</v>
      </c>
      <c r="K224" s="2"/>
      <c r="M224" s="2"/>
    </row>
    <row r="225" spans="1:13">
      <c r="A225" t="s">
        <v>28</v>
      </c>
      <c r="B225">
        <f ca="1">IF(OR(changes[[#This Row],[Type]]="Checklist",changes[[#This Row],[Type]]="checklist-flat"),1+IF(changes[[#This Row],[Type of change]] = "Edit",COUNTIFS($I$4:changes[[#This Row],[Name]],changes[[#This Row],[Name]], $E$4:changes[[#This Row],[Type of change]], "Edit")),B224)</f>
        <v>2</v>
      </c>
      <c r="C225" s="16">
        <v>44530</v>
      </c>
      <c r="D225" s="1" t="s">
        <v>2401</v>
      </c>
      <c r="E225" t="s">
        <v>15</v>
      </c>
      <c r="F225" s="10"/>
      <c r="G225" s="10" t="s">
        <v>1755</v>
      </c>
      <c r="H225" t="s">
        <v>479</v>
      </c>
      <c r="I225" t="s">
        <v>1716</v>
      </c>
      <c r="K225" s="2"/>
      <c r="M225" s="2"/>
    </row>
    <row r="226" spans="1:13">
      <c r="A226" t="s">
        <v>28</v>
      </c>
      <c r="B226">
        <f ca="1">IF(OR(changes[[#This Row],[Type]]="Checklist",changes[[#This Row],[Type]]="checklist-flat"),1+IF(changes[[#This Row],[Type of change]] = "Edit",COUNTIFS($I$4:changes[[#This Row],[Name]],changes[[#This Row],[Name]], $E$4:changes[[#This Row],[Type of change]], "Edit")),B225)</f>
        <v>2</v>
      </c>
      <c r="C226" s="16">
        <v>44530</v>
      </c>
      <c r="D226" s="1" t="s">
        <v>2401</v>
      </c>
      <c r="E226" t="s">
        <v>15</v>
      </c>
      <c r="F226" s="10"/>
      <c r="G226" s="10" t="s">
        <v>1755</v>
      </c>
      <c r="H226" t="s">
        <v>55</v>
      </c>
      <c r="I226" t="s">
        <v>1717</v>
      </c>
      <c r="K226" s="2"/>
      <c r="M226" s="2"/>
    </row>
    <row r="227" spans="1:13">
      <c r="A227" t="s">
        <v>28</v>
      </c>
      <c r="B227">
        <f ca="1">IF(OR(changes[[#This Row],[Type]]="Checklist",changes[[#This Row],[Type]]="checklist-flat"),1+IF(changes[[#This Row],[Type of change]] = "Edit",COUNTIFS($I$4:changes[[#This Row],[Name]],changes[[#This Row],[Name]], $E$4:changes[[#This Row],[Type of change]], "Edit")),B226)</f>
        <v>2</v>
      </c>
      <c r="C227" s="16">
        <v>44530</v>
      </c>
      <c r="D227" s="1" t="s">
        <v>2401</v>
      </c>
      <c r="E227" t="s">
        <v>15</v>
      </c>
      <c r="F227" s="10"/>
      <c r="G227" s="10" t="s">
        <v>1755</v>
      </c>
      <c r="H227" t="s">
        <v>214</v>
      </c>
      <c r="I227" t="s">
        <v>1613</v>
      </c>
      <c r="K227" s="2"/>
      <c r="M227" s="2"/>
    </row>
    <row r="228" spans="1:13">
      <c r="A228" t="s">
        <v>28</v>
      </c>
      <c r="B228">
        <f ca="1">IF(OR(changes[[#This Row],[Type]]="Checklist",changes[[#This Row],[Type]]="checklist-flat"),1+IF(changes[[#This Row],[Type of change]] = "Edit",COUNTIFS($I$4:changes[[#This Row],[Name]],changes[[#This Row],[Name]], $E$4:changes[[#This Row],[Type of change]], "Edit")),B227)</f>
        <v>2</v>
      </c>
      <c r="C228" s="16">
        <v>44530</v>
      </c>
      <c r="D228" s="1" t="s">
        <v>2401</v>
      </c>
      <c r="E228" t="s">
        <v>15</v>
      </c>
      <c r="F228" s="10"/>
      <c r="G228" s="10" t="s">
        <v>1755</v>
      </c>
      <c r="H228" t="s">
        <v>214</v>
      </c>
      <c r="I228" t="s">
        <v>1614</v>
      </c>
      <c r="K228" s="2"/>
      <c r="M228" s="2"/>
    </row>
    <row r="229" spans="1:13">
      <c r="A229" t="s">
        <v>28</v>
      </c>
      <c r="B229">
        <f ca="1">IF(OR(changes[[#This Row],[Type]]="Checklist",changes[[#This Row],[Type]]="checklist-flat"),1+IF(changes[[#This Row],[Type of change]] = "Edit",COUNTIFS($I$4:changes[[#This Row],[Name]],changes[[#This Row],[Name]], $E$4:changes[[#This Row],[Type of change]], "Edit")),B228)</f>
        <v>2</v>
      </c>
      <c r="C229" s="16">
        <v>44530</v>
      </c>
      <c r="D229" s="1" t="s">
        <v>2401</v>
      </c>
      <c r="E229" t="s">
        <v>15</v>
      </c>
      <c r="F229" s="10"/>
      <c r="G229" s="10" t="s">
        <v>1755</v>
      </c>
      <c r="H229" t="s">
        <v>55</v>
      </c>
      <c r="I229" t="s">
        <v>1718</v>
      </c>
      <c r="K229" s="2"/>
      <c r="M229" s="2"/>
    </row>
    <row r="230" spans="1:13">
      <c r="A230" t="s">
        <v>28</v>
      </c>
      <c r="B230">
        <f ca="1">IF(OR(changes[[#This Row],[Type]]="Checklist",changes[[#This Row],[Type]]="checklist-flat"),1+IF(changes[[#This Row],[Type of change]] = "Edit",COUNTIFS($I$4:changes[[#This Row],[Name]],changes[[#This Row],[Name]], $E$4:changes[[#This Row],[Type of change]], "Edit")),B229)</f>
        <v>2</v>
      </c>
      <c r="C230" s="16">
        <v>44530</v>
      </c>
      <c r="D230" s="1" t="s">
        <v>2401</v>
      </c>
      <c r="E230" t="s">
        <v>15</v>
      </c>
      <c r="F230" s="10"/>
      <c r="G230" s="10" t="s">
        <v>1755</v>
      </c>
      <c r="H230" t="s">
        <v>479</v>
      </c>
      <c r="I230" t="s">
        <v>1719</v>
      </c>
      <c r="K230" s="2"/>
      <c r="M230" s="2"/>
    </row>
    <row r="231" spans="1:13">
      <c r="A231" t="s">
        <v>28</v>
      </c>
      <c r="B231">
        <f ca="1">IF(OR(changes[[#This Row],[Type]]="Checklist",changes[[#This Row],[Type]]="checklist-flat"),1+IF(changes[[#This Row],[Type of change]] = "Edit",COUNTIFS($I$4:changes[[#This Row],[Name]],changes[[#This Row],[Name]], $E$4:changes[[#This Row],[Type of change]], "Edit")),B230)</f>
        <v>2</v>
      </c>
      <c r="C231" s="16">
        <v>44530</v>
      </c>
      <c r="D231" s="1" t="s">
        <v>2401</v>
      </c>
      <c r="E231" t="s">
        <v>15</v>
      </c>
      <c r="F231" s="10"/>
      <c r="G231" s="10" t="s">
        <v>1755</v>
      </c>
      <c r="H231" t="s">
        <v>55</v>
      </c>
      <c r="I231" t="s">
        <v>1720</v>
      </c>
      <c r="K231" s="2"/>
      <c r="M231" s="2"/>
    </row>
    <row r="232" spans="1:13">
      <c r="A232" t="s">
        <v>28</v>
      </c>
      <c r="B232">
        <f ca="1">IF(OR(changes[[#This Row],[Type]]="Checklist",changes[[#This Row],[Type]]="checklist-flat"),1+IF(changes[[#This Row],[Type of change]] = "Edit",COUNTIFS($I$4:changes[[#This Row],[Name]],changes[[#This Row],[Name]], $E$4:changes[[#This Row],[Type of change]], "Edit")),B231)</f>
        <v>2</v>
      </c>
      <c r="C232" s="16">
        <v>44530</v>
      </c>
      <c r="D232" s="1" t="s">
        <v>2401</v>
      </c>
      <c r="E232" t="s">
        <v>15</v>
      </c>
      <c r="F232" s="10"/>
      <c r="G232" s="10" t="s">
        <v>1755</v>
      </c>
      <c r="H232" t="s">
        <v>55</v>
      </c>
      <c r="I232" t="s">
        <v>474</v>
      </c>
      <c r="K232" s="2"/>
      <c r="M232" s="2"/>
    </row>
    <row r="233" spans="1:13">
      <c r="A233" t="s">
        <v>28</v>
      </c>
      <c r="B233">
        <f ca="1">IF(OR(changes[[#This Row],[Type]]="Checklist",changes[[#This Row],[Type]]="checklist-flat"),1+IF(changes[[#This Row],[Type of change]] = "Edit",COUNTIFS($I$4:changes[[#This Row],[Name]],changes[[#This Row],[Name]], $E$4:changes[[#This Row],[Type of change]], "Edit")),B232)</f>
        <v>2</v>
      </c>
      <c r="C233" s="16">
        <v>44530</v>
      </c>
      <c r="D233" s="1" t="s">
        <v>2401</v>
      </c>
      <c r="E233" t="s">
        <v>15</v>
      </c>
      <c r="F233" s="10"/>
      <c r="G233" s="10" t="s">
        <v>1755</v>
      </c>
      <c r="H233" t="s">
        <v>55</v>
      </c>
      <c r="I233" t="s">
        <v>2399</v>
      </c>
      <c r="K233" s="2"/>
      <c r="M233" s="2"/>
    </row>
    <row r="234" spans="1:13">
      <c r="A234" t="s">
        <v>28</v>
      </c>
      <c r="B234">
        <f ca="1">IF(OR(changes[[#This Row],[Type]]="Checklist",changes[[#This Row],[Type]]="checklist-flat"),1+IF(changes[[#This Row],[Type of change]] = "Edit",COUNTIFS($I$4:changes[[#This Row],[Name]],changes[[#This Row],[Name]], $E$4:changes[[#This Row],[Type of change]], "Edit")),B233)</f>
        <v>2</v>
      </c>
      <c r="C234" s="16">
        <v>44530</v>
      </c>
      <c r="D234" s="1" t="s">
        <v>2401</v>
      </c>
      <c r="E234" t="s">
        <v>15</v>
      </c>
      <c r="F234" s="10"/>
      <c r="G234" s="10" t="s">
        <v>1755</v>
      </c>
      <c r="H234" t="s">
        <v>55</v>
      </c>
      <c r="I234" t="s">
        <v>476</v>
      </c>
      <c r="K234" s="2"/>
      <c r="M234" s="2"/>
    </row>
    <row r="235" spans="1:13">
      <c r="A235" t="s">
        <v>28</v>
      </c>
      <c r="B235">
        <f ca="1">IF(OR(changes[[#This Row],[Type]]="Checklist",changes[[#This Row],[Type]]="checklist-flat"),1+IF(changes[[#This Row],[Type of change]] = "Edit",COUNTIFS($I$4:changes[[#This Row],[Name]],changes[[#This Row],[Name]], $E$4:changes[[#This Row],[Type of change]], "Edit")),B234)</f>
        <v>2</v>
      </c>
      <c r="C235" s="16">
        <v>44530</v>
      </c>
      <c r="D235" s="1" t="s">
        <v>2401</v>
      </c>
      <c r="E235" t="s">
        <v>15</v>
      </c>
      <c r="F235" s="10"/>
      <c r="G235" s="10" t="s">
        <v>1755</v>
      </c>
      <c r="H235" t="s">
        <v>479</v>
      </c>
      <c r="I235" t="s">
        <v>1734</v>
      </c>
      <c r="K235" s="2"/>
      <c r="M235" s="2"/>
    </row>
    <row r="236" spans="1:13">
      <c r="A236" t="s">
        <v>28</v>
      </c>
      <c r="B236">
        <f ca="1">IF(OR(changes[[#This Row],[Type]]="Checklist",changes[[#This Row],[Type]]="checklist-flat"),1+IF(changes[[#This Row],[Type of change]] = "Edit",COUNTIFS($I$4:changes[[#This Row],[Name]],changes[[#This Row],[Name]], $E$4:changes[[#This Row],[Type of change]], "Edit")),B235)</f>
        <v>2</v>
      </c>
      <c r="C236" s="16">
        <v>44530</v>
      </c>
      <c r="D236" s="1" t="s">
        <v>2401</v>
      </c>
      <c r="E236" t="s">
        <v>15</v>
      </c>
      <c r="F236" s="10"/>
      <c r="G236" s="10" t="s">
        <v>1755</v>
      </c>
      <c r="H236" t="s">
        <v>55</v>
      </c>
      <c r="I236" t="s">
        <v>1735</v>
      </c>
      <c r="K236" s="2"/>
      <c r="M236" s="2"/>
    </row>
    <row r="237" spans="1:13">
      <c r="A237" t="s">
        <v>28</v>
      </c>
      <c r="B237">
        <f ca="1">IF(OR(changes[[#This Row],[Type]]="Checklist",changes[[#This Row],[Type]]="checklist-flat"),1+IF(changes[[#This Row],[Type of change]] = "Edit",COUNTIFS($I$4:changes[[#This Row],[Name]],changes[[#This Row],[Name]], $E$4:changes[[#This Row],[Type of change]], "Edit")),B236)</f>
        <v>2</v>
      </c>
      <c r="C237" s="16">
        <v>44530</v>
      </c>
      <c r="D237" s="1" t="s">
        <v>2401</v>
      </c>
      <c r="E237" t="s">
        <v>15</v>
      </c>
      <c r="F237" s="10"/>
      <c r="G237" s="10" t="s">
        <v>1755</v>
      </c>
      <c r="H237" t="s">
        <v>55</v>
      </c>
      <c r="I237" t="s">
        <v>1736</v>
      </c>
      <c r="K237" s="2"/>
      <c r="M237" s="2"/>
    </row>
    <row r="238" spans="1:13">
      <c r="A238" t="s">
        <v>28</v>
      </c>
      <c r="B238">
        <f ca="1">IF(OR(changes[[#This Row],[Type]]="Checklist",changes[[#This Row],[Type]]="checklist-flat"),1+IF(changes[[#This Row],[Type of change]] = "Edit",COUNTIFS($I$4:changes[[#This Row],[Name]],changes[[#This Row],[Name]], $E$4:changes[[#This Row],[Type of change]], "Edit")),B237)</f>
        <v>2</v>
      </c>
      <c r="C238" s="16">
        <v>44530</v>
      </c>
      <c r="D238" s="1" t="s">
        <v>2401</v>
      </c>
      <c r="E238" t="s">
        <v>15</v>
      </c>
      <c r="F238" s="10"/>
      <c r="G238" s="10" t="s">
        <v>1755</v>
      </c>
      <c r="H238" t="s">
        <v>55</v>
      </c>
      <c r="I238" t="s">
        <v>1737</v>
      </c>
      <c r="K238" s="2"/>
      <c r="M238" s="2"/>
    </row>
    <row r="239" spans="1:13">
      <c r="A239" t="s">
        <v>28</v>
      </c>
      <c r="B239">
        <f ca="1">IF(OR(changes[[#This Row],[Type]]="Checklist",changes[[#This Row],[Type]]="checklist-flat"),1+IF(changes[[#This Row],[Type of change]] = "Edit",COUNTIFS($I$4:changes[[#This Row],[Name]],changes[[#This Row],[Name]], $E$4:changes[[#This Row],[Type of change]], "Edit")),B238)</f>
        <v>2</v>
      </c>
      <c r="C239" s="16">
        <v>44530</v>
      </c>
      <c r="D239" s="1" t="s">
        <v>2401</v>
      </c>
      <c r="E239" t="s">
        <v>15</v>
      </c>
      <c r="F239" s="10"/>
      <c r="G239" s="10" t="s">
        <v>1755</v>
      </c>
      <c r="H239" t="s">
        <v>55</v>
      </c>
      <c r="I239" t="s">
        <v>1738</v>
      </c>
      <c r="K239" s="2"/>
      <c r="M239" s="2"/>
    </row>
    <row r="240" spans="1:13">
      <c r="A240" t="s">
        <v>28</v>
      </c>
      <c r="B240">
        <f ca="1">IF(OR(changes[[#This Row],[Type]]="Checklist",changes[[#This Row],[Type]]="checklist-flat"),1+IF(changes[[#This Row],[Type of change]] = "Edit",COUNTIFS($I$4:changes[[#This Row],[Name]],changes[[#This Row],[Name]], $E$4:changes[[#This Row],[Type of change]], "Edit")),B239)</f>
        <v>2</v>
      </c>
      <c r="C240" s="16">
        <v>44530</v>
      </c>
      <c r="D240" s="1" t="s">
        <v>2401</v>
      </c>
      <c r="E240" t="s">
        <v>15</v>
      </c>
      <c r="F240" s="10"/>
      <c r="G240" s="10" t="s">
        <v>1755</v>
      </c>
      <c r="H240" t="s">
        <v>479</v>
      </c>
      <c r="I240" t="s">
        <v>1739</v>
      </c>
      <c r="K240" s="2"/>
      <c r="M240" s="2"/>
    </row>
    <row r="241" spans="1:13">
      <c r="A241" t="s">
        <v>28</v>
      </c>
      <c r="B241">
        <f ca="1">IF(OR(changes[[#This Row],[Type]]="Checklist",changes[[#This Row],[Type]]="checklist-flat"),1+IF(changes[[#This Row],[Type of change]] = "Edit",COUNTIFS($I$4:changes[[#This Row],[Name]],changes[[#This Row],[Name]], $E$4:changes[[#This Row],[Type of change]], "Edit")),B240)</f>
        <v>2</v>
      </c>
      <c r="C241" s="16">
        <v>44530</v>
      </c>
      <c r="D241" s="1" t="s">
        <v>2401</v>
      </c>
      <c r="E241" t="s">
        <v>15</v>
      </c>
      <c r="F241" s="10"/>
      <c r="G241" s="10" t="s">
        <v>1755</v>
      </c>
      <c r="H241" t="s">
        <v>55</v>
      </c>
      <c r="I241" t="s">
        <v>1740</v>
      </c>
      <c r="K241" s="2"/>
      <c r="M241" s="2"/>
    </row>
    <row r="242" spans="1:13">
      <c r="A242" t="s">
        <v>28</v>
      </c>
      <c r="B242">
        <f ca="1">IF(OR(changes[[#This Row],[Type]]="Checklist",changes[[#This Row],[Type]]="checklist-flat"),1+IF(changes[[#This Row],[Type of change]] = "Edit",COUNTIFS($I$4:changes[[#This Row],[Name]],changes[[#This Row],[Name]], $E$4:changes[[#This Row],[Type of change]], "Edit")),B241)</f>
        <v>2</v>
      </c>
      <c r="C242" s="16">
        <v>44530</v>
      </c>
      <c r="D242" s="1" t="s">
        <v>2401</v>
      </c>
      <c r="E242" t="s">
        <v>15</v>
      </c>
      <c r="F242" s="10"/>
      <c r="G242" s="10" t="s">
        <v>1755</v>
      </c>
      <c r="H242" t="s">
        <v>214</v>
      </c>
      <c r="I242" t="s">
        <v>1741</v>
      </c>
      <c r="K242" s="2"/>
      <c r="M242" s="2"/>
    </row>
    <row r="243" spans="1:13">
      <c r="A243" t="s">
        <v>28</v>
      </c>
      <c r="B243">
        <f ca="1">IF(OR(changes[[#This Row],[Type]]="Checklist",changes[[#This Row],[Type]]="checklist-flat"),1+IF(changes[[#This Row],[Type of change]] = "Edit",COUNTIFS($I$4:changes[[#This Row],[Name]],changes[[#This Row],[Name]], $E$4:changes[[#This Row],[Type of change]], "Edit")),B242)</f>
        <v>2</v>
      </c>
      <c r="C243" s="16">
        <v>44530</v>
      </c>
      <c r="D243" s="1" t="s">
        <v>2401</v>
      </c>
      <c r="E243" t="s">
        <v>15</v>
      </c>
      <c r="F243" s="10"/>
      <c r="G243" s="10" t="s">
        <v>1755</v>
      </c>
      <c r="H243" t="s">
        <v>214</v>
      </c>
      <c r="I243" t="s">
        <v>1618</v>
      </c>
      <c r="K243" s="2"/>
      <c r="M243" s="2"/>
    </row>
    <row r="244" spans="1:13">
      <c r="A244" t="s">
        <v>28</v>
      </c>
      <c r="B244">
        <f ca="1">IF(OR(changes[[#This Row],[Type]]="Checklist",changes[[#This Row],[Type]]="checklist-flat"),1+IF(changes[[#This Row],[Type of change]] = "Edit",COUNTIFS($I$4:changes[[#This Row],[Name]],changes[[#This Row],[Name]], $E$4:changes[[#This Row],[Type of change]], "Edit")),B243)</f>
        <v>2</v>
      </c>
      <c r="C244" s="16">
        <v>44530</v>
      </c>
      <c r="D244" s="1" t="s">
        <v>2401</v>
      </c>
      <c r="E244" t="s">
        <v>15</v>
      </c>
      <c r="F244" s="10"/>
      <c r="G244" s="10" t="s">
        <v>1755</v>
      </c>
      <c r="H244" t="s">
        <v>214</v>
      </c>
      <c r="I244" t="s">
        <v>1619</v>
      </c>
      <c r="K244" s="2"/>
      <c r="M244" s="2"/>
    </row>
    <row r="245" spans="1:13">
      <c r="A245" t="s">
        <v>28</v>
      </c>
      <c r="B245">
        <f ca="1">IF(OR(changes[[#This Row],[Type]]="Checklist",changes[[#This Row],[Type]]="checklist-flat"),1+IF(changes[[#This Row],[Type of change]] = "Edit",COUNTIFS($I$4:changes[[#This Row],[Name]],changes[[#This Row],[Name]], $E$4:changes[[#This Row],[Type of change]], "Edit")),B244)</f>
        <v>2</v>
      </c>
      <c r="C245" s="16">
        <v>44530</v>
      </c>
      <c r="D245" s="1" t="s">
        <v>2401</v>
      </c>
      <c r="E245" t="s">
        <v>15</v>
      </c>
      <c r="F245" s="10"/>
      <c r="G245" s="10" t="s">
        <v>1755</v>
      </c>
      <c r="H245" t="s">
        <v>214</v>
      </c>
      <c r="I245" t="s">
        <v>1620</v>
      </c>
      <c r="K245" s="2"/>
      <c r="M245" s="2"/>
    </row>
    <row r="246" spans="1:13">
      <c r="A246" t="s">
        <v>28</v>
      </c>
      <c r="B246">
        <f ca="1">IF(OR(changes[[#This Row],[Type]]="Checklist",changes[[#This Row],[Type]]="checklist-flat"),1+IF(changes[[#This Row],[Type of change]] = "Edit",COUNTIFS($I$4:changes[[#This Row],[Name]],changes[[#This Row],[Name]], $E$4:changes[[#This Row],[Type of change]], "Edit")),B245)</f>
        <v>2</v>
      </c>
      <c r="C246" s="16">
        <v>44530</v>
      </c>
      <c r="D246" s="1" t="s">
        <v>2401</v>
      </c>
      <c r="E246" t="s">
        <v>15</v>
      </c>
      <c r="F246" s="10"/>
      <c r="G246" s="10" t="s">
        <v>1755</v>
      </c>
      <c r="H246" t="s">
        <v>437</v>
      </c>
      <c r="I246" t="s">
        <v>1621</v>
      </c>
      <c r="K246" s="2"/>
      <c r="M246" s="2"/>
    </row>
    <row r="247" spans="1:13">
      <c r="A247" t="s">
        <v>28</v>
      </c>
      <c r="B247">
        <f ca="1">IF(OR(changes[[#This Row],[Type]]="Checklist",changes[[#This Row],[Type]]="checklist-flat"),1+IF(changes[[#This Row],[Type of change]] = "Edit",COUNTIFS($I$4:changes[[#This Row],[Name]],changes[[#This Row],[Name]], $E$4:changes[[#This Row],[Type of change]], "Edit")),B246)</f>
        <v>2</v>
      </c>
      <c r="C247" s="16">
        <v>44530</v>
      </c>
      <c r="D247" s="1" t="s">
        <v>2401</v>
      </c>
      <c r="E247" t="s">
        <v>15</v>
      </c>
      <c r="F247" s="10"/>
      <c r="G247" s="10" t="s">
        <v>1755</v>
      </c>
      <c r="H247" t="s">
        <v>55</v>
      </c>
      <c r="I247" t="s">
        <v>1581</v>
      </c>
      <c r="K247" s="2"/>
      <c r="M247" s="2"/>
    </row>
    <row r="248" spans="1:13">
      <c r="A248" t="s">
        <v>28</v>
      </c>
      <c r="B248">
        <f ca="1">IF(OR(changes[[#This Row],[Type]]="Checklist",changes[[#This Row],[Type]]="checklist-flat"),1+IF(changes[[#This Row],[Type of change]] = "Edit",COUNTIFS($I$4:changes[[#This Row],[Name]],changes[[#This Row],[Name]], $E$4:changes[[#This Row],[Type of change]], "Edit")),B247)</f>
        <v>2</v>
      </c>
      <c r="C248" s="16">
        <v>44530</v>
      </c>
      <c r="D248" s="1" t="s">
        <v>2401</v>
      </c>
      <c r="E248" t="s">
        <v>15</v>
      </c>
      <c r="F248" s="10"/>
      <c r="G248" s="10" t="s">
        <v>1755</v>
      </c>
      <c r="H248" t="s">
        <v>55</v>
      </c>
      <c r="I248" t="s">
        <v>1582</v>
      </c>
      <c r="K248" s="2"/>
      <c r="M248" s="2"/>
    </row>
    <row r="249" spans="1:13">
      <c r="A249" t="s">
        <v>28</v>
      </c>
      <c r="B249">
        <f ca="1">IF(OR(changes[[#This Row],[Type]]="Checklist",changes[[#This Row],[Type]]="checklist-flat"),1+IF(changes[[#This Row],[Type of change]] = "Edit",COUNTIFS($I$4:changes[[#This Row],[Name]],changes[[#This Row],[Name]], $E$4:changes[[#This Row],[Type of change]], "Edit")),B248)</f>
        <v>2</v>
      </c>
      <c r="C249" s="16">
        <v>44530</v>
      </c>
      <c r="D249" s="1" t="s">
        <v>2401</v>
      </c>
      <c r="E249" t="s">
        <v>15</v>
      </c>
      <c r="F249" s="10"/>
      <c r="G249" s="10" t="s">
        <v>1755</v>
      </c>
      <c r="H249" t="s">
        <v>479</v>
      </c>
      <c r="I249" t="s">
        <v>1744</v>
      </c>
      <c r="K249" s="2"/>
      <c r="M249" s="2"/>
    </row>
    <row r="250" spans="1:13">
      <c r="A250" t="s">
        <v>28</v>
      </c>
      <c r="B250">
        <f ca="1">IF(OR(changes[[#This Row],[Type]]="Checklist",changes[[#This Row],[Type]]="checklist-flat"),1+IF(changes[[#This Row],[Type of change]] = "Edit",COUNTIFS($I$4:changes[[#This Row],[Name]],changes[[#This Row],[Name]], $E$4:changes[[#This Row],[Type of change]], "Edit")),B249)</f>
        <v>2</v>
      </c>
      <c r="C250" s="16">
        <v>44530</v>
      </c>
      <c r="D250" s="1" t="s">
        <v>2401</v>
      </c>
      <c r="E250" t="s">
        <v>15</v>
      </c>
      <c r="F250" s="10"/>
      <c r="G250" s="10" t="s">
        <v>1755</v>
      </c>
      <c r="H250" t="s">
        <v>55</v>
      </c>
      <c r="I250" t="s">
        <v>1745</v>
      </c>
      <c r="K250" s="2"/>
      <c r="M250" s="2"/>
    </row>
    <row r="251" spans="1:13">
      <c r="A251" t="s">
        <v>28</v>
      </c>
      <c r="B251">
        <f ca="1">IF(OR(changes[[#This Row],[Type]]="Checklist",changes[[#This Row],[Type]]="checklist-flat"),1+IF(changes[[#This Row],[Type of change]] = "Edit",COUNTIFS($I$4:changes[[#This Row],[Name]],changes[[#This Row],[Name]], $E$4:changes[[#This Row],[Type of change]], "Edit")),B250)</f>
        <v>2</v>
      </c>
      <c r="C251" s="16">
        <v>44530</v>
      </c>
      <c r="D251" s="1" t="s">
        <v>2401</v>
      </c>
      <c r="E251" t="s">
        <v>15</v>
      </c>
      <c r="F251" s="10"/>
      <c r="G251" s="10" t="s">
        <v>1755</v>
      </c>
      <c r="H251" t="s">
        <v>55</v>
      </c>
      <c r="I251" t="s">
        <v>1746</v>
      </c>
      <c r="K251" s="2"/>
      <c r="M251" s="2"/>
    </row>
    <row r="252" spans="1:13">
      <c r="A252" t="s">
        <v>28</v>
      </c>
      <c r="B252">
        <f ca="1">IF(OR(changes[[#This Row],[Type]]="Checklist",changes[[#This Row],[Type]]="checklist-flat"),1+IF(changes[[#This Row],[Type of change]] = "Edit",COUNTIFS($I$4:changes[[#This Row],[Name]],changes[[#This Row],[Name]], $E$4:changes[[#This Row],[Type of change]], "Edit")),B251)</f>
        <v>2</v>
      </c>
      <c r="C252" s="16">
        <v>44530</v>
      </c>
      <c r="D252" s="1" t="s">
        <v>2401</v>
      </c>
      <c r="E252" t="s">
        <v>15</v>
      </c>
      <c r="F252" s="10"/>
      <c r="G252" s="10" t="s">
        <v>1755</v>
      </c>
      <c r="H252" t="s">
        <v>437</v>
      </c>
      <c r="I252" t="s">
        <v>1747</v>
      </c>
      <c r="K252" s="2"/>
      <c r="M252" s="2"/>
    </row>
    <row r="253" spans="1:13">
      <c r="A253" t="s">
        <v>28</v>
      </c>
      <c r="B253">
        <f ca="1">IF(OR(changes[[#This Row],[Type]]="Checklist",changes[[#This Row],[Type]]="checklist-flat"),1+IF(changes[[#This Row],[Type of change]] = "Edit",COUNTIFS($I$4:changes[[#This Row],[Name]],changes[[#This Row],[Name]], $E$4:changes[[#This Row],[Type of change]], "Edit")),B252)</f>
        <v>2</v>
      </c>
      <c r="C253" s="16">
        <v>44530</v>
      </c>
      <c r="D253" s="1" t="s">
        <v>2401</v>
      </c>
      <c r="E253" t="s">
        <v>15</v>
      </c>
      <c r="F253" s="10"/>
      <c r="G253" s="10" t="s">
        <v>1755</v>
      </c>
      <c r="H253" t="s">
        <v>55</v>
      </c>
      <c r="I253" t="s">
        <v>1748</v>
      </c>
      <c r="K253" s="2"/>
      <c r="M253" s="2"/>
    </row>
    <row r="254" spans="1:13">
      <c r="A254" t="s">
        <v>28</v>
      </c>
      <c r="B254">
        <f ca="1">IF(OR(changes[[#This Row],[Type]]="Checklist",changes[[#This Row],[Type]]="checklist-flat"),1+IF(changes[[#This Row],[Type of change]] = "Edit",COUNTIFS($I$4:changes[[#This Row],[Name]],changes[[#This Row],[Name]], $E$4:changes[[#This Row],[Type of change]], "Edit")),B253)</f>
        <v>2</v>
      </c>
      <c r="C254" s="16">
        <v>44530</v>
      </c>
      <c r="D254" s="1" t="s">
        <v>2401</v>
      </c>
      <c r="E254" t="s">
        <v>15</v>
      </c>
      <c r="F254" s="10"/>
      <c r="G254" s="10" t="s">
        <v>1755</v>
      </c>
      <c r="H254" t="s">
        <v>55</v>
      </c>
      <c r="I254" t="s">
        <v>1749</v>
      </c>
      <c r="K254" s="2"/>
      <c r="M254" s="2"/>
    </row>
    <row r="255" spans="1:13">
      <c r="A255" t="s">
        <v>28</v>
      </c>
      <c r="B255">
        <f ca="1">IF(OR(changes[[#This Row],[Type]]="Checklist",changes[[#This Row],[Type]]="checklist-flat"),1+IF(changes[[#This Row],[Type of change]] = "Edit",COUNTIFS($I$4:changes[[#This Row],[Name]],changes[[#This Row],[Name]], $E$4:changes[[#This Row],[Type of change]], "Edit")),B254)</f>
        <v>2</v>
      </c>
      <c r="C255" s="16">
        <v>44530</v>
      </c>
      <c r="D255" s="1" t="s">
        <v>2401</v>
      </c>
      <c r="E255" t="s">
        <v>15</v>
      </c>
      <c r="F255" s="10"/>
      <c r="G255" s="10" t="s">
        <v>1755</v>
      </c>
      <c r="H255" t="s">
        <v>55</v>
      </c>
      <c r="I255" t="s">
        <v>1750</v>
      </c>
      <c r="K255" s="2"/>
      <c r="M255" s="2"/>
    </row>
    <row r="256" spans="1:13">
      <c r="A256" t="s">
        <v>28</v>
      </c>
      <c r="B256">
        <f ca="1">IF(OR(changes[[#This Row],[Type]]="Checklist",changes[[#This Row],[Type]]="checklist-flat"),1+IF(changes[[#This Row],[Type of change]] = "Edit",COUNTIFS($I$4:changes[[#This Row],[Name]],changes[[#This Row],[Name]], $E$4:changes[[#This Row],[Type of change]], "Edit")),B255)</f>
        <v>2</v>
      </c>
      <c r="C256" s="16">
        <v>44530</v>
      </c>
      <c r="D256" s="1" t="s">
        <v>2401</v>
      </c>
      <c r="E256" t="s">
        <v>15</v>
      </c>
      <c r="F256" s="10"/>
      <c r="G256" s="10" t="s">
        <v>1755</v>
      </c>
      <c r="H256" t="s">
        <v>479</v>
      </c>
      <c r="I256" t="s">
        <v>1751</v>
      </c>
      <c r="K256" s="2"/>
      <c r="M256" s="2"/>
    </row>
    <row r="257" spans="1:13">
      <c r="A257" t="s">
        <v>28</v>
      </c>
      <c r="B257">
        <f ca="1">IF(OR(changes[[#This Row],[Type]]="Checklist",changes[[#This Row],[Type]]="checklist-flat"),1+IF(changes[[#This Row],[Type of change]] = "Edit",COUNTIFS($I$4:changes[[#This Row],[Name]],changes[[#This Row],[Name]], $E$4:changes[[#This Row],[Type of change]], "Edit")),B256)</f>
        <v>2</v>
      </c>
      <c r="C257" s="16">
        <v>44530</v>
      </c>
      <c r="D257" s="1" t="s">
        <v>2401</v>
      </c>
      <c r="E257" t="s">
        <v>15</v>
      </c>
      <c r="F257" s="10"/>
      <c r="G257" s="10" t="s">
        <v>1755</v>
      </c>
      <c r="H257" t="s">
        <v>55</v>
      </c>
      <c r="I257" t="s">
        <v>1752</v>
      </c>
      <c r="K257" s="2"/>
      <c r="M257" s="2"/>
    </row>
    <row r="258" spans="1:13">
      <c r="A258" t="s">
        <v>28</v>
      </c>
      <c r="B258">
        <f ca="1">IF(OR(changes[[#This Row],[Type]]="Checklist",changes[[#This Row],[Type]]="checklist-flat"),1+IF(changes[[#This Row],[Type of change]] = "Edit",COUNTIFS($I$4:changes[[#This Row],[Name]],changes[[#This Row],[Name]], $E$4:changes[[#This Row],[Type of change]], "Edit")),B257)</f>
        <v>2</v>
      </c>
      <c r="C258" s="16">
        <v>44530</v>
      </c>
      <c r="D258" s="1" t="s">
        <v>2401</v>
      </c>
      <c r="E258" t="s">
        <v>15</v>
      </c>
      <c r="F258" s="10"/>
      <c r="G258" s="10" t="s">
        <v>1755</v>
      </c>
      <c r="H258" t="s">
        <v>64</v>
      </c>
      <c r="I258" t="s">
        <v>1753</v>
      </c>
      <c r="K258" s="2"/>
      <c r="M258" s="2"/>
    </row>
    <row r="259" spans="1:13">
      <c r="A259" t="s">
        <v>28</v>
      </c>
      <c r="B259">
        <f ca="1">IF(OR(changes[[#This Row],[Type]]="Checklist",changes[[#This Row],[Type]]="checklist-flat"),1+IF(changes[[#This Row],[Type of change]] = "Edit",COUNTIFS($I$4:changes[[#This Row],[Name]],changes[[#This Row],[Name]], $E$4:changes[[#This Row],[Type of change]], "Edit")),B258)</f>
        <v>2</v>
      </c>
      <c r="C259" s="16">
        <v>44530</v>
      </c>
      <c r="D259" s="1" t="s">
        <v>2401</v>
      </c>
      <c r="E259" t="s">
        <v>15</v>
      </c>
      <c r="F259" s="10"/>
      <c r="G259" s="10" t="s">
        <v>1755</v>
      </c>
      <c r="H259" t="s">
        <v>55</v>
      </c>
      <c r="I259" t="s">
        <v>1754</v>
      </c>
      <c r="K259" s="2"/>
      <c r="M259" s="2"/>
    </row>
    <row r="260" spans="1:13">
      <c r="A260" t="s">
        <v>28</v>
      </c>
      <c r="B260">
        <f ca="1">IF(OR(changes[[#This Row],[Type]]="Checklist",changes[[#This Row],[Type]]="checklist-flat"),1+IF(changes[[#This Row],[Type of change]] = "Edit",COUNTIFS($I$4:changes[[#This Row],[Name]],changes[[#This Row],[Name]], $E$4:changes[[#This Row],[Type of change]], "Edit")),B259)</f>
        <v>3</v>
      </c>
      <c r="C260" s="16">
        <v>44530</v>
      </c>
      <c r="D260" s="1" t="s">
        <v>2401</v>
      </c>
      <c r="E260" t="s">
        <v>15</v>
      </c>
      <c r="F260" s="10"/>
      <c r="G260" s="10" t="s">
        <v>1715</v>
      </c>
      <c r="H260" t="s">
        <v>478</v>
      </c>
      <c r="I260" t="s">
        <v>1715</v>
      </c>
      <c r="K260" s="2"/>
      <c r="M260" s="2"/>
    </row>
    <row r="261" spans="1:13">
      <c r="A261" t="s">
        <v>28</v>
      </c>
      <c r="B261">
        <f ca="1">IF(OR(changes[[#This Row],[Type]]="Checklist",changes[[#This Row],[Type]]="checklist-flat"),1+IF(changes[[#This Row],[Type of change]] = "Edit",COUNTIFS($I$4:changes[[#This Row],[Name]],changes[[#This Row],[Name]], $E$4:changes[[#This Row],[Type of change]], "Edit")),B260)</f>
        <v>3</v>
      </c>
      <c r="C261" s="16">
        <v>44530</v>
      </c>
      <c r="D261" s="1" t="s">
        <v>2401</v>
      </c>
      <c r="E261" t="s">
        <v>15</v>
      </c>
      <c r="F261" s="10"/>
      <c r="G261" s="10" t="s">
        <v>1715</v>
      </c>
      <c r="H261" t="s">
        <v>479</v>
      </c>
      <c r="I261" t="s">
        <v>1716</v>
      </c>
      <c r="K261" s="2"/>
      <c r="M261" s="2"/>
    </row>
    <row r="262" spans="1:13">
      <c r="A262" t="s">
        <v>28</v>
      </c>
      <c r="B262">
        <f ca="1">IF(OR(changes[[#This Row],[Type]]="Checklist",changes[[#This Row],[Type]]="checklist-flat"),1+IF(changes[[#This Row],[Type of change]] = "Edit",COUNTIFS($I$4:changes[[#This Row],[Name]],changes[[#This Row],[Name]], $E$4:changes[[#This Row],[Type of change]], "Edit")),B261)</f>
        <v>3</v>
      </c>
      <c r="C262" s="16">
        <v>44530</v>
      </c>
      <c r="D262" s="1" t="s">
        <v>2401</v>
      </c>
      <c r="E262" t="s">
        <v>15</v>
      </c>
      <c r="F262" s="10"/>
      <c r="G262" s="10" t="s">
        <v>1715</v>
      </c>
      <c r="H262" t="s">
        <v>55</v>
      </c>
      <c r="I262" t="s">
        <v>1717</v>
      </c>
      <c r="K262" s="2"/>
      <c r="M262" s="2"/>
    </row>
    <row r="263" spans="1:13">
      <c r="A263" t="s">
        <v>28</v>
      </c>
      <c r="B263">
        <f ca="1">IF(OR(changes[[#This Row],[Type]]="Checklist",changes[[#This Row],[Type]]="checklist-flat"),1+IF(changes[[#This Row],[Type of change]] = "Edit",COUNTIFS($I$4:changes[[#This Row],[Name]],changes[[#This Row],[Name]], $E$4:changes[[#This Row],[Type of change]], "Edit")),B262)</f>
        <v>3</v>
      </c>
      <c r="C263" s="16">
        <v>44530</v>
      </c>
      <c r="D263" s="1" t="s">
        <v>2401</v>
      </c>
      <c r="E263" t="s">
        <v>15</v>
      </c>
      <c r="F263" s="10"/>
      <c r="G263" s="10" t="s">
        <v>1715</v>
      </c>
      <c r="H263" t="s">
        <v>214</v>
      </c>
      <c r="I263" t="s">
        <v>1613</v>
      </c>
      <c r="K263" s="2"/>
      <c r="M263" s="2"/>
    </row>
    <row r="264" spans="1:13">
      <c r="A264" t="s">
        <v>28</v>
      </c>
      <c r="B264">
        <f ca="1">IF(OR(changes[[#This Row],[Type]]="Checklist",changes[[#This Row],[Type]]="checklist-flat"),1+IF(changes[[#This Row],[Type of change]] = "Edit",COUNTIFS($I$4:changes[[#This Row],[Name]],changes[[#This Row],[Name]], $E$4:changes[[#This Row],[Type of change]], "Edit")),B263)</f>
        <v>3</v>
      </c>
      <c r="C264" s="16">
        <v>44530</v>
      </c>
      <c r="D264" s="1" t="s">
        <v>2401</v>
      </c>
      <c r="E264" t="s">
        <v>15</v>
      </c>
      <c r="F264" s="10"/>
      <c r="G264" s="10" t="s">
        <v>1715</v>
      </c>
      <c r="H264" t="s">
        <v>214</v>
      </c>
      <c r="I264" t="s">
        <v>1614</v>
      </c>
      <c r="K264" s="2"/>
      <c r="M264" s="2"/>
    </row>
    <row r="265" spans="1:13">
      <c r="A265" t="s">
        <v>28</v>
      </c>
      <c r="B265">
        <f ca="1">IF(OR(changes[[#This Row],[Type]]="Checklist",changes[[#This Row],[Type]]="checklist-flat"),1+IF(changes[[#This Row],[Type of change]] = "Edit",COUNTIFS($I$4:changes[[#This Row],[Name]],changes[[#This Row],[Name]], $E$4:changes[[#This Row],[Type of change]], "Edit")),B264)</f>
        <v>3</v>
      </c>
      <c r="C265" s="16">
        <v>44530</v>
      </c>
      <c r="D265" s="1" t="s">
        <v>2401</v>
      </c>
      <c r="E265" t="s">
        <v>15</v>
      </c>
      <c r="F265" s="10"/>
      <c r="G265" s="10" t="s">
        <v>1715</v>
      </c>
      <c r="H265" t="s">
        <v>55</v>
      </c>
      <c r="I265" t="s">
        <v>1718</v>
      </c>
      <c r="K265" s="2"/>
      <c r="M265" s="2"/>
    </row>
    <row r="266" spans="1:13">
      <c r="A266" t="s">
        <v>28</v>
      </c>
      <c r="B266">
        <f ca="1">IF(OR(changes[[#This Row],[Type]]="Checklist",changes[[#This Row],[Type]]="checklist-flat"),1+IF(changes[[#This Row],[Type of change]] = "Edit",COUNTIFS($I$4:changes[[#This Row],[Name]],changes[[#This Row],[Name]], $E$4:changes[[#This Row],[Type of change]], "Edit")),B265)</f>
        <v>3</v>
      </c>
      <c r="C266" s="16">
        <v>44530</v>
      </c>
      <c r="D266" s="1" t="s">
        <v>2401</v>
      </c>
      <c r="E266" t="s">
        <v>15</v>
      </c>
      <c r="F266" s="10"/>
      <c r="G266" s="10" t="s">
        <v>1715</v>
      </c>
      <c r="H266" t="s">
        <v>479</v>
      </c>
      <c r="I266" t="s">
        <v>1719</v>
      </c>
      <c r="K266" s="2"/>
      <c r="M266" s="2"/>
    </row>
    <row r="267" spans="1:13">
      <c r="A267" t="s">
        <v>28</v>
      </c>
      <c r="B267">
        <f ca="1">IF(OR(changes[[#This Row],[Type]]="Checklist",changes[[#This Row],[Type]]="checklist-flat"),1+IF(changes[[#This Row],[Type of change]] = "Edit",COUNTIFS($I$4:changes[[#This Row],[Name]],changes[[#This Row],[Name]], $E$4:changes[[#This Row],[Type of change]], "Edit")),B266)</f>
        <v>3</v>
      </c>
      <c r="C267" s="16">
        <v>44530</v>
      </c>
      <c r="D267" s="1" t="s">
        <v>2401</v>
      </c>
      <c r="E267" t="s">
        <v>15</v>
      </c>
      <c r="F267" s="10"/>
      <c r="G267" s="10" t="s">
        <v>1715</v>
      </c>
      <c r="H267" t="s">
        <v>55</v>
      </c>
      <c r="I267" t="s">
        <v>1720</v>
      </c>
      <c r="K267" s="2"/>
      <c r="M267" s="2"/>
    </row>
    <row r="268" spans="1:13">
      <c r="A268" t="s">
        <v>28</v>
      </c>
      <c r="B268">
        <f ca="1">IF(OR(changes[[#This Row],[Type]]="Checklist",changes[[#This Row],[Type]]="checklist-flat"),1+IF(changes[[#This Row],[Type of change]] = "Edit",COUNTIFS($I$4:changes[[#This Row],[Name]],changes[[#This Row],[Name]], $E$4:changes[[#This Row],[Type of change]], "Edit")),B267)</f>
        <v>3</v>
      </c>
      <c r="C268" s="16">
        <v>44530</v>
      </c>
      <c r="D268" s="1" t="s">
        <v>2401</v>
      </c>
      <c r="E268" t="s">
        <v>15</v>
      </c>
      <c r="F268" s="10"/>
      <c r="G268" s="10" t="s">
        <v>1715</v>
      </c>
      <c r="H268" t="s">
        <v>55</v>
      </c>
      <c r="I268" t="s">
        <v>474</v>
      </c>
      <c r="K268" s="2"/>
      <c r="M268" s="2"/>
    </row>
    <row r="269" spans="1:13">
      <c r="A269" t="s">
        <v>28</v>
      </c>
      <c r="B269">
        <f ca="1">IF(OR(changes[[#This Row],[Type]]="Checklist",changes[[#This Row],[Type]]="checklist-flat"),1+IF(changes[[#This Row],[Type of change]] = "Edit",COUNTIFS($I$4:changes[[#This Row],[Name]],changes[[#This Row],[Name]], $E$4:changes[[#This Row],[Type of change]], "Edit")),B268)</f>
        <v>3</v>
      </c>
      <c r="C269" s="16">
        <v>44530</v>
      </c>
      <c r="D269" s="1" t="s">
        <v>2401</v>
      </c>
      <c r="E269" t="s">
        <v>15</v>
      </c>
      <c r="F269" s="10"/>
      <c r="G269" s="10" t="s">
        <v>1715</v>
      </c>
      <c r="H269" t="s">
        <v>55</v>
      </c>
      <c r="I269" t="s">
        <v>2399</v>
      </c>
      <c r="K269" s="2"/>
      <c r="M269" s="2"/>
    </row>
    <row r="270" spans="1:13">
      <c r="A270" t="s">
        <v>28</v>
      </c>
      <c r="B270">
        <f ca="1">IF(OR(changes[[#This Row],[Type]]="Checklist",changes[[#This Row],[Type]]="checklist-flat"),1+IF(changes[[#This Row],[Type of change]] = "Edit",COUNTIFS($I$4:changes[[#This Row],[Name]],changes[[#This Row],[Name]], $E$4:changes[[#This Row],[Type of change]], "Edit")),B269)</f>
        <v>3</v>
      </c>
      <c r="C270" s="16">
        <v>44530</v>
      </c>
      <c r="D270" s="1" t="s">
        <v>2401</v>
      </c>
      <c r="E270" t="s">
        <v>15</v>
      </c>
      <c r="F270" s="10"/>
      <c r="G270" s="10" t="s">
        <v>1715</v>
      </c>
      <c r="H270" t="s">
        <v>55</v>
      </c>
      <c r="I270" t="s">
        <v>476</v>
      </c>
      <c r="K270" s="2"/>
      <c r="M270" s="2"/>
    </row>
    <row r="271" spans="1:13">
      <c r="A271" t="s">
        <v>28</v>
      </c>
      <c r="B271">
        <f ca="1">IF(OR(changes[[#This Row],[Type]]="Checklist",changes[[#This Row],[Type]]="checklist-flat"),1+IF(changes[[#This Row],[Type of change]] = "Edit",COUNTIFS($I$4:changes[[#This Row],[Name]],changes[[#This Row],[Name]], $E$4:changes[[#This Row],[Type of change]], "Edit")),B270)</f>
        <v>3</v>
      </c>
      <c r="C271" s="16">
        <v>44530</v>
      </c>
      <c r="D271" s="1" t="s">
        <v>2401</v>
      </c>
      <c r="E271" t="s">
        <v>15</v>
      </c>
      <c r="F271" s="10"/>
      <c r="G271" s="10" t="s">
        <v>1715</v>
      </c>
      <c r="H271" t="s">
        <v>479</v>
      </c>
      <c r="I271" t="s">
        <v>1721</v>
      </c>
      <c r="K271" s="2"/>
      <c r="M271" s="2"/>
    </row>
    <row r="272" spans="1:13">
      <c r="A272" t="s">
        <v>28</v>
      </c>
      <c r="B272">
        <f ca="1">IF(OR(changes[[#This Row],[Type]]="Checklist",changes[[#This Row],[Type]]="checklist-flat"),1+IF(changes[[#This Row],[Type of change]] = "Edit",COUNTIFS($I$4:changes[[#This Row],[Name]],changes[[#This Row],[Name]], $E$4:changes[[#This Row],[Type of change]], "Edit")),B271)</f>
        <v>3</v>
      </c>
      <c r="C272" s="16">
        <v>44530</v>
      </c>
      <c r="D272" s="1" t="s">
        <v>2401</v>
      </c>
      <c r="E272" t="s">
        <v>15</v>
      </c>
      <c r="F272" s="10"/>
      <c r="G272" s="10" t="s">
        <v>1715</v>
      </c>
      <c r="H272" t="s">
        <v>55</v>
      </c>
      <c r="I272" t="s">
        <v>1722</v>
      </c>
      <c r="K272" s="2"/>
      <c r="M272" s="2"/>
    </row>
    <row r="273" spans="1:13">
      <c r="A273" t="s">
        <v>28</v>
      </c>
      <c r="B273">
        <f ca="1">IF(OR(changes[[#This Row],[Type]]="Checklist",changes[[#This Row],[Type]]="checklist-flat"),1+IF(changes[[#This Row],[Type of change]] = "Edit",COUNTIFS($I$4:changes[[#This Row],[Name]],changes[[#This Row],[Name]], $E$4:changes[[#This Row],[Type of change]], "Edit")),B272)</f>
        <v>3</v>
      </c>
      <c r="C273" s="16">
        <v>44530</v>
      </c>
      <c r="D273" s="1" t="s">
        <v>2401</v>
      </c>
      <c r="E273" t="s">
        <v>15</v>
      </c>
      <c r="F273" s="10"/>
      <c r="G273" s="10" t="s">
        <v>1715</v>
      </c>
      <c r="H273" t="s">
        <v>55</v>
      </c>
      <c r="I273" t="s">
        <v>1723</v>
      </c>
      <c r="K273" s="2"/>
      <c r="M273" s="2"/>
    </row>
    <row r="274" spans="1:13">
      <c r="A274" t="s">
        <v>28</v>
      </c>
      <c r="B274">
        <f ca="1">IF(OR(changes[[#This Row],[Type]]="Checklist",changes[[#This Row],[Type]]="checklist-flat"),1+IF(changes[[#This Row],[Type of change]] = "Edit",COUNTIFS($I$4:changes[[#This Row],[Name]],changes[[#This Row],[Name]], $E$4:changes[[#This Row],[Type of change]], "Edit")),B273)</f>
        <v>3</v>
      </c>
      <c r="C274" s="16">
        <v>44530</v>
      </c>
      <c r="D274" s="1" t="s">
        <v>2401</v>
      </c>
      <c r="E274" t="s">
        <v>15</v>
      </c>
      <c r="F274" s="10"/>
      <c r="G274" s="10" t="s">
        <v>1715</v>
      </c>
      <c r="H274" t="s">
        <v>55</v>
      </c>
      <c r="I274" t="s">
        <v>1724</v>
      </c>
      <c r="K274" s="2"/>
      <c r="M274" s="2"/>
    </row>
    <row r="275" spans="1:13">
      <c r="A275" t="s">
        <v>28</v>
      </c>
      <c r="B275">
        <f ca="1">IF(OR(changes[[#This Row],[Type]]="Checklist",changes[[#This Row],[Type]]="checklist-flat"),1+IF(changes[[#This Row],[Type of change]] = "Edit",COUNTIFS($I$4:changes[[#This Row],[Name]],changes[[#This Row],[Name]], $E$4:changes[[#This Row],[Type of change]], "Edit")),B274)</f>
        <v>3</v>
      </c>
      <c r="C275" s="16">
        <v>44530</v>
      </c>
      <c r="D275" s="1" t="s">
        <v>2401</v>
      </c>
      <c r="E275" t="s">
        <v>15</v>
      </c>
      <c r="F275" s="10"/>
      <c r="G275" s="10" t="s">
        <v>1715</v>
      </c>
      <c r="H275" t="s">
        <v>55</v>
      </c>
      <c r="I275" t="s">
        <v>1725</v>
      </c>
      <c r="K275" s="2"/>
      <c r="M275" s="2"/>
    </row>
    <row r="276" spans="1:13">
      <c r="A276" t="s">
        <v>28</v>
      </c>
      <c r="B276">
        <f ca="1">IF(OR(changes[[#This Row],[Type]]="Checklist",changes[[#This Row],[Type]]="checklist-flat"),1+IF(changes[[#This Row],[Type of change]] = "Edit",COUNTIFS($I$4:changes[[#This Row],[Name]],changes[[#This Row],[Name]], $E$4:changes[[#This Row],[Type of change]], "Edit")),B275)</f>
        <v>3</v>
      </c>
      <c r="C276" s="16">
        <v>44530</v>
      </c>
      <c r="D276" s="1" t="s">
        <v>2401</v>
      </c>
      <c r="E276" t="s">
        <v>15</v>
      </c>
      <c r="F276" s="10"/>
      <c r="G276" s="10" t="s">
        <v>1715</v>
      </c>
      <c r="H276" t="s">
        <v>55</v>
      </c>
      <c r="I276" t="s">
        <v>1726</v>
      </c>
      <c r="K276" s="2"/>
      <c r="M276" s="2"/>
    </row>
    <row r="277" spans="1:13">
      <c r="A277" t="s">
        <v>28</v>
      </c>
      <c r="B277">
        <f ca="1">IF(OR(changes[[#This Row],[Type]]="Checklist",changes[[#This Row],[Type]]="checklist-flat"),1+IF(changes[[#This Row],[Type of change]] = "Edit",COUNTIFS($I$4:changes[[#This Row],[Name]],changes[[#This Row],[Name]], $E$4:changes[[#This Row],[Type of change]], "Edit")),B276)</f>
        <v>3</v>
      </c>
      <c r="C277" s="16">
        <v>44530</v>
      </c>
      <c r="D277" s="1" t="s">
        <v>2401</v>
      </c>
      <c r="E277" t="s">
        <v>15</v>
      </c>
      <c r="F277" s="10"/>
      <c r="G277" s="10" t="s">
        <v>1715</v>
      </c>
      <c r="H277" t="s">
        <v>99</v>
      </c>
      <c r="I277" t="s">
        <v>1727</v>
      </c>
      <c r="K277" s="2"/>
      <c r="M277" s="2"/>
    </row>
    <row r="278" spans="1:13">
      <c r="A278" t="s">
        <v>28</v>
      </c>
      <c r="B278">
        <f ca="1">IF(OR(changes[[#This Row],[Type]]="Checklist",changes[[#This Row],[Type]]="checklist-flat"),1+IF(changes[[#This Row],[Type of change]] = "Edit",COUNTIFS($I$4:changes[[#This Row],[Name]],changes[[#This Row],[Name]], $E$4:changes[[#This Row],[Type of change]], "Edit")),B277)</f>
        <v>3</v>
      </c>
      <c r="C278" s="16">
        <v>44530</v>
      </c>
      <c r="D278" s="1" t="s">
        <v>2401</v>
      </c>
      <c r="E278" t="s">
        <v>15</v>
      </c>
      <c r="F278" s="10"/>
      <c r="G278" s="10" t="s">
        <v>1715</v>
      </c>
      <c r="H278" t="s">
        <v>99</v>
      </c>
      <c r="I278" t="s">
        <v>1728</v>
      </c>
      <c r="K278" s="2"/>
      <c r="M278" s="2"/>
    </row>
    <row r="279" spans="1:13">
      <c r="A279" t="s">
        <v>28</v>
      </c>
      <c r="B279">
        <f ca="1">IF(OR(changes[[#This Row],[Type]]="Checklist",changes[[#This Row],[Type]]="checklist-flat"),1+IF(changes[[#This Row],[Type of change]] = "Edit",COUNTIFS($I$4:changes[[#This Row],[Name]],changes[[#This Row],[Name]], $E$4:changes[[#This Row],[Type of change]], "Edit")),B278)</f>
        <v>3</v>
      </c>
      <c r="C279" s="16">
        <v>44530</v>
      </c>
      <c r="D279" s="1" t="s">
        <v>2401</v>
      </c>
      <c r="E279" t="s">
        <v>15</v>
      </c>
      <c r="F279" s="10"/>
      <c r="G279" s="10" t="s">
        <v>1715</v>
      </c>
      <c r="H279" t="s">
        <v>55</v>
      </c>
      <c r="I279" t="s">
        <v>1729</v>
      </c>
      <c r="K279" s="2"/>
      <c r="M279" s="2"/>
    </row>
    <row r="280" spans="1:13">
      <c r="A280" t="s">
        <v>28</v>
      </c>
      <c r="B280">
        <f ca="1">IF(OR(changes[[#This Row],[Type]]="Checklist",changes[[#This Row],[Type]]="checklist-flat"),1+IF(changes[[#This Row],[Type of change]] = "Edit",COUNTIFS($I$4:changes[[#This Row],[Name]],changes[[#This Row],[Name]], $E$4:changes[[#This Row],[Type of change]], "Edit")),B279)</f>
        <v>3</v>
      </c>
      <c r="C280" s="16">
        <v>44530</v>
      </c>
      <c r="D280" s="1" t="s">
        <v>2401</v>
      </c>
      <c r="E280" t="s">
        <v>15</v>
      </c>
      <c r="F280" s="10"/>
      <c r="G280" s="10" t="s">
        <v>1715</v>
      </c>
      <c r="H280" t="s">
        <v>55</v>
      </c>
      <c r="I280" t="s">
        <v>1730</v>
      </c>
      <c r="K280" s="2"/>
      <c r="M280" s="2"/>
    </row>
    <row r="281" spans="1:13">
      <c r="A281" t="s">
        <v>28</v>
      </c>
      <c r="B281">
        <f ca="1">IF(OR(changes[[#This Row],[Type]]="Checklist",changes[[#This Row],[Type]]="checklist-flat"),1+IF(changes[[#This Row],[Type of change]] = "Edit",COUNTIFS($I$4:changes[[#This Row],[Name]],changes[[#This Row],[Name]], $E$4:changes[[#This Row],[Type of change]], "Edit")),B280)</f>
        <v>3</v>
      </c>
      <c r="C281" s="16">
        <v>44530</v>
      </c>
      <c r="D281" s="1" t="s">
        <v>2401</v>
      </c>
      <c r="E281" t="s">
        <v>15</v>
      </c>
      <c r="F281" s="10"/>
      <c r="G281" s="10" t="s">
        <v>1715</v>
      </c>
      <c r="H281" t="s">
        <v>55</v>
      </c>
      <c r="I281" t="s">
        <v>1731</v>
      </c>
      <c r="K281" s="2"/>
      <c r="M281" s="2"/>
    </row>
    <row r="282" spans="1:13">
      <c r="A282" t="s">
        <v>28</v>
      </c>
      <c r="B282">
        <f ca="1">IF(OR(changes[[#This Row],[Type]]="Checklist",changes[[#This Row],[Type]]="checklist-flat"),1+IF(changes[[#This Row],[Type of change]] = "Edit",COUNTIFS($I$4:changes[[#This Row],[Name]],changes[[#This Row],[Name]], $E$4:changes[[#This Row],[Type of change]], "Edit")),B281)</f>
        <v>3</v>
      </c>
      <c r="C282" s="16">
        <v>44530</v>
      </c>
      <c r="D282" s="1" t="s">
        <v>2401</v>
      </c>
      <c r="E282" t="s">
        <v>15</v>
      </c>
      <c r="F282" s="10"/>
      <c r="G282" s="10" t="s">
        <v>1715</v>
      </c>
      <c r="H282" t="s">
        <v>55</v>
      </c>
      <c r="I282" t="s">
        <v>1732</v>
      </c>
      <c r="K282" s="2"/>
      <c r="M282" s="2"/>
    </row>
    <row r="283" spans="1:13">
      <c r="A283" t="s">
        <v>28</v>
      </c>
      <c r="B283">
        <f ca="1">IF(OR(changes[[#This Row],[Type]]="Checklist",changes[[#This Row],[Type]]="checklist-flat"),1+IF(changes[[#This Row],[Type of change]] = "Edit",COUNTIFS($I$4:changes[[#This Row],[Name]],changes[[#This Row],[Name]], $E$4:changes[[#This Row],[Type of change]], "Edit")),B282)</f>
        <v>3</v>
      </c>
      <c r="C283" s="16">
        <v>44530</v>
      </c>
      <c r="D283" s="1" t="s">
        <v>2401</v>
      </c>
      <c r="E283" t="s">
        <v>15</v>
      </c>
      <c r="F283" s="10"/>
      <c r="G283" s="10" t="s">
        <v>1715</v>
      </c>
      <c r="H283" t="s">
        <v>55</v>
      </c>
      <c r="I283" t="s">
        <v>1583</v>
      </c>
      <c r="K283" s="2"/>
      <c r="M283" s="2"/>
    </row>
    <row r="284" spans="1:13">
      <c r="A284" t="s">
        <v>28</v>
      </c>
      <c r="B284">
        <f ca="1">IF(OR(changes[[#This Row],[Type]]="Checklist",changes[[#This Row],[Type]]="checklist-flat"),1+IF(changes[[#This Row],[Type of change]] = "Edit",COUNTIFS($I$4:changes[[#This Row],[Name]],changes[[#This Row],[Name]], $E$4:changes[[#This Row],[Type of change]], "Edit")),B283)</f>
        <v>3</v>
      </c>
      <c r="C284" s="16">
        <v>44530</v>
      </c>
      <c r="D284" s="1" t="s">
        <v>2401</v>
      </c>
      <c r="E284" t="s">
        <v>15</v>
      </c>
      <c r="F284" s="10"/>
      <c r="G284" s="10" t="s">
        <v>1715</v>
      </c>
      <c r="H284" t="s">
        <v>55</v>
      </c>
      <c r="I284" t="s">
        <v>1733</v>
      </c>
      <c r="K284" s="2"/>
      <c r="M284" s="2"/>
    </row>
    <row r="285" spans="1:13">
      <c r="A285" t="s">
        <v>28</v>
      </c>
      <c r="B285">
        <f ca="1">IF(OR(changes[[#This Row],[Type]]="Checklist",changes[[#This Row],[Type]]="checklist-flat"),1+IF(changes[[#This Row],[Type of change]] = "Edit",COUNTIFS($I$4:changes[[#This Row],[Name]],changes[[#This Row],[Name]], $E$4:changes[[#This Row],[Type of change]], "Edit")),B284)</f>
        <v>3</v>
      </c>
      <c r="C285" s="16">
        <v>44530</v>
      </c>
      <c r="D285" s="1" t="s">
        <v>2401</v>
      </c>
      <c r="E285" t="s">
        <v>15</v>
      </c>
      <c r="F285" s="10"/>
      <c r="G285" s="10" t="s">
        <v>1715</v>
      </c>
      <c r="H285" t="s">
        <v>479</v>
      </c>
      <c r="I285" t="s">
        <v>1734</v>
      </c>
      <c r="K285" s="2"/>
      <c r="M285" s="2"/>
    </row>
    <row r="286" spans="1:13">
      <c r="A286" t="s">
        <v>28</v>
      </c>
      <c r="B286">
        <f ca="1">IF(OR(changes[[#This Row],[Type]]="Checklist",changes[[#This Row],[Type]]="checklist-flat"),1+IF(changes[[#This Row],[Type of change]] = "Edit",COUNTIFS($I$4:changes[[#This Row],[Name]],changes[[#This Row],[Name]], $E$4:changes[[#This Row],[Type of change]], "Edit")),B285)</f>
        <v>3</v>
      </c>
      <c r="C286" s="16">
        <v>44530</v>
      </c>
      <c r="D286" s="1" t="s">
        <v>2401</v>
      </c>
      <c r="E286" t="s">
        <v>15</v>
      </c>
      <c r="F286" s="10"/>
      <c r="G286" s="10" t="s">
        <v>1715</v>
      </c>
      <c r="H286" t="s">
        <v>55</v>
      </c>
      <c r="I286" t="s">
        <v>1735</v>
      </c>
      <c r="K286" s="2"/>
      <c r="M286" s="2"/>
    </row>
    <row r="287" spans="1:13">
      <c r="A287" t="s">
        <v>28</v>
      </c>
      <c r="B287">
        <f ca="1">IF(OR(changes[[#This Row],[Type]]="Checklist",changes[[#This Row],[Type]]="checklist-flat"),1+IF(changes[[#This Row],[Type of change]] = "Edit",COUNTIFS($I$4:changes[[#This Row],[Name]],changes[[#This Row],[Name]], $E$4:changes[[#This Row],[Type of change]], "Edit")),B286)</f>
        <v>3</v>
      </c>
      <c r="C287" s="16">
        <v>44530</v>
      </c>
      <c r="D287" s="1" t="s">
        <v>2401</v>
      </c>
      <c r="E287" t="s">
        <v>15</v>
      </c>
      <c r="F287" s="10"/>
      <c r="G287" s="10" t="s">
        <v>1715</v>
      </c>
      <c r="H287" t="s">
        <v>55</v>
      </c>
      <c r="I287" t="s">
        <v>1736</v>
      </c>
      <c r="K287" s="2"/>
      <c r="M287" s="2"/>
    </row>
    <row r="288" spans="1:13">
      <c r="A288" t="s">
        <v>28</v>
      </c>
      <c r="B288">
        <f ca="1">IF(OR(changes[[#This Row],[Type]]="Checklist",changes[[#This Row],[Type]]="checklist-flat"),1+IF(changes[[#This Row],[Type of change]] = "Edit",COUNTIFS($I$4:changes[[#This Row],[Name]],changes[[#This Row],[Name]], $E$4:changes[[#This Row],[Type of change]], "Edit")),B287)</f>
        <v>3</v>
      </c>
      <c r="C288" s="16">
        <v>44530</v>
      </c>
      <c r="D288" s="1" t="s">
        <v>2401</v>
      </c>
      <c r="E288" t="s">
        <v>15</v>
      </c>
      <c r="F288" s="10"/>
      <c r="G288" s="10" t="s">
        <v>1715</v>
      </c>
      <c r="H288" t="s">
        <v>55</v>
      </c>
      <c r="I288" t="s">
        <v>1737</v>
      </c>
      <c r="K288" s="2"/>
      <c r="M288" s="2"/>
    </row>
    <row r="289" spans="1:13">
      <c r="A289" t="s">
        <v>28</v>
      </c>
      <c r="B289">
        <f ca="1">IF(OR(changes[[#This Row],[Type]]="Checklist",changes[[#This Row],[Type]]="checklist-flat"),1+IF(changes[[#This Row],[Type of change]] = "Edit",COUNTIFS($I$4:changes[[#This Row],[Name]],changes[[#This Row],[Name]], $E$4:changes[[#This Row],[Type of change]], "Edit")),B288)</f>
        <v>3</v>
      </c>
      <c r="C289" s="16">
        <v>44530</v>
      </c>
      <c r="D289" s="1" t="s">
        <v>2401</v>
      </c>
      <c r="E289" t="s">
        <v>15</v>
      </c>
      <c r="F289" s="10"/>
      <c r="G289" s="10" t="s">
        <v>1715</v>
      </c>
      <c r="H289" t="s">
        <v>55</v>
      </c>
      <c r="I289" t="s">
        <v>1738</v>
      </c>
      <c r="K289" s="2"/>
      <c r="M289" s="2"/>
    </row>
    <row r="290" spans="1:13">
      <c r="A290" t="s">
        <v>28</v>
      </c>
      <c r="B290">
        <f ca="1">IF(OR(changes[[#This Row],[Type]]="Checklist",changes[[#This Row],[Type]]="checklist-flat"),1+IF(changes[[#This Row],[Type of change]] = "Edit",COUNTIFS($I$4:changes[[#This Row],[Name]],changes[[#This Row],[Name]], $E$4:changes[[#This Row],[Type of change]], "Edit")),B289)</f>
        <v>3</v>
      </c>
      <c r="C290" s="16">
        <v>44530</v>
      </c>
      <c r="D290" s="1" t="s">
        <v>2401</v>
      </c>
      <c r="E290" t="s">
        <v>15</v>
      </c>
      <c r="F290" s="10"/>
      <c r="G290" s="10" t="s">
        <v>1715</v>
      </c>
      <c r="H290" t="s">
        <v>479</v>
      </c>
      <c r="I290" t="s">
        <v>1739</v>
      </c>
      <c r="K290" s="2"/>
      <c r="M290" s="2"/>
    </row>
    <row r="291" spans="1:13">
      <c r="A291" t="s">
        <v>28</v>
      </c>
      <c r="B291">
        <f ca="1">IF(OR(changes[[#This Row],[Type]]="Checklist",changes[[#This Row],[Type]]="checklist-flat"),1+IF(changes[[#This Row],[Type of change]] = "Edit",COUNTIFS($I$4:changes[[#This Row],[Name]],changes[[#This Row],[Name]], $E$4:changes[[#This Row],[Type of change]], "Edit")),B290)</f>
        <v>3</v>
      </c>
      <c r="C291" s="16">
        <v>44530</v>
      </c>
      <c r="D291" s="1" t="s">
        <v>2401</v>
      </c>
      <c r="E291" t="s">
        <v>15</v>
      </c>
      <c r="F291" s="10"/>
      <c r="G291" s="10" t="s">
        <v>1715</v>
      </c>
      <c r="H291" t="s">
        <v>55</v>
      </c>
      <c r="I291" t="s">
        <v>1740</v>
      </c>
      <c r="K291" s="2"/>
      <c r="M291" s="2"/>
    </row>
    <row r="292" spans="1:13">
      <c r="A292" t="s">
        <v>28</v>
      </c>
      <c r="B292">
        <f ca="1">IF(OR(changes[[#This Row],[Type]]="Checklist",changes[[#This Row],[Type]]="checklist-flat"),1+IF(changes[[#This Row],[Type of change]] = "Edit",COUNTIFS($I$4:changes[[#This Row],[Name]],changes[[#This Row],[Name]], $E$4:changes[[#This Row],[Type of change]], "Edit")),B291)</f>
        <v>3</v>
      </c>
      <c r="C292" s="16">
        <v>44530</v>
      </c>
      <c r="D292" s="1" t="s">
        <v>2401</v>
      </c>
      <c r="E292" t="s">
        <v>15</v>
      </c>
      <c r="F292" s="10"/>
      <c r="G292" s="10" t="s">
        <v>1715</v>
      </c>
      <c r="H292" t="s">
        <v>214</v>
      </c>
      <c r="I292" t="s">
        <v>1741</v>
      </c>
      <c r="K292" s="2"/>
      <c r="M292" s="2"/>
    </row>
    <row r="293" spans="1:13">
      <c r="A293" t="s">
        <v>28</v>
      </c>
      <c r="B293">
        <f ca="1">IF(OR(changes[[#This Row],[Type]]="Checklist",changes[[#This Row],[Type]]="checklist-flat"),1+IF(changes[[#This Row],[Type of change]] = "Edit",COUNTIFS($I$4:changes[[#This Row],[Name]],changes[[#This Row],[Name]], $E$4:changes[[#This Row],[Type of change]], "Edit")),B292)</f>
        <v>3</v>
      </c>
      <c r="C293" s="16">
        <v>44530</v>
      </c>
      <c r="D293" s="1" t="s">
        <v>2401</v>
      </c>
      <c r="E293" t="s">
        <v>15</v>
      </c>
      <c r="F293" s="10"/>
      <c r="G293" s="10" t="s">
        <v>1715</v>
      </c>
      <c r="H293" t="s">
        <v>214</v>
      </c>
      <c r="I293" t="s">
        <v>1618</v>
      </c>
      <c r="J293" t="s">
        <v>1742</v>
      </c>
      <c r="K293" s="2"/>
      <c r="M293" s="2"/>
    </row>
    <row r="294" spans="1:13">
      <c r="A294" t="s">
        <v>28</v>
      </c>
      <c r="B294">
        <f ca="1">IF(OR(changes[[#This Row],[Type]]="Checklist",changes[[#This Row],[Type]]="checklist-flat"),1+IF(changes[[#This Row],[Type of change]] = "Edit",COUNTIFS($I$4:changes[[#This Row],[Name]],changes[[#This Row],[Name]], $E$4:changes[[#This Row],[Type of change]], "Edit")),B293)</f>
        <v>3</v>
      </c>
      <c r="C294" s="16">
        <v>44530</v>
      </c>
      <c r="D294" s="1" t="s">
        <v>2401</v>
      </c>
      <c r="E294" t="s">
        <v>15</v>
      </c>
      <c r="F294" s="10"/>
      <c r="G294" s="10" t="s">
        <v>1715</v>
      </c>
      <c r="H294" t="s">
        <v>214</v>
      </c>
      <c r="I294" t="s">
        <v>1619</v>
      </c>
      <c r="J294" t="s">
        <v>1742</v>
      </c>
      <c r="K294" s="2"/>
      <c r="M294" s="2"/>
    </row>
    <row r="295" spans="1:13">
      <c r="A295" t="s">
        <v>28</v>
      </c>
      <c r="B295">
        <f ca="1">IF(OR(changes[[#This Row],[Type]]="Checklist",changes[[#This Row],[Type]]="checklist-flat"),1+IF(changes[[#This Row],[Type of change]] = "Edit",COUNTIFS($I$4:changes[[#This Row],[Name]],changes[[#This Row],[Name]], $E$4:changes[[#This Row],[Type of change]], "Edit")),B294)</f>
        <v>3</v>
      </c>
      <c r="C295" s="16">
        <v>44530</v>
      </c>
      <c r="D295" s="1" t="s">
        <v>2401</v>
      </c>
      <c r="E295" t="s">
        <v>15</v>
      </c>
      <c r="F295" s="10"/>
      <c r="G295" s="10" t="s">
        <v>1715</v>
      </c>
      <c r="H295" t="s">
        <v>214</v>
      </c>
      <c r="I295" t="s">
        <v>1620</v>
      </c>
      <c r="J295" t="s">
        <v>1743</v>
      </c>
      <c r="K295" s="2"/>
      <c r="M295" s="2"/>
    </row>
    <row r="296" spans="1:13">
      <c r="A296" t="s">
        <v>28</v>
      </c>
      <c r="B296">
        <f ca="1">IF(OR(changes[[#This Row],[Type]]="Checklist",changes[[#This Row],[Type]]="checklist-flat"),1+IF(changes[[#This Row],[Type of change]] = "Edit",COUNTIFS($I$4:changes[[#This Row],[Name]],changes[[#This Row],[Name]], $E$4:changes[[#This Row],[Type of change]], "Edit")),B295)</f>
        <v>3</v>
      </c>
      <c r="C296" s="16">
        <v>44530</v>
      </c>
      <c r="D296" s="1" t="s">
        <v>2401</v>
      </c>
      <c r="E296" t="s">
        <v>15</v>
      </c>
      <c r="F296" s="10"/>
      <c r="G296" s="10" t="s">
        <v>1715</v>
      </c>
      <c r="H296" t="s">
        <v>437</v>
      </c>
      <c r="I296" t="s">
        <v>1621</v>
      </c>
      <c r="K296" s="2"/>
      <c r="M296" s="2"/>
    </row>
    <row r="297" spans="1:13">
      <c r="A297" t="s">
        <v>28</v>
      </c>
      <c r="B297">
        <f ca="1">IF(OR(changes[[#This Row],[Type]]="Checklist",changes[[#This Row],[Type]]="checklist-flat"),1+IF(changes[[#This Row],[Type of change]] = "Edit",COUNTIFS($I$4:changes[[#This Row],[Name]],changes[[#This Row],[Name]], $E$4:changes[[#This Row],[Type of change]], "Edit")),B296)</f>
        <v>3</v>
      </c>
      <c r="C297" s="16">
        <v>44530</v>
      </c>
      <c r="D297" s="1" t="s">
        <v>2401</v>
      </c>
      <c r="E297" t="s">
        <v>15</v>
      </c>
      <c r="F297" s="10"/>
      <c r="G297" s="10" t="s">
        <v>1715</v>
      </c>
      <c r="H297" t="s">
        <v>55</v>
      </c>
      <c r="I297" t="s">
        <v>1581</v>
      </c>
      <c r="K297" s="2"/>
      <c r="M297" s="2"/>
    </row>
    <row r="298" spans="1:13">
      <c r="A298" t="s">
        <v>28</v>
      </c>
      <c r="B298">
        <f ca="1">IF(OR(changes[[#This Row],[Type]]="Checklist",changes[[#This Row],[Type]]="checklist-flat"),1+IF(changes[[#This Row],[Type of change]] = "Edit",COUNTIFS($I$4:changes[[#This Row],[Name]],changes[[#This Row],[Name]], $E$4:changes[[#This Row],[Type of change]], "Edit")),B297)</f>
        <v>3</v>
      </c>
      <c r="C298" s="16">
        <v>44530</v>
      </c>
      <c r="D298" s="1" t="s">
        <v>2401</v>
      </c>
      <c r="E298" t="s">
        <v>15</v>
      </c>
      <c r="F298" s="10"/>
      <c r="G298" s="10" t="s">
        <v>1715</v>
      </c>
      <c r="H298" t="s">
        <v>55</v>
      </c>
      <c r="I298" t="s">
        <v>1582</v>
      </c>
      <c r="K298" s="2"/>
      <c r="M298" s="2"/>
    </row>
    <row r="299" spans="1:13">
      <c r="A299" t="s">
        <v>28</v>
      </c>
      <c r="B299">
        <f ca="1">IF(OR(changes[[#This Row],[Type]]="Checklist",changes[[#This Row],[Type]]="checklist-flat"),1+IF(changes[[#This Row],[Type of change]] = "Edit",COUNTIFS($I$4:changes[[#This Row],[Name]],changes[[#This Row],[Name]], $E$4:changes[[#This Row],[Type of change]], "Edit")),B298)</f>
        <v>3</v>
      </c>
      <c r="C299" s="16">
        <v>44530</v>
      </c>
      <c r="D299" s="1" t="s">
        <v>2401</v>
      </c>
      <c r="E299" t="s">
        <v>15</v>
      </c>
      <c r="F299" s="10"/>
      <c r="G299" s="10" t="s">
        <v>1715</v>
      </c>
      <c r="H299" t="s">
        <v>479</v>
      </c>
      <c r="I299" t="s">
        <v>1744</v>
      </c>
      <c r="K299" s="2"/>
      <c r="M299" s="2"/>
    </row>
    <row r="300" spans="1:13">
      <c r="A300" t="s">
        <v>28</v>
      </c>
      <c r="B300">
        <f ca="1">IF(OR(changes[[#This Row],[Type]]="Checklist",changes[[#This Row],[Type]]="checklist-flat"),1+IF(changes[[#This Row],[Type of change]] = "Edit",COUNTIFS($I$4:changes[[#This Row],[Name]],changes[[#This Row],[Name]], $E$4:changes[[#This Row],[Type of change]], "Edit")),B299)</f>
        <v>3</v>
      </c>
      <c r="C300" s="16">
        <v>44530</v>
      </c>
      <c r="D300" s="1" t="s">
        <v>2401</v>
      </c>
      <c r="E300" t="s">
        <v>15</v>
      </c>
      <c r="F300" s="10"/>
      <c r="G300" s="10" t="s">
        <v>1715</v>
      </c>
      <c r="H300" t="s">
        <v>55</v>
      </c>
      <c r="I300" t="s">
        <v>1745</v>
      </c>
      <c r="K300" s="2"/>
      <c r="M300" s="2"/>
    </row>
    <row r="301" spans="1:13">
      <c r="A301" t="s">
        <v>28</v>
      </c>
      <c r="B301">
        <f ca="1">IF(OR(changes[[#This Row],[Type]]="Checklist",changes[[#This Row],[Type]]="checklist-flat"),1+IF(changes[[#This Row],[Type of change]] = "Edit",COUNTIFS($I$4:changes[[#This Row],[Name]],changes[[#This Row],[Name]], $E$4:changes[[#This Row],[Type of change]], "Edit")),B300)</f>
        <v>3</v>
      </c>
      <c r="C301" s="16">
        <v>44530</v>
      </c>
      <c r="D301" s="1" t="s">
        <v>2401</v>
      </c>
      <c r="E301" t="s">
        <v>15</v>
      </c>
      <c r="F301" s="10"/>
      <c r="G301" s="10" t="s">
        <v>1715</v>
      </c>
      <c r="H301" t="s">
        <v>55</v>
      </c>
      <c r="I301" t="s">
        <v>1746</v>
      </c>
      <c r="K301" s="2"/>
      <c r="M301" s="2"/>
    </row>
    <row r="302" spans="1:13">
      <c r="A302" t="s">
        <v>28</v>
      </c>
      <c r="B302">
        <f ca="1">IF(OR(changes[[#This Row],[Type]]="Checklist",changes[[#This Row],[Type]]="checklist-flat"),1+IF(changes[[#This Row],[Type of change]] = "Edit",COUNTIFS($I$4:changes[[#This Row],[Name]],changes[[#This Row],[Name]], $E$4:changes[[#This Row],[Type of change]], "Edit")),B301)</f>
        <v>3</v>
      </c>
      <c r="C302" s="16">
        <v>44530</v>
      </c>
      <c r="D302" s="1" t="s">
        <v>2401</v>
      </c>
      <c r="E302" t="s">
        <v>15</v>
      </c>
      <c r="F302" s="10"/>
      <c r="G302" s="10" t="s">
        <v>1715</v>
      </c>
      <c r="H302" t="s">
        <v>437</v>
      </c>
      <c r="I302" t="s">
        <v>1747</v>
      </c>
      <c r="K302" s="2"/>
      <c r="M302" s="2"/>
    </row>
    <row r="303" spans="1:13">
      <c r="A303" t="s">
        <v>28</v>
      </c>
      <c r="B303">
        <f ca="1">IF(OR(changes[[#This Row],[Type]]="Checklist",changes[[#This Row],[Type]]="checklist-flat"),1+IF(changes[[#This Row],[Type of change]] = "Edit",COUNTIFS($I$4:changes[[#This Row],[Name]],changes[[#This Row],[Name]], $E$4:changes[[#This Row],[Type of change]], "Edit")),B302)</f>
        <v>3</v>
      </c>
      <c r="C303" s="16">
        <v>44530</v>
      </c>
      <c r="D303" s="1" t="s">
        <v>2401</v>
      </c>
      <c r="E303" t="s">
        <v>15</v>
      </c>
      <c r="F303" s="10"/>
      <c r="G303" s="10" t="s">
        <v>1715</v>
      </c>
      <c r="H303" t="s">
        <v>55</v>
      </c>
      <c r="I303" t="s">
        <v>1748</v>
      </c>
      <c r="K303" s="2"/>
      <c r="M303" s="2"/>
    </row>
    <row r="304" spans="1:13">
      <c r="A304" t="s">
        <v>28</v>
      </c>
      <c r="B304">
        <f ca="1">IF(OR(changes[[#This Row],[Type]]="Checklist",changes[[#This Row],[Type]]="checklist-flat"),1+IF(changes[[#This Row],[Type of change]] = "Edit",COUNTIFS($I$4:changes[[#This Row],[Name]],changes[[#This Row],[Name]], $E$4:changes[[#This Row],[Type of change]], "Edit")),B303)</f>
        <v>3</v>
      </c>
      <c r="C304" s="16">
        <v>44530</v>
      </c>
      <c r="D304" s="1" t="s">
        <v>2401</v>
      </c>
      <c r="E304" t="s">
        <v>15</v>
      </c>
      <c r="F304" s="10"/>
      <c r="G304" s="10" t="s">
        <v>1715</v>
      </c>
      <c r="H304" t="s">
        <v>55</v>
      </c>
      <c r="I304" t="s">
        <v>1749</v>
      </c>
      <c r="K304" s="2"/>
      <c r="M304" s="2"/>
    </row>
    <row r="305" spans="1:13">
      <c r="A305" t="s">
        <v>28</v>
      </c>
      <c r="B305">
        <f ca="1">IF(OR(changes[[#This Row],[Type]]="Checklist",changes[[#This Row],[Type]]="checklist-flat"),1+IF(changes[[#This Row],[Type of change]] = "Edit",COUNTIFS($I$4:changes[[#This Row],[Name]],changes[[#This Row],[Name]], $E$4:changes[[#This Row],[Type of change]], "Edit")),B304)</f>
        <v>3</v>
      </c>
      <c r="C305" s="16">
        <v>44530</v>
      </c>
      <c r="D305" s="1" t="s">
        <v>2401</v>
      </c>
      <c r="E305" t="s">
        <v>15</v>
      </c>
      <c r="F305" s="10"/>
      <c r="G305" s="10" t="s">
        <v>1715</v>
      </c>
      <c r="H305" t="s">
        <v>55</v>
      </c>
      <c r="I305" t="s">
        <v>1750</v>
      </c>
      <c r="K305" s="2"/>
      <c r="M305" s="2"/>
    </row>
    <row r="306" spans="1:13">
      <c r="A306" t="s">
        <v>28</v>
      </c>
      <c r="B306">
        <f ca="1">IF(OR(changes[[#This Row],[Type]]="Checklist",changes[[#This Row],[Type]]="checklist-flat"),1+IF(changes[[#This Row],[Type of change]] = "Edit",COUNTIFS($I$4:changes[[#This Row],[Name]],changes[[#This Row],[Name]], $E$4:changes[[#This Row],[Type of change]], "Edit")),B305)</f>
        <v>3</v>
      </c>
      <c r="C306" s="16">
        <v>44530</v>
      </c>
      <c r="D306" s="1" t="s">
        <v>2401</v>
      </c>
      <c r="E306" t="s">
        <v>15</v>
      </c>
      <c r="F306" s="10"/>
      <c r="G306" s="10" t="s">
        <v>1715</v>
      </c>
      <c r="H306" t="s">
        <v>479</v>
      </c>
      <c r="I306" t="s">
        <v>1751</v>
      </c>
      <c r="K306" s="2"/>
      <c r="M306" s="2"/>
    </row>
    <row r="307" spans="1:13">
      <c r="A307" t="s">
        <v>28</v>
      </c>
      <c r="B307">
        <f ca="1">IF(OR(changes[[#This Row],[Type]]="Checklist",changes[[#This Row],[Type]]="checklist-flat"),1+IF(changes[[#This Row],[Type of change]] = "Edit",COUNTIFS($I$4:changes[[#This Row],[Name]],changes[[#This Row],[Name]], $E$4:changes[[#This Row],[Type of change]], "Edit")),B306)</f>
        <v>3</v>
      </c>
      <c r="C307" s="16">
        <v>44530</v>
      </c>
      <c r="D307" s="1" t="s">
        <v>2401</v>
      </c>
      <c r="E307" t="s">
        <v>15</v>
      </c>
      <c r="F307" s="10"/>
      <c r="G307" s="10" t="s">
        <v>1715</v>
      </c>
      <c r="H307" t="s">
        <v>55</v>
      </c>
      <c r="I307" t="s">
        <v>1752</v>
      </c>
      <c r="K307" s="2"/>
      <c r="M307" s="2"/>
    </row>
    <row r="308" spans="1:13">
      <c r="A308" t="s">
        <v>28</v>
      </c>
      <c r="B308">
        <f ca="1">IF(OR(changes[[#This Row],[Type]]="Checklist",changes[[#This Row],[Type]]="checklist-flat"),1+IF(changes[[#This Row],[Type of change]] = "Edit",COUNTIFS($I$4:changes[[#This Row],[Name]],changes[[#This Row],[Name]], $E$4:changes[[#This Row],[Type of change]], "Edit")),B307)</f>
        <v>3</v>
      </c>
      <c r="C308" s="16">
        <v>44530</v>
      </c>
      <c r="D308" s="1" t="s">
        <v>2401</v>
      </c>
      <c r="E308" t="s">
        <v>15</v>
      </c>
      <c r="F308" s="10"/>
      <c r="G308" s="10" t="s">
        <v>1715</v>
      </c>
      <c r="H308" t="s">
        <v>64</v>
      </c>
      <c r="I308" t="s">
        <v>1753</v>
      </c>
      <c r="K308" s="2"/>
      <c r="M308" s="2"/>
    </row>
    <row r="309" spans="1:13">
      <c r="A309" t="s">
        <v>28</v>
      </c>
      <c r="B309">
        <f ca="1">IF(OR(changes[[#This Row],[Type]]="Checklist",changes[[#This Row],[Type]]="checklist-flat"),1+IF(changes[[#This Row],[Type of change]] = "Edit",COUNTIFS($I$4:changes[[#This Row],[Name]],changes[[#This Row],[Name]], $E$4:changes[[#This Row],[Type of change]], "Edit")),B308)</f>
        <v>3</v>
      </c>
      <c r="C309" s="16">
        <v>44530</v>
      </c>
      <c r="D309" s="1" t="s">
        <v>2401</v>
      </c>
      <c r="E309" t="s">
        <v>15</v>
      </c>
      <c r="F309" s="10"/>
      <c r="G309" s="10" t="s">
        <v>1715</v>
      </c>
      <c r="H309" t="s">
        <v>55</v>
      </c>
      <c r="I309" t="s">
        <v>1754</v>
      </c>
      <c r="K309" s="2"/>
      <c r="M309" s="2"/>
    </row>
    <row r="310" spans="1:13">
      <c r="A310" t="s">
        <v>28</v>
      </c>
      <c r="B310">
        <f ca="1">IF(OR(changes[[#This Row],[Type]]="Checklist",changes[[#This Row],[Type]]="checklist-flat"),1+IF(changes[[#This Row],[Type of change]] = "Edit",COUNTIFS($I$4:changes[[#This Row],[Name]],changes[[#This Row],[Name]], $E$4:changes[[#This Row],[Type of change]], "Edit")),B309)</f>
        <v>2</v>
      </c>
      <c r="C310" s="16">
        <v>44530</v>
      </c>
      <c r="D310" s="1" t="s">
        <v>2401</v>
      </c>
      <c r="E310" t="s">
        <v>15</v>
      </c>
      <c r="F310" s="10"/>
      <c r="G310" s="10" t="s">
        <v>1849</v>
      </c>
      <c r="H310" t="s">
        <v>54</v>
      </c>
      <c r="I310" t="s">
        <v>1849</v>
      </c>
      <c r="K310" s="2"/>
      <c r="M310" s="2"/>
    </row>
    <row r="311" spans="1:13">
      <c r="A311" t="s">
        <v>28</v>
      </c>
      <c r="B311">
        <f ca="1">IF(OR(changes[[#This Row],[Type]]="Checklist",changes[[#This Row],[Type]]="checklist-flat"),1+IF(changes[[#This Row],[Type of change]] = "Edit",COUNTIFS($I$4:changes[[#This Row],[Name]],changes[[#This Row],[Name]], $E$4:changes[[#This Row],[Type of change]], "Edit")),B310)</f>
        <v>2</v>
      </c>
      <c r="C311" s="16">
        <v>44530</v>
      </c>
      <c r="D311" s="1" t="s">
        <v>2401</v>
      </c>
      <c r="E311" t="s">
        <v>15</v>
      </c>
      <c r="F311" s="10"/>
      <c r="G311" s="10" t="s">
        <v>1849</v>
      </c>
      <c r="H311" t="s">
        <v>55</v>
      </c>
      <c r="I311" t="s">
        <v>1816</v>
      </c>
      <c r="K311" s="2"/>
      <c r="M311" s="2"/>
    </row>
    <row r="312" spans="1:13">
      <c r="A312" t="s">
        <v>28</v>
      </c>
      <c r="B312">
        <f ca="1">IF(OR(changes[[#This Row],[Type]]="Checklist",changes[[#This Row],[Type]]="checklist-flat"),1+IF(changes[[#This Row],[Type of change]] = "Edit",COUNTIFS($I$4:changes[[#This Row],[Name]],changes[[#This Row],[Name]], $E$4:changes[[#This Row],[Type of change]], "Edit")),B311)</f>
        <v>2</v>
      </c>
      <c r="C312" s="16">
        <v>44530</v>
      </c>
      <c r="D312" s="1" t="s">
        <v>2401</v>
      </c>
      <c r="E312" t="s">
        <v>15</v>
      </c>
      <c r="F312" s="10"/>
      <c r="G312" s="10" t="s">
        <v>1849</v>
      </c>
      <c r="H312" t="s">
        <v>55</v>
      </c>
      <c r="I312" t="s">
        <v>1727</v>
      </c>
      <c r="K312" s="2"/>
      <c r="M312" s="2"/>
    </row>
    <row r="313" spans="1:13">
      <c r="A313" t="s">
        <v>28</v>
      </c>
      <c r="B313">
        <f ca="1">IF(OR(changes[[#This Row],[Type]]="Checklist",changes[[#This Row],[Type]]="checklist-flat"),1+IF(changes[[#This Row],[Type of change]] = "Edit",COUNTIFS($I$4:changes[[#This Row],[Name]],changes[[#This Row],[Name]], $E$4:changes[[#This Row],[Type of change]], "Edit")),B312)</f>
        <v>2</v>
      </c>
      <c r="C313" s="16">
        <v>44530</v>
      </c>
      <c r="D313" s="1" t="s">
        <v>2401</v>
      </c>
      <c r="E313" t="s">
        <v>15</v>
      </c>
      <c r="F313" s="10"/>
      <c r="G313" s="10" t="s">
        <v>1849</v>
      </c>
      <c r="H313" t="s">
        <v>55</v>
      </c>
      <c r="I313" t="s">
        <v>155</v>
      </c>
      <c r="K313" s="2"/>
      <c r="M313" s="2"/>
    </row>
    <row r="314" spans="1:13">
      <c r="A314" t="s">
        <v>28</v>
      </c>
      <c r="B314">
        <f ca="1">IF(OR(changes[[#This Row],[Type]]="Checklist",changes[[#This Row],[Type]]="checklist-flat"),1+IF(changes[[#This Row],[Type of change]] = "Edit",COUNTIFS($I$4:changes[[#This Row],[Name]],changes[[#This Row],[Name]], $E$4:changes[[#This Row],[Type of change]], "Edit")),B313)</f>
        <v>2</v>
      </c>
      <c r="C314" s="16">
        <v>44530</v>
      </c>
      <c r="D314" s="1" t="s">
        <v>2401</v>
      </c>
      <c r="E314" t="s">
        <v>15</v>
      </c>
      <c r="F314" s="10"/>
      <c r="G314" s="10" t="s">
        <v>1849</v>
      </c>
      <c r="H314" t="s">
        <v>55</v>
      </c>
      <c r="I314" t="s">
        <v>1850</v>
      </c>
      <c r="K314" s="2"/>
      <c r="M314" s="2"/>
    </row>
    <row r="315" spans="1:13">
      <c r="A315" t="s">
        <v>28</v>
      </c>
      <c r="B315">
        <f ca="1">IF(OR(changes[[#This Row],[Type]]="Checklist",changes[[#This Row],[Type]]="checklist-flat"),1+IF(changes[[#This Row],[Type of change]] = "Edit",COUNTIFS($I$4:changes[[#This Row],[Name]],changes[[#This Row],[Name]], $E$4:changes[[#This Row],[Type of change]], "Edit")),B314)</f>
        <v>2</v>
      </c>
      <c r="C315" s="16">
        <v>44530</v>
      </c>
      <c r="D315" s="1" t="s">
        <v>2401</v>
      </c>
      <c r="E315" t="s">
        <v>15</v>
      </c>
      <c r="F315" s="10"/>
      <c r="G315" s="10" t="s">
        <v>1849</v>
      </c>
      <c r="H315" t="s">
        <v>55</v>
      </c>
      <c r="I315" t="s">
        <v>1851</v>
      </c>
      <c r="K315" s="2"/>
      <c r="M315" s="2"/>
    </row>
    <row r="316" spans="1:13">
      <c r="A316" t="s">
        <v>28</v>
      </c>
      <c r="B316">
        <f ca="1">IF(OR(changes[[#This Row],[Type]]="Checklist",changes[[#This Row],[Type]]="checklist-flat"),1+IF(changes[[#This Row],[Type of change]] = "Edit",COUNTIFS($I$4:changes[[#This Row],[Name]],changes[[#This Row],[Name]], $E$4:changes[[#This Row],[Type of change]], "Edit")),B315)</f>
        <v>2</v>
      </c>
      <c r="C316" s="16">
        <v>44530</v>
      </c>
      <c r="D316" s="1" t="s">
        <v>2401</v>
      </c>
      <c r="E316" t="s">
        <v>15</v>
      </c>
      <c r="F316" s="10"/>
      <c r="G316" s="10" t="s">
        <v>1849</v>
      </c>
      <c r="H316" t="s">
        <v>55</v>
      </c>
      <c r="I316" t="s">
        <v>1852</v>
      </c>
      <c r="K316" s="2"/>
      <c r="M316" s="2"/>
    </row>
    <row r="317" spans="1:13">
      <c r="A317" t="s">
        <v>28</v>
      </c>
      <c r="B317">
        <f ca="1">IF(OR(changes[[#This Row],[Type]]="Checklist",changes[[#This Row],[Type]]="checklist-flat"),1+IF(changes[[#This Row],[Type of change]] = "Edit",COUNTIFS($I$4:changes[[#This Row],[Name]],changes[[#This Row],[Name]], $E$4:changes[[#This Row],[Type of change]], "Edit")),B316)</f>
        <v>2</v>
      </c>
      <c r="C317" s="16">
        <v>44530</v>
      </c>
      <c r="D317" s="1" t="s">
        <v>2401</v>
      </c>
      <c r="E317" t="s">
        <v>15</v>
      </c>
      <c r="F317" s="10"/>
      <c r="G317" s="10" t="s">
        <v>1853</v>
      </c>
      <c r="H317" t="s">
        <v>478</v>
      </c>
      <c r="I317" t="s">
        <v>1853</v>
      </c>
      <c r="K317" s="2"/>
      <c r="M317" s="2"/>
    </row>
    <row r="318" spans="1:13">
      <c r="A318" t="s">
        <v>28</v>
      </c>
      <c r="B318">
        <f ca="1">IF(OR(changes[[#This Row],[Type]]="Checklist",changes[[#This Row],[Type]]="checklist-flat"),1+IF(changes[[#This Row],[Type of change]] = "Edit",COUNTIFS($I$4:changes[[#This Row],[Name]],changes[[#This Row],[Name]], $E$4:changes[[#This Row],[Type of change]], "Edit")),B317)</f>
        <v>2</v>
      </c>
      <c r="C318" s="16">
        <v>44530</v>
      </c>
      <c r="D318" s="1" t="s">
        <v>2401</v>
      </c>
      <c r="E318" t="s">
        <v>15</v>
      </c>
      <c r="F318" s="10"/>
      <c r="G318" s="10" t="s">
        <v>1853</v>
      </c>
      <c r="H318" t="s">
        <v>479</v>
      </c>
      <c r="I318" t="s">
        <v>1652</v>
      </c>
      <c r="K318" s="2"/>
      <c r="M318" s="2"/>
    </row>
    <row r="319" spans="1:13">
      <c r="A319" t="s">
        <v>28</v>
      </c>
      <c r="B319">
        <f ca="1">IF(OR(changes[[#This Row],[Type]]="Checklist",changes[[#This Row],[Type]]="checklist-flat"),1+IF(changes[[#This Row],[Type of change]] = "Edit",COUNTIFS($I$4:changes[[#This Row],[Name]],changes[[#This Row],[Name]], $E$4:changes[[#This Row],[Type of change]], "Edit")),B318)</f>
        <v>2</v>
      </c>
      <c r="C319" s="16">
        <v>44530</v>
      </c>
      <c r="D319" s="1" t="s">
        <v>2401</v>
      </c>
      <c r="E319" t="s">
        <v>15</v>
      </c>
      <c r="F319" s="10"/>
      <c r="G319" s="10" t="s">
        <v>1853</v>
      </c>
      <c r="H319" t="s">
        <v>55</v>
      </c>
      <c r="I319" t="s">
        <v>1929</v>
      </c>
      <c r="K319" s="2"/>
      <c r="M319" s="2"/>
    </row>
    <row r="320" spans="1:13">
      <c r="A320" t="s">
        <v>28</v>
      </c>
      <c r="B320">
        <f ca="1">IF(OR(changes[[#This Row],[Type]]="Checklist",changes[[#This Row],[Type]]="checklist-flat"),1+IF(changes[[#This Row],[Type of change]] = "Edit",COUNTIFS($I$4:changes[[#This Row],[Name]],changes[[#This Row],[Name]], $E$4:changes[[#This Row],[Type of change]], "Edit")),B319)</f>
        <v>2</v>
      </c>
      <c r="C320" s="16">
        <v>44530</v>
      </c>
      <c r="D320" s="1" t="s">
        <v>2401</v>
      </c>
      <c r="E320" t="s">
        <v>15</v>
      </c>
      <c r="F320" s="10"/>
      <c r="G320" s="10" t="s">
        <v>1853</v>
      </c>
      <c r="H320" t="s">
        <v>55</v>
      </c>
      <c r="I320" t="s">
        <v>2407</v>
      </c>
      <c r="K320" s="2"/>
      <c r="M320" s="2"/>
    </row>
    <row r="321" spans="1:13">
      <c r="A321" t="s">
        <v>28</v>
      </c>
      <c r="B321">
        <f ca="1">IF(OR(changes[[#This Row],[Type]]="Checklist",changes[[#This Row],[Type]]="checklist-flat"),1+IF(changes[[#This Row],[Type of change]] = "Edit",COUNTIFS($I$4:changes[[#This Row],[Name]],changes[[#This Row],[Name]], $E$4:changes[[#This Row],[Type of change]], "Edit")),B320)</f>
        <v>2</v>
      </c>
      <c r="C321" s="16">
        <v>44530</v>
      </c>
      <c r="D321" s="1" t="s">
        <v>2401</v>
      </c>
      <c r="E321" t="s">
        <v>15</v>
      </c>
      <c r="F321" s="10"/>
      <c r="G321" s="10" t="s">
        <v>1853</v>
      </c>
      <c r="H321" t="s">
        <v>55</v>
      </c>
      <c r="I321" t="s">
        <v>2408</v>
      </c>
      <c r="K321" s="2"/>
      <c r="M321" s="2"/>
    </row>
    <row r="322" spans="1:13">
      <c r="A322" t="s">
        <v>28</v>
      </c>
      <c r="B322">
        <f ca="1">IF(OR(changes[[#This Row],[Type]]="Checklist",changes[[#This Row],[Type]]="checklist-flat"),1+IF(changes[[#This Row],[Type of change]] = "Edit",COUNTIFS($I$4:changes[[#This Row],[Name]],changes[[#This Row],[Name]], $E$4:changes[[#This Row],[Type of change]], "Edit")),B321)</f>
        <v>2</v>
      </c>
      <c r="C322" s="16">
        <v>44530</v>
      </c>
      <c r="D322" s="1" t="s">
        <v>2401</v>
      </c>
      <c r="E322" t="s">
        <v>15</v>
      </c>
      <c r="F322" s="10"/>
      <c r="G322" s="10" t="s">
        <v>1853</v>
      </c>
      <c r="H322" t="s">
        <v>55</v>
      </c>
      <c r="I322" t="s">
        <v>1863</v>
      </c>
      <c r="K322" s="2"/>
      <c r="M322" s="2"/>
    </row>
    <row r="323" spans="1:13">
      <c r="A323" t="s">
        <v>28</v>
      </c>
      <c r="B323">
        <f ca="1">IF(OR(changes[[#This Row],[Type]]="Checklist",changes[[#This Row],[Type]]="checklist-flat"),1+IF(changes[[#This Row],[Type of change]] = "Edit",COUNTIFS($I$4:changes[[#This Row],[Name]],changes[[#This Row],[Name]], $E$4:changes[[#This Row],[Type of change]], "Edit")),B322)</f>
        <v>2</v>
      </c>
      <c r="C323" s="16">
        <v>44530</v>
      </c>
      <c r="D323" s="1" t="s">
        <v>2401</v>
      </c>
      <c r="E323" t="s">
        <v>15</v>
      </c>
      <c r="F323" s="10"/>
      <c r="G323" s="10" t="s">
        <v>1853</v>
      </c>
      <c r="H323" t="s">
        <v>55</v>
      </c>
      <c r="I323" t="s">
        <v>1859</v>
      </c>
      <c r="K323" s="2"/>
      <c r="M323" s="2"/>
    </row>
    <row r="324" spans="1:13">
      <c r="A324" t="s">
        <v>28</v>
      </c>
      <c r="B324">
        <f ca="1">IF(OR(changes[[#This Row],[Type]]="Checklist",changes[[#This Row],[Type]]="checklist-flat"),1+IF(changes[[#This Row],[Type of change]] = "Edit",COUNTIFS($I$4:changes[[#This Row],[Name]],changes[[#This Row],[Name]], $E$4:changes[[#This Row],[Type of change]], "Edit")),B323)</f>
        <v>2</v>
      </c>
      <c r="C324" s="16">
        <v>44530</v>
      </c>
      <c r="D324" s="1" t="s">
        <v>2401</v>
      </c>
      <c r="E324" t="s">
        <v>15</v>
      </c>
      <c r="F324" s="10"/>
      <c r="G324" s="10" t="s">
        <v>1853</v>
      </c>
      <c r="H324" t="s">
        <v>479</v>
      </c>
      <c r="I324" t="s">
        <v>1877</v>
      </c>
      <c r="K324" s="2"/>
      <c r="M324" s="2"/>
    </row>
    <row r="325" spans="1:13">
      <c r="A325" t="s">
        <v>28</v>
      </c>
      <c r="B325">
        <f ca="1">IF(OR(changes[[#This Row],[Type]]="Checklist",changes[[#This Row],[Type]]="checklist-flat"),1+IF(changes[[#This Row],[Type of change]] = "Edit",COUNTIFS($I$4:changes[[#This Row],[Name]],changes[[#This Row],[Name]], $E$4:changes[[#This Row],[Type of change]], "Edit")),B324)</f>
        <v>2</v>
      </c>
      <c r="C325" s="16">
        <v>44530</v>
      </c>
      <c r="D325" s="1" t="s">
        <v>2401</v>
      </c>
      <c r="E325" t="s">
        <v>15</v>
      </c>
      <c r="F325" s="10"/>
      <c r="G325" s="10" t="s">
        <v>1853</v>
      </c>
      <c r="H325" t="s">
        <v>55</v>
      </c>
      <c r="I325" t="s">
        <v>2409</v>
      </c>
      <c r="K325" s="2"/>
      <c r="M325" s="2"/>
    </row>
    <row r="326" spans="1:13">
      <c r="A326" t="s">
        <v>28</v>
      </c>
      <c r="B326">
        <f ca="1">IF(OR(changes[[#This Row],[Type]]="Checklist",changes[[#This Row],[Type]]="checklist-flat"),1+IF(changes[[#This Row],[Type of change]] = "Edit",COUNTIFS($I$4:changes[[#This Row],[Name]],changes[[#This Row],[Name]], $E$4:changes[[#This Row],[Type of change]], "Edit")),B325)</f>
        <v>2</v>
      </c>
      <c r="C326" s="16">
        <v>44530</v>
      </c>
      <c r="D326" s="1" t="s">
        <v>2401</v>
      </c>
      <c r="E326" t="s">
        <v>15</v>
      </c>
      <c r="F326" s="10"/>
      <c r="G326" s="10" t="s">
        <v>1853</v>
      </c>
      <c r="H326" t="s">
        <v>55</v>
      </c>
      <c r="I326" t="s">
        <v>2410</v>
      </c>
      <c r="K326" s="2"/>
      <c r="M326" s="2"/>
    </row>
    <row r="327" spans="1:13">
      <c r="A327" t="s">
        <v>28</v>
      </c>
      <c r="B327">
        <f ca="1">IF(OR(changes[[#This Row],[Type]]="Checklist",changes[[#This Row],[Type]]="checklist-flat"),1+IF(changes[[#This Row],[Type of change]] = "Edit",COUNTIFS($I$4:changes[[#This Row],[Name]],changes[[#This Row],[Name]], $E$4:changes[[#This Row],[Type of change]], "Edit")),B326)</f>
        <v>2</v>
      </c>
      <c r="C327" s="16">
        <v>44530</v>
      </c>
      <c r="D327" s="1" t="s">
        <v>2401</v>
      </c>
      <c r="E327" t="s">
        <v>15</v>
      </c>
      <c r="F327" s="10"/>
      <c r="G327" s="10" t="s">
        <v>1853</v>
      </c>
      <c r="H327" t="s">
        <v>55</v>
      </c>
      <c r="I327" t="s">
        <v>2411</v>
      </c>
      <c r="K327" s="2"/>
      <c r="M327" s="2"/>
    </row>
    <row r="328" spans="1:13">
      <c r="A328" t="s">
        <v>28</v>
      </c>
      <c r="B328">
        <f ca="1">IF(OR(changes[[#This Row],[Type]]="Checklist",changes[[#This Row],[Type]]="checklist-flat"),1+IF(changes[[#This Row],[Type of change]] = "Edit",COUNTIFS($I$4:changes[[#This Row],[Name]],changes[[#This Row],[Name]], $E$4:changes[[#This Row],[Type of change]], "Edit")),B327)</f>
        <v>2</v>
      </c>
      <c r="C328" s="16">
        <v>44530</v>
      </c>
      <c r="D328" s="1" t="s">
        <v>2401</v>
      </c>
      <c r="E328" t="s">
        <v>15</v>
      </c>
      <c r="F328" s="10"/>
      <c r="G328" s="10" t="s">
        <v>1853</v>
      </c>
      <c r="H328" t="s">
        <v>55</v>
      </c>
      <c r="I328" t="s">
        <v>2412</v>
      </c>
      <c r="K328" s="2"/>
      <c r="M328" s="2"/>
    </row>
    <row r="329" spans="1:13">
      <c r="A329" t="s">
        <v>28</v>
      </c>
      <c r="B329">
        <f ca="1">IF(OR(changes[[#This Row],[Type]]="Checklist",changes[[#This Row],[Type]]="checklist-flat"),1+IF(changes[[#This Row],[Type of change]] = "Edit",COUNTIFS($I$4:changes[[#This Row],[Name]],changes[[#This Row],[Name]], $E$4:changes[[#This Row],[Type of change]], "Edit")),B328)</f>
        <v>2</v>
      </c>
      <c r="C329" s="16">
        <v>44530</v>
      </c>
      <c r="D329" s="1" t="s">
        <v>2401</v>
      </c>
      <c r="E329" t="s">
        <v>15</v>
      </c>
      <c r="F329" s="10"/>
      <c r="G329" s="10" t="s">
        <v>1853</v>
      </c>
      <c r="H329" t="s">
        <v>55</v>
      </c>
      <c r="I329" t="s">
        <v>2413</v>
      </c>
      <c r="K329" s="2"/>
      <c r="M329" s="2"/>
    </row>
    <row r="330" spans="1:13">
      <c r="A330" t="s">
        <v>28</v>
      </c>
      <c r="B330">
        <f ca="1">IF(OR(changes[[#This Row],[Type]]="Checklist",changes[[#This Row],[Type]]="checklist-flat"),1+IF(changes[[#This Row],[Type of change]] = "Edit",COUNTIFS($I$4:changes[[#This Row],[Name]],changes[[#This Row],[Name]], $E$4:changes[[#This Row],[Type of change]], "Edit")),B329)</f>
        <v>2</v>
      </c>
      <c r="C330" s="16">
        <v>44530</v>
      </c>
      <c r="D330" s="1" t="s">
        <v>2401</v>
      </c>
      <c r="E330" t="s">
        <v>15</v>
      </c>
      <c r="F330" s="10"/>
      <c r="G330" s="10" t="s">
        <v>2414</v>
      </c>
      <c r="H330" t="s">
        <v>54</v>
      </c>
      <c r="I330" t="s">
        <v>2414</v>
      </c>
      <c r="K330" s="2"/>
      <c r="M330" s="2"/>
    </row>
    <row r="331" spans="1:13">
      <c r="A331" t="s">
        <v>28</v>
      </c>
      <c r="B331">
        <f ca="1">IF(OR(changes[[#This Row],[Type]]="Checklist",changes[[#This Row],[Type]]="checklist-flat"),1+IF(changes[[#This Row],[Type of change]] = "Edit",COUNTIFS($I$4:changes[[#This Row],[Name]],changes[[#This Row],[Name]], $E$4:changes[[#This Row],[Type of change]], "Edit")),B330)</f>
        <v>2</v>
      </c>
      <c r="C331" s="16">
        <v>44530</v>
      </c>
      <c r="D331" s="1" t="s">
        <v>2401</v>
      </c>
      <c r="E331" t="s">
        <v>15</v>
      </c>
      <c r="F331" s="10"/>
      <c r="G331" s="10" t="s">
        <v>2414</v>
      </c>
      <c r="H331" t="s">
        <v>55</v>
      </c>
      <c r="I331" t="s">
        <v>1816</v>
      </c>
      <c r="K331" s="2"/>
      <c r="M331" s="2"/>
    </row>
    <row r="332" spans="1:13">
      <c r="A332" t="s">
        <v>28</v>
      </c>
      <c r="B332">
        <f ca="1">IF(OR(changes[[#This Row],[Type]]="Checklist",changes[[#This Row],[Type]]="checklist-flat"),1+IF(changes[[#This Row],[Type of change]] = "Edit",COUNTIFS($I$4:changes[[#This Row],[Name]],changes[[#This Row],[Name]], $E$4:changes[[#This Row],[Type of change]], "Edit")),B331)</f>
        <v>2</v>
      </c>
      <c r="C332" s="16">
        <v>44530</v>
      </c>
      <c r="D332" s="1" t="s">
        <v>2401</v>
      </c>
      <c r="E332" t="s">
        <v>15</v>
      </c>
      <c r="F332" s="10"/>
      <c r="G332" s="10" t="s">
        <v>2414</v>
      </c>
      <c r="H332" t="s">
        <v>55</v>
      </c>
      <c r="I332" t="s">
        <v>155</v>
      </c>
      <c r="K332" s="2"/>
      <c r="M332" s="2"/>
    </row>
    <row r="333" spans="1:13">
      <c r="A333" t="s">
        <v>28</v>
      </c>
      <c r="B333">
        <f ca="1">IF(OR(changes[[#This Row],[Type]]="Checklist",changes[[#This Row],[Type]]="checklist-flat"),1+IF(changes[[#This Row],[Type of change]] = "Edit",COUNTIFS($I$4:changes[[#This Row],[Name]],changes[[#This Row],[Name]], $E$4:changes[[#This Row],[Type of change]], "Edit")),B332)</f>
        <v>2</v>
      </c>
      <c r="C333" s="16">
        <v>44530</v>
      </c>
      <c r="D333" s="1" t="s">
        <v>2401</v>
      </c>
      <c r="E333" t="s">
        <v>15</v>
      </c>
      <c r="F333" s="10"/>
      <c r="G333" s="10" t="s">
        <v>2414</v>
      </c>
      <c r="H333" t="s">
        <v>55</v>
      </c>
      <c r="I333" t="s">
        <v>1817</v>
      </c>
      <c r="K333" s="2"/>
      <c r="M333" s="2"/>
    </row>
    <row r="334" spans="1:13">
      <c r="A334" t="s">
        <v>28</v>
      </c>
      <c r="B334">
        <f ca="1">IF(OR(changes[[#This Row],[Type]]="Checklist",changes[[#This Row],[Type]]="checklist-flat"),1+IF(changes[[#This Row],[Type of change]] = "Edit",COUNTIFS($I$4:changes[[#This Row],[Name]],changes[[#This Row],[Name]], $E$4:changes[[#This Row],[Type of change]], "Edit")),B333)</f>
        <v>2</v>
      </c>
      <c r="C334" s="16">
        <v>44530</v>
      </c>
      <c r="D334" s="1" t="s">
        <v>2401</v>
      </c>
      <c r="E334" t="s">
        <v>15</v>
      </c>
      <c r="F334" s="10"/>
      <c r="G334" s="10" t="s">
        <v>2414</v>
      </c>
      <c r="H334" t="s">
        <v>55</v>
      </c>
      <c r="I334" t="s">
        <v>2415</v>
      </c>
      <c r="K334" s="2"/>
      <c r="M334" s="2"/>
    </row>
    <row r="335" spans="1:13">
      <c r="A335" t="s">
        <v>28</v>
      </c>
      <c r="B335">
        <f ca="1">IF(OR(changes[[#This Row],[Type]]="Checklist",changes[[#This Row],[Type]]="checklist-flat"),1+IF(changes[[#This Row],[Type of change]] = "Edit",COUNTIFS($I$4:changes[[#This Row],[Name]],changes[[#This Row],[Name]], $E$4:changes[[#This Row],[Type of change]], "Edit")),B334)</f>
        <v>2</v>
      </c>
      <c r="C335" s="16">
        <v>44530</v>
      </c>
      <c r="D335" s="1" t="s">
        <v>2401</v>
      </c>
      <c r="E335" t="s">
        <v>15</v>
      </c>
      <c r="F335" s="10"/>
      <c r="G335" s="10" t="s">
        <v>1839</v>
      </c>
      <c r="H335" t="s">
        <v>54</v>
      </c>
      <c r="I335" t="s">
        <v>1839</v>
      </c>
      <c r="K335" s="2"/>
      <c r="M335" s="2"/>
    </row>
    <row r="336" spans="1:13">
      <c r="A336" t="s">
        <v>28</v>
      </c>
      <c r="B336">
        <f ca="1">IF(OR(changes[[#This Row],[Type]]="Checklist",changes[[#This Row],[Type]]="checklist-flat"),1+IF(changes[[#This Row],[Type of change]] = "Edit",COUNTIFS($I$4:changes[[#This Row],[Name]],changes[[#This Row],[Name]], $E$4:changes[[#This Row],[Type of change]], "Edit")),B335)</f>
        <v>2</v>
      </c>
      <c r="C336" s="16">
        <v>44530</v>
      </c>
      <c r="D336" s="1" t="s">
        <v>2401</v>
      </c>
      <c r="E336" t="s">
        <v>15</v>
      </c>
      <c r="F336" s="10"/>
      <c r="G336" s="10" t="s">
        <v>1839</v>
      </c>
      <c r="H336" t="s">
        <v>55</v>
      </c>
      <c r="I336" t="s">
        <v>1816</v>
      </c>
      <c r="K336" s="2"/>
      <c r="M336" s="2"/>
    </row>
    <row r="337" spans="1:13">
      <c r="A337" t="s">
        <v>28</v>
      </c>
      <c r="B337">
        <f ca="1">IF(OR(changes[[#This Row],[Type]]="Checklist",changes[[#This Row],[Type]]="checklist-flat"),1+IF(changes[[#This Row],[Type of change]] = "Edit",COUNTIFS($I$4:changes[[#This Row],[Name]],changes[[#This Row],[Name]], $E$4:changes[[#This Row],[Type of change]], "Edit")),B336)</f>
        <v>2</v>
      </c>
      <c r="C337" s="16">
        <v>44530</v>
      </c>
      <c r="D337" s="1" t="s">
        <v>2401</v>
      </c>
      <c r="E337" t="s">
        <v>15</v>
      </c>
      <c r="F337" s="10"/>
      <c r="G337" s="10" t="s">
        <v>1839</v>
      </c>
      <c r="H337" t="s">
        <v>55</v>
      </c>
      <c r="I337" t="s">
        <v>155</v>
      </c>
      <c r="K337" s="2"/>
      <c r="M337" s="2"/>
    </row>
    <row r="338" spans="1:13">
      <c r="A338" t="s">
        <v>28</v>
      </c>
      <c r="B338">
        <f ca="1">IF(OR(changes[[#This Row],[Type]]="Checklist",changes[[#This Row],[Type]]="checklist-flat"),1+IF(changes[[#This Row],[Type of change]] = "Edit",COUNTIFS($I$4:changes[[#This Row],[Name]],changes[[#This Row],[Name]], $E$4:changes[[#This Row],[Type of change]], "Edit")),B337)</f>
        <v>2</v>
      </c>
      <c r="C338" s="16">
        <v>44530</v>
      </c>
      <c r="D338" s="1" t="s">
        <v>2401</v>
      </c>
      <c r="E338" t="s">
        <v>15</v>
      </c>
      <c r="F338" s="10"/>
      <c r="G338" s="10" t="s">
        <v>1839</v>
      </c>
      <c r="H338" t="s">
        <v>55</v>
      </c>
      <c r="I338" t="s">
        <v>1817</v>
      </c>
      <c r="K338" s="2"/>
      <c r="M338" s="2"/>
    </row>
    <row r="339" spans="1:13">
      <c r="A339" t="s">
        <v>28</v>
      </c>
      <c r="B339">
        <f ca="1">IF(OR(changes[[#This Row],[Type]]="Checklist",changes[[#This Row],[Type]]="checklist-flat"),1+IF(changes[[#This Row],[Type of change]] = "Edit",COUNTIFS($I$4:changes[[#This Row],[Name]],changes[[#This Row],[Name]], $E$4:changes[[#This Row],[Type of change]], "Edit")),B338)</f>
        <v>2</v>
      </c>
      <c r="C339" s="16">
        <v>44530</v>
      </c>
      <c r="D339" s="1" t="s">
        <v>2401</v>
      </c>
      <c r="E339" t="s">
        <v>15</v>
      </c>
      <c r="F339" s="10"/>
      <c r="G339" s="10" t="s">
        <v>1839</v>
      </c>
      <c r="H339" t="s">
        <v>55</v>
      </c>
      <c r="I339" t="s">
        <v>1840</v>
      </c>
      <c r="K339" s="2"/>
      <c r="M339" s="2"/>
    </row>
    <row r="340" spans="1:13">
      <c r="A340" t="s">
        <v>28</v>
      </c>
      <c r="B340">
        <f ca="1">IF(OR(changes[[#This Row],[Type]]="Checklist",changes[[#This Row],[Type]]="checklist-flat"),1+IF(changes[[#This Row],[Type of change]] = "Edit",COUNTIFS($I$4:changes[[#This Row],[Name]],changes[[#This Row],[Name]], $E$4:changes[[#This Row],[Type of change]], "Edit")),B339)</f>
        <v>2</v>
      </c>
      <c r="C340" s="16">
        <v>44530</v>
      </c>
      <c r="D340" s="1" t="s">
        <v>2401</v>
      </c>
      <c r="E340" t="s">
        <v>15</v>
      </c>
      <c r="F340" s="10"/>
      <c r="G340" s="10" t="s">
        <v>1928</v>
      </c>
      <c r="H340" t="s">
        <v>54</v>
      </c>
      <c r="I340" t="s">
        <v>1928</v>
      </c>
      <c r="K340" s="2"/>
      <c r="M340" s="2"/>
    </row>
    <row r="341" spans="1:13">
      <c r="A341" t="s">
        <v>28</v>
      </c>
      <c r="B341">
        <f ca="1">IF(OR(changes[[#This Row],[Type]]="Checklist",changes[[#This Row],[Type]]="checklist-flat"),1+IF(changes[[#This Row],[Type of change]] = "Edit",COUNTIFS($I$4:changes[[#This Row],[Name]],changes[[#This Row],[Name]], $E$4:changes[[#This Row],[Type of change]], "Edit")),B340)</f>
        <v>2</v>
      </c>
      <c r="C341" s="16">
        <v>44530</v>
      </c>
      <c r="D341" s="1" t="s">
        <v>2401</v>
      </c>
      <c r="E341" t="s">
        <v>15</v>
      </c>
      <c r="F341" s="10"/>
      <c r="G341" s="10" t="s">
        <v>1928</v>
      </c>
      <c r="H341" t="s">
        <v>55</v>
      </c>
      <c r="I341" t="s">
        <v>1929</v>
      </c>
      <c r="K341" s="2"/>
      <c r="M341" s="2"/>
    </row>
    <row r="342" spans="1:13">
      <c r="A342" t="s">
        <v>28</v>
      </c>
      <c r="B342">
        <f ca="1">IF(OR(changes[[#This Row],[Type]]="Checklist",changes[[#This Row],[Type]]="checklist-flat"),1+IF(changes[[#This Row],[Type of change]] = "Edit",COUNTIFS($I$4:changes[[#This Row],[Name]],changes[[#This Row],[Name]], $E$4:changes[[#This Row],[Type of change]], "Edit")),B341)</f>
        <v>2</v>
      </c>
      <c r="C342" s="16">
        <v>44530</v>
      </c>
      <c r="D342" s="1" t="s">
        <v>2401</v>
      </c>
      <c r="E342" t="s">
        <v>15</v>
      </c>
      <c r="F342" s="10"/>
      <c r="G342" s="10" t="s">
        <v>1928</v>
      </c>
      <c r="H342" t="s">
        <v>55</v>
      </c>
      <c r="I342" t="s">
        <v>1930</v>
      </c>
      <c r="K342" s="2"/>
      <c r="M342" s="2"/>
    </row>
    <row r="343" spans="1:13">
      <c r="A343" t="s">
        <v>28</v>
      </c>
      <c r="B343">
        <f ca="1">IF(OR(changes[[#This Row],[Type]]="Checklist",changes[[#This Row],[Type]]="checklist-flat"),1+IF(changes[[#This Row],[Type of change]] = "Edit",COUNTIFS($I$4:changes[[#This Row],[Name]],changes[[#This Row],[Name]], $E$4:changes[[#This Row],[Type of change]], "Edit")),B342)</f>
        <v>2</v>
      </c>
      <c r="C343" s="16">
        <v>44530</v>
      </c>
      <c r="D343" s="1" t="s">
        <v>2401</v>
      </c>
      <c r="E343" t="s">
        <v>15</v>
      </c>
      <c r="F343" s="10"/>
      <c r="G343" s="10" t="s">
        <v>1928</v>
      </c>
      <c r="H343" t="s">
        <v>55</v>
      </c>
      <c r="I343" t="s">
        <v>1931</v>
      </c>
      <c r="K343" s="2"/>
      <c r="M343" s="2"/>
    </row>
    <row r="344" spans="1:13">
      <c r="A344" t="s">
        <v>28</v>
      </c>
      <c r="B344">
        <f ca="1">IF(OR(changes[[#This Row],[Type]]="Checklist",changes[[#This Row],[Type]]="checklist-flat"),1+IF(changes[[#This Row],[Type of change]] = "Edit",COUNTIFS($I$4:changes[[#This Row],[Name]],changes[[#This Row],[Name]], $E$4:changes[[#This Row],[Type of change]], "Edit")),B343)</f>
        <v>2</v>
      </c>
      <c r="C344" s="16">
        <v>44530</v>
      </c>
      <c r="D344" s="1" t="s">
        <v>2401</v>
      </c>
      <c r="E344" t="s">
        <v>15</v>
      </c>
      <c r="F344" s="10"/>
      <c r="G344" s="10" t="s">
        <v>1928</v>
      </c>
      <c r="H344" t="s">
        <v>55</v>
      </c>
      <c r="I344" t="s">
        <v>1932</v>
      </c>
      <c r="K344" s="2"/>
      <c r="M344" s="2"/>
    </row>
    <row r="345" spans="1:13">
      <c r="A345" t="s">
        <v>28</v>
      </c>
      <c r="B345">
        <f ca="1">IF(OR(changes[[#This Row],[Type]]="Checklist",changes[[#This Row],[Type]]="checklist-flat"),1+IF(changes[[#This Row],[Type of change]] = "Edit",COUNTIFS($I$4:changes[[#This Row],[Name]],changes[[#This Row],[Name]], $E$4:changes[[#This Row],[Type of change]], "Edit")),B344)</f>
        <v>2</v>
      </c>
      <c r="C345" s="16">
        <v>44530</v>
      </c>
      <c r="D345" s="1" t="s">
        <v>2401</v>
      </c>
      <c r="E345" t="s">
        <v>15</v>
      </c>
      <c r="F345" s="10"/>
      <c r="G345" s="10" t="s">
        <v>1928</v>
      </c>
      <c r="H345" t="s">
        <v>55</v>
      </c>
      <c r="I345" t="s">
        <v>1933</v>
      </c>
      <c r="K345" s="2"/>
      <c r="M345" s="2"/>
    </row>
    <row r="346" spans="1:13">
      <c r="A346" t="s">
        <v>28</v>
      </c>
      <c r="B346">
        <f ca="1">IF(OR(changes[[#This Row],[Type]]="Checklist",changes[[#This Row],[Type]]="checklist-flat"),1+IF(changes[[#This Row],[Type of change]] = "Edit",COUNTIFS($I$4:changes[[#This Row],[Name]],changes[[#This Row],[Name]], $E$4:changes[[#This Row],[Type of change]], "Edit")),B345)</f>
        <v>2</v>
      </c>
      <c r="C346" s="16">
        <v>44530</v>
      </c>
      <c r="D346" s="1" t="s">
        <v>2401</v>
      </c>
      <c r="E346" t="s">
        <v>15</v>
      </c>
      <c r="F346" s="10"/>
      <c r="G346" s="10" t="s">
        <v>1928</v>
      </c>
      <c r="H346" t="s">
        <v>55</v>
      </c>
      <c r="I346" t="s">
        <v>1934</v>
      </c>
      <c r="K346" s="2"/>
      <c r="M346" s="2"/>
    </row>
    <row r="347" spans="1:13">
      <c r="A347" t="s">
        <v>28</v>
      </c>
      <c r="B347">
        <f ca="1">IF(OR(changes[[#This Row],[Type]]="Checklist",changes[[#This Row],[Type]]="checklist-flat"),1+IF(changes[[#This Row],[Type of change]] = "Edit",COUNTIFS($I$4:changes[[#This Row],[Name]],changes[[#This Row],[Name]], $E$4:changes[[#This Row],[Type of change]], "Edit")),B346)</f>
        <v>1</v>
      </c>
      <c r="C347" s="16">
        <v>44530</v>
      </c>
      <c r="D347" s="1" t="s">
        <v>2401</v>
      </c>
      <c r="E347" t="s">
        <v>2396</v>
      </c>
      <c r="F347" s="10"/>
      <c r="G347" s="10" t="s">
        <v>2018</v>
      </c>
      <c r="H347" t="s">
        <v>54</v>
      </c>
      <c r="I347" t="s">
        <v>2018</v>
      </c>
      <c r="K347" s="2"/>
      <c r="M347" s="2"/>
    </row>
    <row r="348" spans="1:13">
      <c r="A348" t="s">
        <v>28</v>
      </c>
      <c r="B348">
        <f ca="1">IF(OR(changes[[#This Row],[Type]]="Checklist",changes[[#This Row],[Type]]="checklist-flat"),1+IF(changes[[#This Row],[Type of change]] = "Edit",COUNTIFS($I$4:changes[[#This Row],[Name]],changes[[#This Row],[Name]], $E$4:changes[[#This Row],[Type of change]], "Edit")),B347)</f>
        <v>1</v>
      </c>
      <c r="C348" s="16">
        <v>44530</v>
      </c>
      <c r="D348" s="1" t="s">
        <v>2401</v>
      </c>
      <c r="E348" t="s">
        <v>2396</v>
      </c>
      <c r="F348" s="10"/>
      <c r="G348" s="10" t="s">
        <v>2018</v>
      </c>
      <c r="H348" t="s">
        <v>55</v>
      </c>
      <c r="I348" t="s">
        <v>2019</v>
      </c>
      <c r="K348" s="2"/>
      <c r="M348" s="2"/>
    </row>
    <row r="349" spans="1:13">
      <c r="A349" t="s">
        <v>28</v>
      </c>
      <c r="B349">
        <f ca="1">IF(OR(changes[[#This Row],[Type]]="Checklist",changes[[#This Row],[Type]]="checklist-flat"),1+IF(changes[[#This Row],[Type of change]] = "Edit",COUNTIFS($I$4:changes[[#This Row],[Name]],changes[[#This Row],[Name]], $E$4:changes[[#This Row],[Type of change]], "Edit")),B348)</f>
        <v>1</v>
      </c>
      <c r="C349" s="16">
        <v>44530</v>
      </c>
      <c r="D349" s="1" t="s">
        <v>2401</v>
      </c>
      <c r="E349" t="s">
        <v>2396</v>
      </c>
      <c r="F349" s="10"/>
      <c r="G349" s="10" t="s">
        <v>2018</v>
      </c>
      <c r="H349" t="s">
        <v>55</v>
      </c>
      <c r="I349" t="s">
        <v>1722</v>
      </c>
      <c r="K349" s="2"/>
      <c r="M349" s="2"/>
    </row>
    <row r="350" spans="1:13">
      <c r="A350" t="s">
        <v>28</v>
      </c>
      <c r="B350">
        <f ca="1">IF(OR(changes[[#This Row],[Type]]="Checklist",changes[[#This Row],[Type]]="checklist-flat"),1+IF(changes[[#This Row],[Type of change]] = "Edit",COUNTIFS($I$4:changes[[#This Row],[Name]],changes[[#This Row],[Name]], $E$4:changes[[#This Row],[Type of change]], "Edit")),B349)</f>
        <v>1</v>
      </c>
      <c r="C350" s="16">
        <v>44530</v>
      </c>
      <c r="D350" s="1" t="s">
        <v>2401</v>
      </c>
      <c r="E350" t="s">
        <v>2396</v>
      </c>
      <c r="F350" s="10"/>
      <c r="G350" s="10" t="s">
        <v>2018</v>
      </c>
      <c r="H350" t="s">
        <v>55</v>
      </c>
      <c r="I350" t="s">
        <v>1723</v>
      </c>
      <c r="K350" s="2"/>
      <c r="M350" s="2"/>
    </row>
    <row r="351" spans="1:13">
      <c r="A351" t="s">
        <v>28</v>
      </c>
      <c r="B351">
        <f ca="1">IF(OR(changes[[#This Row],[Type]]="Checklist",changes[[#This Row],[Type]]="checklist-flat"),1+IF(changes[[#This Row],[Type of change]] = "Edit",COUNTIFS($I$4:changes[[#This Row],[Name]],changes[[#This Row],[Name]], $E$4:changes[[#This Row],[Type of change]], "Edit")),B350)</f>
        <v>1</v>
      </c>
      <c r="C351" s="16">
        <v>44530</v>
      </c>
      <c r="D351" s="1" t="s">
        <v>2401</v>
      </c>
      <c r="E351" t="s">
        <v>2396</v>
      </c>
      <c r="F351" s="10"/>
      <c r="G351" s="10" t="s">
        <v>2018</v>
      </c>
      <c r="H351" t="s">
        <v>55</v>
      </c>
      <c r="I351" t="s">
        <v>2020</v>
      </c>
      <c r="K351" s="2"/>
      <c r="M351" s="2"/>
    </row>
    <row r="352" spans="1:13">
      <c r="A352" t="s">
        <v>28</v>
      </c>
      <c r="B352">
        <f ca="1">IF(OR(changes[[#This Row],[Type]]="Checklist",changes[[#This Row],[Type]]="checklist-flat"),1+IF(changes[[#This Row],[Type of change]] = "Edit",COUNTIFS($I$4:changes[[#This Row],[Name]],changes[[#This Row],[Name]], $E$4:changes[[#This Row],[Type of change]], "Edit")),B351)</f>
        <v>1</v>
      </c>
      <c r="C352" s="16">
        <v>44530</v>
      </c>
      <c r="D352" s="1" t="s">
        <v>2401</v>
      </c>
      <c r="E352" t="s">
        <v>2396</v>
      </c>
      <c r="F352" s="10"/>
      <c r="G352" s="10" t="s">
        <v>2018</v>
      </c>
      <c r="H352" t="s">
        <v>55</v>
      </c>
      <c r="I352" t="s">
        <v>2021</v>
      </c>
      <c r="K352" s="2"/>
      <c r="M352" s="2"/>
    </row>
    <row r="353" spans="1:13">
      <c r="A353" t="s">
        <v>28</v>
      </c>
      <c r="B353">
        <f ca="1">IF(OR(changes[[#This Row],[Type]]="Checklist",changes[[#This Row],[Type]]="checklist-flat"),1+IF(changes[[#This Row],[Type of change]] = "Edit",COUNTIFS($I$4:changes[[#This Row],[Name]],changes[[#This Row],[Name]], $E$4:changes[[#This Row],[Type of change]], "Edit")),B352)</f>
        <v>1</v>
      </c>
      <c r="C353" s="16">
        <v>44530</v>
      </c>
      <c r="D353" s="1" t="s">
        <v>2401</v>
      </c>
      <c r="E353" t="s">
        <v>2396</v>
      </c>
      <c r="F353" s="10"/>
      <c r="G353" s="10" t="s">
        <v>2018</v>
      </c>
      <c r="H353" t="s">
        <v>55</v>
      </c>
      <c r="I353" t="s">
        <v>2416</v>
      </c>
      <c r="K353" s="2"/>
      <c r="M353" s="2"/>
    </row>
    <row r="354" spans="1:13">
      <c r="A354" t="s">
        <v>28</v>
      </c>
      <c r="B354">
        <f ca="1">IF(OR(changes[[#This Row],[Type]]="Checklist",changes[[#This Row],[Type]]="checklist-flat"),1+IF(changes[[#This Row],[Type of change]] = "Edit",COUNTIFS($I$4:changes[[#This Row],[Name]],changes[[#This Row],[Name]], $E$4:changes[[#This Row],[Type of change]], "Edit")),B353)</f>
        <v>1</v>
      </c>
      <c r="C354" s="16">
        <v>44530</v>
      </c>
      <c r="D354" s="1" t="s">
        <v>2401</v>
      </c>
      <c r="E354" t="s">
        <v>2396</v>
      </c>
      <c r="F354" s="10"/>
      <c r="G354" s="10" t="s">
        <v>1837</v>
      </c>
      <c r="H354" t="s">
        <v>54</v>
      </c>
      <c r="I354" t="s">
        <v>1837</v>
      </c>
      <c r="K354" s="2"/>
      <c r="M354" s="2"/>
    </row>
    <row r="355" spans="1:13">
      <c r="A355" t="s">
        <v>28</v>
      </c>
      <c r="B355">
        <f ca="1">IF(OR(changes[[#This Row],[Type]]="Checklist",changes[[#This Row],[Type]]="checklist-flat"),1+IF(changes[[#This Row],[Type of change]] = "Edit",COUNTIFS($I$4:changes[[#This Row],[Name]],changes[[#This Row],[Name]], $E$4:changes[[#This Row],[Type of change]], "Edit")),B354)</f>
        <v>1</v>
      </c>
      <c r="C355" s="16">
        <v>44530</v>
      </c>
      <c r="D355" s="1" t="s">
        <v>2401</v>
      </c>
      <c r="E355" t="s">
        <v>2396</v>
      </c>
      <c r="F355" s="10"/>
      <c r="G355" s="10" t="s">
        <v>1837</v>
      </c>
      <c r="H355" t="s">
        <v>55</v>
      </c>
      <c r="I355" t="s">
        <v>1816</v>
      </c>
      <c r="K355" s="2"/>
      <c r="M355" s="2"/>
    </row>
    <row r="356" spans="1:13">
      <c r="A356" t="s">
        <v>28</v>
      </c>
      <c r="B356">
        <f ca="1">IF(OR(changes[[#This Row],[Type]]="Checklist",changes[[#This Row],[Type]]="checklist-flat"),1+IF(changes[[#This Row],[Type of change]] = "Edit",COUNTIFS($I$4:changes[[#This Row],[Name]],changes[[#This Row],[Name]], $E$4:changes[[#This Row],[Type of change]], "Edit")),B355)</f>
        <v>1</v>
      </c>
      <c r="C356" s="16">
        <v>44530</v>
      </c>
      <c r="D356" s="1" t="s">
        <v>2401</v>
      </c>
      <c r="E356" t="s">
        <v>2396</v>
      </c>
      <c r="F356" s="10"/>
      <c r="G356" s="10" t="s">
        <v>1837</v>
      </c>
      <c r="H356" t="s">
        <v>55</v>
      </c>
      <c r="I356" t="s">
        <v>155</v>
      </c>
      <c r="K356" s="2"/>
      <c r="M356" s="2"/>
    </row>
    <row r="357" spans="1:13">
      <c r="A357" t="s">
        <v>28</v>
      </c>
      <c r="B357">
        <f ca="1">IF(OR(changes[[#This Row],[Type]]="Checklist",changes[[#This Row],[Type]]="checklist-flat"),1+IF(changes[[#This Row],[Type of change]] = "Edit",COUNTIFS($I$4:changes[[#This Row],[Name]],changes[[#This Row],[Name]], $E$4:changes[[#This Row],[Type of change]], "Edit")),B356)</f>
        <v>1</v>
      </c>
      <c r="C357" s="16">
        <v>44530</v>
      </c>
      <c r="D357" s="1" t="s">
        <v>2401</v>
      </c>
      <c r="E357" t="s">
        <v>2396</v>
      </c>
      <c r="F357" s="10"/>
      <c r="G357" s="10" t="s">
        <v>1837</v>
      </c>
      <c r="H357" t="s">
        <v>55</v>
      </c>
      <c r="I357" t="s">
        <v>1817</v>
      </c>
      <c r="K357" s="2"/>
      <c r="M357" s="2"/>
    </row>
    <row r="358" spans="1:13">
      <c r="A358" t="s">
        <v>28</v>
      </c>
      <c r="B358">
        <f ca="1">IF(OR(changes[[#This Row],[Type]]="Checklist",changes[[#This Row],[Type]]="checklist-flat"),1+IF(changes[[#This Row],[Type of change]] = "Edit",COUNTIFS($I$4:changes[[#This Row],[Name]],changes[[#This Row],[Name]], $E$4:changes[[#This Row],[Type of change]], "Edit")),B357)</f>
        <v>1</v>
      </c>
      <c r="C358" s="16">
        <v>44530</v>
      </c>
      <c r="D358" s="1" t="s">
        <v>2401</v>
      </c>
      <c r="E358" t="s">
        <v>2396</v>
      </c>
      <c r="F358" s="10"/>
      <c r="G358" s="10" t="s">
        <v>1837</v>
      </c>
      <c r="H358" t="s">
        <v>55</v>
      </c>
      <c r="I358" t="s">
        <v>1838</v>
      </c>
      <c r="K358" s="2"/>
      <c r="M358" s="2"/>
    </row>
    <row r="359" spans="1:13">
      <c r="A359" t="s">
        <v>28</v>
      </c>
      <c r="B359">
        <f ca="1">IF(OR(changes[[#This Row],[Type]]="Checklist",changes[[#This Row],[Type]]="checklist-flat"),1+IF(changes[[#This Row],[Type of change]] = "Edit",COUNTIFS($I$4:changes[[#This Row],[Name]],changes[[#This Row],[Name]], $E$4:changes[[#This Row],[Type of change]], "Edit")),B358)</f>
        <v>1</v>
      </c>
      <c r="C359" s="16">
        <v>44530</v>
      </c>
      <c r="D359" s="1" t="s">
        <v>2401</v>
      </c>
      <c r="E359" t="s">
        <v>2396</v>
      </c>
      <c r="F359" s="10"/>
      <c r="G359" s="10" t="s">
        <v>1830</v>
      </c>
      <c r="H359" t="s">
        <v>54</v>
      </c>
      <c r="I359" t="s">
        <v>1830</v>
      </c>
      <c r="K359" s="2"/>
      <c r="M359" s="2"/>
    </row>
    <row r="360" spans="1:13">
      <c r="A360" t="s">
        <v>28</v>
      </c>
      <c r="B360">
        <f ca="1">IF(OR(changes[[#This Row],[Type]]="Checklist",changes[[#This Row],[Type]]="checklist-flat"),1+IF(changes[[#This Row],[Type of change]] = "Edit",COUNTIFS($I$4:changes[[#This Row],[Name]],changes[[#This Row],[Name]], $E$4:changes[[#This Row],[Type of change]], "Edit")),B359)</f>
        <v>1</v>
      </c>
      <c r="C360" s="16">
        <v>44530</v>
      </c>
      <c r="D360" s="1" t="s">
        <v>2401</v>
      </c>
      <c r="E360" t="s">
        <v>2396</v>
      </c>
      <c r="F360" s="10"/>
      <c r="G360" s="10" t="s">
        <v>1830</v>
      </c>
      <c r="H360" t="s">
        <v>55</v>
      </c>
      <c r="I360" t="s">
        <v>1816</v>
      </c>
      <c r="K360" s="2"/>
      <c r="M360" s="2"/>
    </row>
    <row r="361" spans="1:13">
      <c r="A361" t="s">
        <v>28</v>
      </c>
      <c r="B361">
        <f ca="1">IF(OR(changes[[#This Row],[Type]]="Checklist",changes[[#This Row],[Type]]="checklist-flat"),1+IF(changes[[#This Row],[Type of change]] = "Edit",COUNTIFS($I$4:changes[[#This Row],[Name]],changes[[#This Row],[Name]], $E$4:changes[[#This Row],[Type of change]], "Edit")),B360)</f>
        <v>1</v>
      </c>
      <c r="C361" s="16">
        <v>44530</v>
      </c>
      <c r="D361" s="1" t="s">
        <v>2401</v>
      </c>
      <c r="E361" t="s">
        <v>2396</v>
      </c>
      <c r="F361" s="10"/>
      <c r="G361" s="10" t="s">
        <v>1830</v>
      </c>
      <c r="H361" t="s">
        <v>55</v>
      </c>
      <c r="I361" t="s">
        <v>155</v>
      </c>
      <c r="K361" s="2"/>
      <c r="M361" s="2"/>
    </row>
    <row r="362" spans="1:13">
      <c r="A362" t="s">
        <v>28</v>
      </c>
      <c r="B362">
        <f ca="1">IF(OR(changes[[#This Row],[Type]]="Checklist",changes[[#This Row],[Type]]="checklist-flat"),1+IF(changes[[#This Row],[Type of change]] = "Edit",COUNTIFS($I$4:changes[[#This Row],[Name]],changes[[#This Row],[Name]], $E$4:changes[[#This Row],[Type of change]], "Edit")),B361)</f>
        <v>1</v>
      </c>
      <c r="C362" s="16">
        <v>44530</v>
      </c>
      <c r="D362" s="1" t="s">
        <v>2401</v>
      </c>
      <c r="E362" t="s">
        <v>2396</v>
      </c>
      <c r="F362" s="10"/>
      <c r="G362" s="10" t="s">
        <v>1830</v>
      </c>
      <c r="H362" t="s">
        <v>55</v>
      </c>
      <c r="I362" t="s">
        <v>1817</v>
      </c>
      <c r="K362" s="2"/>
      <c r="M362" s="2"/>
    </row>
    <row r="363" spans="1:13">
      <c r="A363" t="s">
        <v>28</v>
      </c>
      <c r="B363">
        <f ca="1">IF(OR(changes[[#This Row],[Type]]="Checklist",changes[[#This Row],[Type]]="checklist-flat"),1+IF(changes[[#This Row],[Type of change]] = "Edit",COUNTIFS($I$4:changes[[#This Row],[Name]],changes[[#This Row],[Name]], $E$4:changes[[#This Row],[Type of change]], "Edit")),B362)</f>
        <v>1</v>
      </c>
      <c r="C363" s="16">
        <v>44530</v>
      </c>
      <c r="D363" s="1" t="s">
        <v>2401</v>
      </c>
      <c r="E363" t="s">
        <v>2396</v>
      </c>
      <c r="F363" s="10"/>
      <c r="G363" s="10" t="s">
        <v>1830</v>
      </c>
      <c r="H363" t="s">
        <v>55</v>
      </c>
      <c r="I363" t="s">
        <v>1831</v>
      </c>
      <c r="K363" s="2"/>
      <c r="M363" s="2"/>
    </row>
    <row r="364" spans="1:13">
      <c r="A364" t="s">
        <v>28</v>
      </c>
      <c r="B364">
        <f ca="1">IF(OR(changes[[#This Row],[Type]]="Checklist",changes[[#This Row],[Type]]="checklist-flat"),1+IF(changes[[#This Row],[Type of change]] = "Edit",COUNTIFS($I$4:changes[[#This Row],[Name]],changes[[#This Row],[Name]], $E$4:changes[[#This Row],[Type of change]], "Edit")),B363)</f>
        <v>1</v>
      </c>
      <c r="C364" s="16">
        <v>44530</v>
      </c>
      <c r="D364" s="1" t="s">
        <v>2401</v>
      </c>
      <c r="E364" t="s">
        <v>2396</v>
      </c>
      <c r="F364" s="10"/>
      <c r="G364" s="10" t="s">
        <v>2417</v>
      </c>
      <c r="H364" t="s">
        <v>54</v>
      </c>
      <c r="I364" t="s">
        <v>2417</v>
      </c>
      <c r="K364" s="2"/>
      <c r="M364" s="2"/>
    </row>
    <row r="365" spans="1:13">
      <c r="A365" t="s">
        <v>28</v>
      </c>
      <c r="B365">
        <f ca="1">IF(OR(changes[[#This Row],[Type]]="Checklist",changes[[#This Row],[Type]]="checklist-flat"),1+IF(changes[[#This Row],[Type of change]] = "Edit",COUNTIFS($I$4:changes[[#This Row],[Name]],changes[[#This Row],[Name]], $E$4:changes[[#This Row],[Type of change]], "Edit")),B364)</f>
        <v>1</v>
      </c>
      <c r="C365" s="16">
        <v>44530</v>
      </c>
      <c r="D365" s="1" t="s">
        <v>2401</v>
      </c>
      <c r="E365" t="s">
        <v>2396</v>
      </c>
      <c r="F365" s="10"/>
      <c r="G365" s="10" t="s">
        <v>2417</v>
      </c>
      <c r="H365" t="s">
        <v>55</v>
      </c>
      <c r="I365" t="s">
        <v>2418</v>
      </c>
      <c r="K365" s="2"/>
      <c r="M365" s="2"/>
    </row>
    <row r="366" spans="1:13">
      <c r="A366" t="s">
        <v>28</v>
      </c>
      <c r="B366">
        <f ca="1">IF(OR(changes[[#This Row],[Type]]="Checklist",changes[[#This Row],[Type]]="checklist-flat"),1+IF(changes[[#This Row],[Type of change]] = "Edit",COUNTIFS($I$4:changes[[#This Row],[Name]],changes[[#This Row],[Name]], $E$4:changes[[#This Row],[Type of change]], "Edit")),B365)</f>
        <v>1</v>
      </c>
      <c r="C366" s="16">
        <v>44530</v>
      </c>
      <c r="D366" s="1" t="s">
        <v>2401</v>
      </c>
      <c r="E366" t="s">
        <v>2396</v>
      </c>
      <c r="F366" s="10"/>
      <c r="G366" s="10" t="s">
        <v>2417</v>
      </c>
      <c r="H366" t="s">
        <v>437</v>
      </c>
      <c r="I366" t="s">
        <v>2419</v>
      </c>
      <c r="J366" t="s">
        <v>2239</v>
      </c>
      <c r="K366" s="2"/>
      <c r="M366" s="2"/>
    </row>
    <row r="367" spans="1:13">
      <c r="A367" t="s">
        <v>28</v>
      </c>
      <c r="B367">
        <f ca="1">IF(OR(changes[[#This Row],[Type]]="Checklist",changes[[#This Row],[Type]]="checklist-flat"),1+IF(changes[[#This Row],[Type of change]] = "Edit",COUNTIFS($I$4:changes[[#This Row],[Name]],changes[[#This Row],[Name]], $E$4:changes[[#This Row],[Type of change]], "Edit")),B366)</f>
        <v>1</v>
      </c>
      <c r="C367" s="16">
        <v>44530</v>
      </c>
      <c r="D367" s="1" t="s">
        <v>2401</v>
      </c>
      <c r="E367" t="s">
        <v>2396</v>
      </c>
      <c r="F367" s="10"/>
      <c r="G367" s="10" t="s">
        <v>2417</v>
      </c>
      <c r="H367" t="s">
        <v>437</v>
      </c>
      <c r="I367" t="s">
        <v>2420</v>
      </c>
      <c r="J367" t="s">
        <v>2239</v>
      </c>
      <c r="K367" s="2"/>
      <c r="M367" s="2"/>
    </row>
    <row r="368" spans="1:13">
      <c r="A368" t="s">
        <v>28</v>
      </c>
      <c r="B368">
        <f ca="1">IF(OR(changes[[#This Row],[Type]]="Checklist",changes[[#This Row],[Type]]="checklist-flat"),1+IF(changes[[#This Row],[Type of change]] = "Edit",COUNTIFS($I$4:changes[[#This Row],[Name]],changes[[#This Row],[Name]], $E$4:changes[[#This Row],[Type of change]], "Edit")),B367)</f>
        <v>1</v>
      </c>
      <c r="C368" s="16">
        <v>44530</v>
      </c>
      <c r="D368" s="1" t="s">
        <v>2401</v>
      </c>
      <c r="E368" t="s">
        <v>2396</v>
      </c>
      <c r="F368" s="10"/>
      <c r="G368" s="10" t="s">
        <v>2417</v>
      </c>
      <c r="H368" t="s">
        <v>437</v>
      </c>
      <c r="I368" t="s">
        <v>2421</v>
      </c>
      <c r="J368" t="s">
        <v>2239</v>
      </c>
      <c r="K368" s="2"/>
      <c r="M368" s="2"/>
    </row>
    <row r="369" spans="1:13">
      <c r="A369" t="s">
        <v>28</v>
      </c>
      <c r="B369">
        <f ca="1">IF(OR(changes[[#This Row],[Type]]="Checklist",changes[[#This Row],[Type]]="checklist-flat"),1+IF(changes[[#This Row],[Type of change]] = "Edit",COUNTIFS($I$4:changes[[#This Row],[Name]],changes[[#This Row],[Name]], $E$4:changes[[#This Row],[Type of change]], "Edit")),B368)</f>
        <v>1</v>
      </c>
      <c r="C369" s="16">
        <v>44530</v>
      </c>
      <c r="D369" s="1" t="s">
        <v>2401</v>
      </c>
      <c r="E369" t="s">
        <v>2396</v>
      </c>
      <c r="F369" s="10"/>
      <c r="G369" s="10" t="s">
        <v>2417</v>
      </c>
      <c r="H369" t="s">
        <v>437</v>
      </c>
      <c r="I369" t="s">
        <v>2422</v>
      </c>
      <c r="J369" t="s">
        <v>2239</v>
      </c>
      <c r="K369" s="2"/>
      <c r="M369" s="2"/>
    </row>
    <row r="370" spans="1:13">
      <c r="A370" t="s">
        <v>28</v>
      </c>
      <c r="B370">
        <f ca="1">IF(OR(changes[[#This Row],[Type]]="Checklist",changes[[#This Row],[Type]]="checklist-flat"),1+IF(changes[[#This Row],[Type of change]] = "Edit",COUNTIFS($I$4:changes[[#This Row],[Name]],changes[[#This Row],[Name]], $E$4:changes[[#This Row],[Type of change]], "Edit")),B369)</f>
        <v>1</v>
      </c>
      <c r="C370" s="16">
        <v>44530</v>
      </c>
      <c r="D370" s="1" t="s">
        <v>2401</v>
      </c>
      <c r="E370" t="s">
        <v>2396</v>
      </c>
      <c r="F370" s="10"/>
      <c r="G370" s="10" t="s">
        <v>2417</v>
      </c>
      <c r="H370" t="s">
        <v>420</v>
      </c>
      <c r="I370" t="s">
        <v>2423</v>
      </c>
      <c r="K370" s="2"/>
      <c r="M370" s="2"/>
    </row>
    <row r="371" spans="1:13">
      <c r="A371" t="s">
        <v>28</v>
      </c>
      <c r="B371">
        <f ca="1">IF(OR(changes[[#This Row],[Type]]="Checklist",changes[[#This Row],[Type]]="checklist-flat"),1+IF(changes[[#This Row],[Type of change]] = "Edit",COUNTIFS($I$4:changes[[#This Row],[Name]],changes[[#This Row],[Name]], $E$4:changes[[#This Row],[Type of change]], "Edit")),B370)</f>
        <v>1</v>
      </c>
      <c r="C371" s="16">
        <v>44530</v>
      </c>
      <c r="D371" s="1" t="s">
        <v>2401</v>
      </c>
      <c r="E371" t="s">
        <v>2396</v>
      </c>
      <c r="F371" s="10"/>
      <c r="G371" s="10" t="s">
        <v>2417</v>
      </c>
      <c r="H371" t="s">
        <v>64</v>
      </c>
      <c r="I371" t="s">
        <v>422</v>
      </c>
      <c r="K371" s="2"/>
      <c r="M371" s="2"/>
    </row>
    <row r="372" spans="1:13">
      <c r="A372" t="s">
        <v>28</v>
      </c>
      <c r="B372">
        <f ca="1">IF(OR(changes[[#This Row],[Type]]="Checklist",changes[[#This Row],[Type]]="checklist-flat"),1+IF(changes[[#This Row],[Type of change]] = "Edit",COUNTIFS($I$4:changes[[#This Row],[Name]],changes[[#This Row],[Name]], $E$4:changes[[#This Row],[Type of change]], "Edit")),B371)</f>
        <v>1</v>
      </c>
      <c r="C372" s="16">
        <v>44582</v>
      </c>
      <c r="D372" s="1" t="s">
        <v>2424</v>
      </c>
      <c r="E372" t="s">
        <v>2396</v>
      </c>
      <c r="F372" s="10" t="s">
        <v>9</v>
      </c>
      <c r="G372" s="10" t="s">
        <v>1915</v>
      </c>
      <c r="H372" t="s">
        <v>478</v>
      </c>
      <c r="I372" t="s">
        <v>1915</v>
      </c>
      <c r="K372" s="2"/>
      <c r="M372" s="2"/>
    </row>
    <row r="373" spans="1:13">
      <c r="A373" t="s">
        <v>28</v>
      </c>
      <c r="B373">
        <f ca="1">IF(OR(changes[[#This Row],[Type]]="Checklist",changes[[#This Row],[Type]]="checklist-flat"),1+IF(changes[[#This Row],[Type of change]] = "Edit",COUNTIFS($I$4:changes[[#This Row],[Name]],changes[[#This Row],[Name]], $E$4:changes[[#This Row],[Type of change]], "Edit")),B372)</f>
        <v>1</v>
      </c>
      <c r="C373" s="16">
        <v>44582</v>
      </c>
      <c r="D373" s="1" t="s">
        <v>2424</v>
      </c>
      <c r="E373" t="s">
        <v>2396</v>
      </c>
      <c r="F373" s="10" t="s">
        <v>9</v>
      </c>
      <c r="G373" s="10" t="s">
        <v>1915</v>
      </c>
      <c r="H373" t="s">
        <v>55</v>
      </c>
      <c r="I373" t="s">
        <v>1916</v>
      </c>
      <c r="K373" s="2"/>
      <c r="M373" s="2"/>
    </row>
    <row r="374" spans="1:13">
      <c r="A374" t="s">
        <v>28</v>
      </c>
      <c r="B374">
        <f ca="1">IF(OR(changes[[#This Row],[Type]]="Checklist",changes[[#This Row],[Type]]="checklist-flat"),1+IF(changes[[#This Row],[Type of change]] = "Edit",COUNTIFS($I$4:changes[[#This Row],[Name]],changes[[#This Row],[Name]], $E$4:changes[[#This Row],[Type of change]], "Edit")),B373)</f>
        <v>1</v>
      </c>
      <c r="C374" s="16">
        <v>44582</v>
      </c>
      <c r="D374" s="1" t="s">
        <v>2424</v>
      </c>
      <c r="E374" t="s">
        <v>2396</v>
      </c>
      <c r="F374" s="10" t="s">
        <v>9</v>
      </c>
      <c r="G374" s="10" t="s">
        <v>1915</v>
      </c>
      <c r="H374" t="s">
        <v>55</v>
      </c>
      <c r="I374" t="s">
        <v>1917</v>
      </c>
      <c r="K374" s="2"/>
      <c r="M374" s="2"/>
    </row>
    <row r="375" spans="1:13">
      <c r="A375" t="s">
        <v>28</v>
      </c>
      <c r="B375">
        <f ca="1">IF(OR(changes[[#This Row],[Type]]="Checklist",changes[[#This Row],[Type]]="checklist-flat"),1+IF(changes[[#This Row],[Type of change]] = "Edit",COUNTIFS($I$4:changes[[#This Row],[Name]],changes[[#This Row],[Name]], $E$4:changes[[#This Row],[Type of change]], "Edit")),B374)</f>
        <v>1</v>
      </c>
      <c r="C375" s="16">
        <v>44582</v>
      </c>
      <c r="D375" s="1" t="s">
        <v>2424</v>
      </c>
      <c r="E375" t="s">
        <v>2396</v>
      </c>
      <c r="F375" s="10" t="s">
        <v>9</v>
      </c>
      <c r="G375" s="10" t="s">
        <v>1915</v>
      </c>
      <c r="H375" t="s">
        <v>724</v>
      </c>
      <c r="I375" t="s">
        <v>1918</v>
      </c>
      <c r="K375" s="2"/>
      <c r="M375" s="2"/>
    </row>
    <row r="376" spans="1:13">
      <c r="A376" t="s">
        <v>28</v>
      </c>
      <c r="B376">
        <f ca="1">IF(OR(changes[[#This Row],[Type]]="Checklist",changes[[#This Row],[Type]]="checklist-flat"),1+IF(changes[[#This Row],[Type of change]] = "Edit",COUNTIFS($I$4:changes[[#This Row],[Name]],changes[[#This Row],[Name]], $E$4:changes[[#This Row],[Type of change]], "Edit")),B375)</f>
        <v>1</v>
      </c>
      <c r="C376" s="16">
        <v>44582</v>
      </c>
      <c r="D376" s="1" t="s">
        <v>2424</v>
      </c>
      <c r="E376" t="s">
        <v>2396</v>
      </c>
      <c r="F376" s="10" t="s">
        <v>9</v>
      </c>
      <c r="G376" s="10" t="s">
        <v>1915</v>
      </c>
      <c r="H376" t="s">
        <v>724</v>
      </c>
      <c r="I376" t="s">
        <v>571</v>
      </c>
      <c r="K376" s="2"/>
      <c r="M376" s="2"/>
    </row>
    <row r="377" spans="1:13">
      <c r="A377" t="s">
        <v>28</v>
      </c>
      <c r="B377">
        <f ca="1">IF(OR(changes[[#This Row],[Type]]="Checklist",changes[[#This Row],[Type]]="checklist-flat"),1+IF(changes[[#This Row],[Type of change]] = "Edit",COUNTIFS($I$4:changes[[#This Row],[Name]],changes[[#This Row],[Name]], $E$4:changes[[#This Row],[Type of change]], "Edit")),B376)</f>
        <v>1</v>
      </c>
      <c r="C377" s="16">
        <v>44582</v>
      </c>
      <c r="D377" s="1" t="s">
        <v>2424</v>
      </c>
      <c r="E377" t="s">
        <v>2396</v>
      </c>
      <c r="F377" s="10" t="s">
        <v>9</v>
      </c>
      <c r="G377" s="10" t="s">
        <v>1915</v>
      </c>
      <c r="H377" t="s">
        <v>724</v>
      </c>
      <c r="I377" t="s">
        <v>1919</v>
      </c>
      <c r="K377" s="2"/>
      <c r="M377" s="2"/>
    </row>
    <row r="378" spans="1:13">
      <c r="A378" t="s">
        <v>28</v>
      </c>
      <c r="B378">
        <f ca="1">IF(OR(changes[[#This Row],[Type]]="Checklist",changes[[#This Row],[Type]]="checklist-flat"),1+IF(changes[[#This Row],[Type of change]] = "Edit",COUNTIFS($I$4:changes[[#This Row],[Name]],changes[[#This Row],[Name]], $E$4:changes[[#This Row],[Type of change]], "Edit")),B377)</f>
        <v>1</v>
      </c>
      <c r="C378" s="16">
        <v>44582</v>
      </c>
      <c r="D378" s="1" t="s">
        <v>2424</v>
      </c>
      <c r="E378" t="s">
        <v>2396</v>
      </c>
      <c r="F378" s="10" t="s">
        <v>9</v>
      </c>
      <c r="G378" s="10" t="s">
        <v>1915</v>
      </c>
      <c r="H378" t="s">
        <v>724</v>
      </c>
      <c r="I378" t="s">
        <v>1920</v>
      </c>
      <c r="K378" s="2"/>
      <c r="M378" s="2"/>
    </row>
    <row r="379" spans="1:13">
      <c r="A379" t="s">
        <v>28</v>
      </c>
      <c r="B379">
        <f ca="1">IF(OR(changes[[#This Row],[Type]]="Checklist",changes[[#This Row],[Type]]="checklist-flat"),1+IF(changes[[#This Row],[Type of change]] = "Edit",COUNTIFS($I$4:changes[[#This Row],[Name]],changes[[#This Row],[Name]], $E$4:changes[[#This Row],[Type of change]], "Edit")),B378)</f>
        <v>1</v>
      </c>
      <c r="C379" s="16">
        <v>44582</v>
      </c>
      <c r="D379" s="1" t="s">
        <v>2424</v>
      </c>
      <c r="E379" t="s">
        <v>2396</v>
      </c>
      <c r="F379" s="10" t="s">
        <v>9</v>
      </c>
      <c r="G379" s="10" t="s">
        <v>1915</v>
      </c>
      <c r="H379" t="s">
        <v>218</v>
      </c>
      <c r="I379" t="s">
        <v>1921</v>
      </c>
      <c r="J379" t="s">
        <v>510</v>
      </c>
      <c r="K379" s="2"/>
      <c r="M379" s="2"/>
    </row>
    <row r="380" spans="1:13">
      <c r="A380" t="s">
        <v>28</v>
      </c>
      <c r="B380">
        <f ca="1">IF(OR(changes[[#This Row],[Type]]="Checklist",changes[[#This Row],[Type]]="checklist-flat"),1+IF(changes[[#This Row],[Type of change]] = "Edit",COUNTIFS($I$4:changes[[#This Row],[Name]],changes[[#This Row],[Name]], $E$4:changes[[#This Row],[Type of change]], "Edit")),B379)</f>
        <v>1</v>
      </c>
      <c r="C380" s="16">
        <v>44582</v>
      </c>
      <c r="D380" s="1" t="s">
        <v>2424</v>
      </c>
      <c r="E380" t="s">
        <v>2396</v>
      </c>
      <c r="F380" s="10" t="s">
        <v>9</v>
      </c>
      <c r="G380" s="10" t="s">
        <v>1915</v>
      </c>
      <c r="H380" t="s">
        <v>724</v>
      </c>
      <c r="I380" t="s">
        <v>1922</v>
      </c>
      <c r="K380" s="2"/>
      <c r="M380" s="2"/>
    </row>
    <row r="381" spans="1:13">
      <c r="A381" t="s">
        <v>28</v>
      </c>
      <c r="B381">
        <f ca="1">IF(OR(changes[[#This Row],[Type]]="Checklist",changes[[#This Row],[Type]]="checklist-flat"),1+IF(changes[[#This Row],[Type of change]] = "Edit",COUNTIFS($I$4:changes[[#This Row],[Name]],changes[[#This Row],[Name]], $E$4:changes[[#This Row],[Type of change]], "Edit")),B380)</f>
        <v>1</v>
      </c>
      <c r="C381" s="16">
        <v>44582</v>
      </c>
      <c r="D381" s="1" t="s">
        <v>2424</v>
      </c>
      <c r="E381" t="s">
        <v>2396</v>
      </c>
      <c r="F381" s="10" t="s">
        <v>9</v>
      </c>
      <c r="G381" s="10" t="s">
        <v>1915</v>
      </c>
      <c r="H381" t="s">
        <v>55</v>
      </c>
      <c r="I381" t="s">
        <v>1923</v>
      </c>
      <c r="K381" s="2"/>
      <c r="M381" s="2"/>
    </row>
    <row r="382" spans="1:13">
      <c r="A382" t="s">
        <v>28</v>
      </c>
      <c r="B382">
        <f ca="1">IF(OR(changes[[#This Row],[Type]]="Checklist",changes[[#This Row],[Type]]="checklist-flat"),1+IF(changes[[#This Row],[Type of change]] = "Edit",COUNTIFS($I$4:changes[[#This Row],[Name]],changes[[#This Row],[Name]], $E$4:changes[[#This Row],[Type of change]], "Edit")),B381)</f>
        <v>1</v>
      </c>
      <c r="C382" s="16">
        <v>44582</v>
      </c>
      <c r="D382" s="1" t="s">
        <v>2424</v>
      </c>
      <c r="E382" t="s">
        <v>2396</v>
      </c>
      <c r="F382" s="10" t="s">
        <v>9</v>
      </c>
      <c r="G382" s="10" t="s">
        <v>1915</v>
      </c>
      <c r="H382" t="s">
        <v>55</v>
      </c>
      <c r="I382" t="s">
        <v>1924</v>
      </c>
      <c r="K382" s="2"/>
      <c r="M382" s="2"/>
    </row>
    <row r="383" spans="1:13">
      <c r="A383" t="s">
        <v>28</v>
      </c>
      <c r="B383">
        <f ca="1">IF(OR(changes[[#This Row],[Type]]="Checklist",changes[[#This Row],[Type]]="checklist-flat"),1+IF(changes[[#This Row],[Type of change]] = "Edit",COUNTIFS($I$4:changes[[#This Row],[Name]],changes[[#This Row],[Name]], $E$4:changes[[#This Row],[Type of change]], "Edit")),B382)</f>
        <v>1</v>
      </c>
      <c r="C383" s="16">
        <v>44582</v>
      </c>
      <c r="D383" s="1" t="s">
        <v>2424</v>
      </c>
      <c r="E383" t="s">
        <v>2396</v>
      </c>
      <c r="F383" s="10" t="s">
        <v>9</v>
      </c>
      <c r="G383" s="10" t="s">
        <v>1915</v>
      </c>
      <c r="H383" t="s">
        <v>55</v>
      </c>
      <c r="I383" t="s">
        <v>1925</v>
      </c>
      <c r="K383" s="2"/>
      <c r="M383" s="2"/>
    </row>
    <row r="384" spans="1:13">
      <c r="A384" t="s">
        <v>28</v>
      </c>
      <c r="B384">
        <f ca="1">IF(OR(changes[[#This Row],[Type]]="Checklist",changes[[#This Row],[Type]]="checklist-flat"),1+IF(changes[[#This Row],[Type of change]] = "Edit",COUNTIFS($I$4:changes[[#This Row],[Name]],changes[[#This Row],[Name]], $E$4:changes[[#This Row],[Type of change]], "Edit")),B383)</f>
        <v>1</v>
      </c>
      <c r="C384" s="16">
        <v>44582</v>
      </c>
      <c r="D384" s="1" t="s">
        <v>2424</v>
      </c>
      <c r="E384" t="s">
        <v>2396</v>
      </c>
      <c r="F384" s="10" t="s">
        <v>9</v>
      </c>
      <c r="G384" s="10" t="s">
        <v>1915</v>
      </c>
      <c r="H384" t="s">
        <v>1926</v>
      </c>
      <c r="I384" t="s">
        <v>1927</v>
      </c>
      <c r="K384" s="2"/>
      <c r="M384" s="2"/>
    </row>
    <row r="385" spans="1:13">
      <c r="A385" t="s">
        <v>28</v>
      </c>
      <c r="B385">
        <f ca="1">IF(OR(changes[[#This Row],[Type]]="Checklist",changes[[#This Row],[Type]]="checklist-flat"),1+IF(changes[[#This Row],[Type of change]] = "Edit",COUNTIFS($I$4:changes[[#This Row],[Name]],changes[[#This Row],[Name]], $E$4:changes[[#This Row],[Type of change]], "Edit")),B384)</f>
        <v>1</v>
      </c>
      <c r="C385" s="16">
        <v>44582</v>
      </c>
      <c r="D385" s="1" t="s">
        <v>2424</v>
      </c>
      <c r="E385" t="s">
        <v>2396</v>
      </c>
      <c r="F385" s="10" t="s">
        <v>9</v>
      </c>
      <c r="G385" s="10" t="s">
        <v>1896</v>
      </c>
      <c r="H385" t="s">
        <v>478</v>
      </c>
      <c r="I385" t="s">
        <v>1896</v>
      </c>
      <c r="K385" s="2"/>
      <c r="M385" s="2"/>
    </row>
    <row r="386" spans="1:13">
      <c r="A386" t="s">
        <v>28</v>
      </c>
      <c r="B386">
        <f ca="1">IF(OR(changes[[#This Row],[Type]]="Checklist",changes[[#This Row],[Type]]="checklist-flat"),1+IF(changes[[#This Row],[Type of change]] = "Edit",COUNTIFS($I$4:changes[[#This Row],[Name]],changes[[#This Row],[Name]], $E$4:changes[[#This Row],[Type of change]], "Edit")),B385)</f>
        <v>1</v>
      </c>
      <c r="C386" s="16">
        <v>44582</v>
      </c>
      <c r="D386" s="1" t="s">
        <v>2424</v>
      </c>
      <c r="E386" t="s">
        <v>2396</v>
      </c>
      <c r="F386" s="10" t="s">
        <v>9</v>
      </c>
      <c r="G386" s="10" t="s">
        <v>1896</v>
      </c>
      <c r="H386" t="s">
        <v>479</v>
      </c>
      <c r="I386" t="s">
        <v>1897</v>
      </c>
      <c r="K386" s="2"/>
      <c r="M386" s="2"/>
    </row>
    <row r="387" spans="1:13">
      <c r="A387" t="s">
        <v>28</v>
      </c>
      <c r="B387">
        <f ca="1">IF(OR(changes[[#This Row],[Type]]="Checklist",changes[[#This Row],[Type]]="checklist-flat"),1+IF(changes[[#This Row],[Type of change]] = "Edit",COUNTIFS($I$4:changes[[#This Row],[Name]],changes[[#This Row],[Name]], $E$4:changes[[#This Row],[Type of change]], "Edit")),B386)</f>
        <v>1</v>
      </c>
      <c r="C387" s="16">
        <v>44582</v>
      </c>
      <c r="D387" s="1" t="s">
        <v>2424</v>
      </c>
      <c r="E387" t="s">
        <v>2396</v>
      </c>
      <c r="F387" s="10" t="s">
        <v>9</v>
      </c>
      <c r="G387" s="10" t="s">
        <v>1896</v>
      </c>
      <c r="H387" t="s">
        <v>55</v>
      </c>
      <c r="I387" t="s">
        <v>1484</v>
      </c>
      <c r="K387" s="2"/>
      <c r="M387" s="2"/>
    </row>
    <row r="388" spans="1:13">
      <c r="A388" t="s">
        <v>28</v>
      </c>
      <c r="B388">
        <f ca="1">IF(OR(changes[[#This Row],[Type]]="Checklist",changes[[#This Row],[Type]]="checklist-flat"),1+IF(changes[[#This Row],[Type of change]] = "Edit",COUNTIFS($I$4:changes[[#This Row],[Name]],changes[[#This Row],[Name]], $E$4:changes[[#This Row],[Type of change]], "Edit")),B387)</f>
        <v>1</v>
      </c>
      <c r="C388" s="16">
        <v>44582</v>
      </c>
      <c r="D388" s="1" t="s">
        <v>2424</v>
      </c>
      <c r="E388" t="s">
        <v>2396</v>
      </c>
      <c r="F388" s="10" t="s">
        <v>9</v>
      </c>
      <c r="G388" s="10" t="s">
        <v>1896</v>
      </c>
      <c r="H388" t="s">
        <v>55</v>
      </c>
      <c r="I388" t="s">
        <v>1898</v>
      </c>
      <c r="K388" s="2"/>
      <c r="M388" s="2"/>
    </row>
    <row r="389" spans="1:13">
      <c r="A389" t="s">
        <v>28</v>
      </c>
      <c r="B389">
        <f ca="1">IF(OR(changes[[#This Row],[Type]]="Checklist",changes[[#This Row],[Type]]="checklist-flat"),1+IF(changes[[#This Row],[Type of change]] = "Edit",COUNTIFS($I$4:changes[[#This Row],[Name]],changes[[#This Row],[Name]], $E$4:changes[[#This Row],[Type of change]], "Edit")),B388)</f>
        <v>1</v>
      </c>
      <c r="C389" s="16">
        <v>44582</v>
      </c>
      <c r="D389" s="1" t="s">
        <v>2424</v>
      </c>
      <c r="E389" t="s">
        <v>2396</v>
      </c>
      <c r="F389" s="10" t="s">
        <v>9</v>
      </c>
      <c r="G389" s="10" t="s">
        <v>1896</v>
      </c>
      <c r="H389" t="s">
        <v>55</v>
      </c>
      <c r="I389" t="s">
        <v>1899</v>
      </c>
      <c r="K389" s="2"/>
      <c r="M389" s="2"/>
    </row>
    <row r="390" spans="1:13">
      <c r="A390" t="s">
        <v>28</v>
      </c>
      <c r="B390">
        <f ca="1">IF(OR(changes[[#This Row],[Type]]="Checklist",changes[[#This Row],[Type]]="checklist-flat"),1+IF(changes[[#This Row],[Type of change]] = "Edit",COUNTIFS($I$4:changes[[#This Row],[Name]],changes[[#This Row],[Name]], $E$4:changes[[#This Row],[Type of change]], "Edit")),B389)</f>
        <v>1</v>
      </c>
      <c r="C390" s="16">
        <v>44582</v>
      </c>
      <c r="D390" s="1" t="s">
        <v>2424</v>
      </c>
      <c r="E390" t="s">
        <v>2396</v>
      </c>
      <c r="F390" s="10" t="s">
        <v>9</v>
      </c>
      <c r="G390" s="10" t="s">
        <v>1896</v>
      </c>
      <c r="H390" s="31" t="s">
        <v>55</v>
      </c>
      <c r="I390" s="31" t="s">
        <v>2425</v>
      </c>
      <c r="J390" s="31"/>
      <c r="K390" s="2"/>
      <c r="M390" s="2"/>
    </row>
    <row r="391" spans="1:13">
      <c r="A391" t="s">
        <v>28</v>
      </c>
      <c r="B391">
        <f ca="1">IF(OR(changes[[#This Row],[Type]]="Checklist",changes[[#This Row],[Type]]="checklist-flat"),1+IF(changes[[#This Row],[Type of change]] = "Edit",COUNTIFS($I$4:changes[[#This Row],[Name]],changes[[#This Row],[Name]], $E$4:changes[[#This Row],[Type of change]], "Edit")),B390)</f>
        <v>1</v>
      </c>
      <c r="C391" s="16">
        <v>44582</v>
      </c>
      <c r="D391" s="1" t="s">
        <v>2424</v>
      </c>
      <c r="E391" t="s">
        <v>2396</v>
      </c>
      <c r="F391" s="10" t="s">
        <v>9</v>
      </c>
      <c r="G391" s="10" t="s">
        <v>1896</v>
      </c>
      <c r="H391" t="s">
        <v>724</v>
      </c>
      <c r="I391" t="s">
        <v>1901</v>
      </c>
      <c r="K391" s="2"/>
      <c r="M391" s="2"/>
    </row>
    <row r="392" spans="1:13">
      <c r="A392" t="s">
        <v>28</v>
      </c>
      <c r="B392">
        <f ca="1">IF(OR(changes[[#This Row],[Type]]="Checklist",changes[[#This Row],[Type]]="checklist-flat"),1+IF(changes[[#This Row],[Type of change]] = "Edit",COUNTIFS($I$4:changes[[#This Row],[Name]],changes[[#This Row],[Name]], $E$4:changes[[#This Row],[Type of change]], "Edit")),B391)</f>
        <v>1</v>
      </c>
      <c r="C392" s="16">
        <v>44582</v>
      </c>
      <c r="D392" s="1" t="s">
        <v>2424</v>
      </c>
      <c r="E392" t="s">
        <v>2396</v>
      </c>
      <c r="F392" s="10" t="s">
        <v>9</v>
      </c>
      <c r="G392" s="10" t="s">
        <v>1896</v>
      </c>
      <c r="H392" t="s">
        <v>55</v>
      </c>
      <c r="I392" t="s">
        <v>1902</v>
      </c>
      <c r="K392" s="2"/>
      <c r="M392" s="2"/>
    </row>
    <row r="393" spans="1:13">
      <c r="A393" t="s">
        <v>28</v>
      </c>
      <c r="B393">
        <f ca="1">IF(OR(changes[[#This Row],[Type]]="Checklist",changes[[#This Row],[Type]]="checklist-flat"),1+IF(changes[[#This Row],[Type of change]] = "Edit",COUNTIFS($I$4:changes[[#This Row],[Name]],changes[[#This Row],[Name]], $E$4:changes[[#This Row],[Type of change]], "Edit")),B392)</f>
        <v>1</v>
      </c>
      <c r="C393" s="16">
        <v>44582</v>
      </c>
      <c r="D393" s="1" t="s">
        <v>2424</v>
      </c>
      <c r="E393" t="s">
        <v>2396</v>
      </c>
      <c r="F393" s="10" t="s">
        <v>9</v>
      </c>
      <c r="G393" s="10" t="s">
        <v>1896</v>
      </c>
      <c r="H393" s="31" t="s">
        <v>55</v>
      </c>
      <c r="I393" s="31" t="s">
        <v>1903</v>
      </c>
      <c r="J393" s="31"/>
      <c r="K393" s="2"/>
      <c r="M393" s="2"/>
    </row>
    <row r="394" spans="1:13">
      <c r="A394" t="s">
        <v>28</v>
      </c>
      <c r="B394">
        <f ca="1">IF(OR(changes[[#This Row],[Type]]="Checklist",changes[[#This Row],[Type]]="checklist-flat"),1+IF(changes[[#This Row],[Type of change]] = "Edit",COUNTIFS($I$4:changes[[#This Row],[Name]],changes[[#This Row],[Name]], $E$4:changes[[#This Row],[Type of change]], "Edit")),B393)</f>
        <v>1</v>
      </c>
      <c r="C394" s="16">
        <v>44582</v>
      </c>
      <c r="D394" s="1" t="s">
        <v>2424</v>
      </c>
      <c r="E394" t="s">
        <v>2396</v>
      </c>
      <c r="F394" s="10" t="s">
        <v>9</v>
      </c>
      <c r="G394" s="10" t="s">
        <v>1896</v>
      </c>
      <c r="H394" t="s">
        <v>479</v>
      </c>
      <c r="I394" t="s">
        <v>1905</v>
      </c>
      <c r="K394" s="2"/>
      <c r="M394" s="2"/>
    </row>
    <row r="395" spans="1:13">
      <c r="A395" t="s">
        <v>28</v>
      </c>
      <c r="B395">
        <f ca="1">IF(OR(changes[[#This Row],[Type]]="Checklist",changes[[#This Row],[Type]]="checklist-flat"),1+IF(changes[[#This Row],[Type of change]] = "Edit",COUNTIFS($I$4:changes[[#This Row],[Name]],changes[[#This Row],[Name]], $E$4:changes[[#This Row],[Type of change]], "Edit")),B394)</f>
        <v>1</v>
      </c>
      <c r="C395" s="16">
        <v>44582</v>
      </c>
      <c r="D395" s="1" t="s">
        <v>2424</v>
      </c>
      <c r="E395" t="s">
        <v>2396</v>
      </c>
      <c r="F395" s="10" t="s">
        <v>9</v>
      </c>
      <c r="G395" s="10" t="s">
        <v>1896</v>
      </c>
      <c r="H395" t="s">
        <v>55</v>
      </c>
      <c r="I395" t="s">
        <v>1484</v>
      </c>
      <c r="K395" s="2"/>
      <c r="M395" s="2"/>
    </row>
    <row r="396" spans="1:13">
      <c r="A396" t="s">
        <v>28</v>
      </c>
      <c r="B396">
        <f ca="1">IF(OR(changes[[#This Row],[Type]]="Checklist",changes[[#This Row],[Type]]="checklist-flat"),1+IF(changes[[#This Row],[Type of change]] = "Edit",COUNTIFS($I$4:changes[[#This Row],[Name]],changes[[#This Row],[Name]], $E$4:changes[[#This Row],[Type of change]], "Edit")),B395)</f>
        <v>1</v>
      </c>
      <c r="C396" s="16">
        <v>44582</v>
      </c>
      <c r="D396" s="1" t="s">
        <v>2424</v>
      </c>
      <c r="E396" t="s">
        <v>2396</v>
      </c>
      <c r="F396" s="10" t="s">
        <v>9</v>
      </c>
      <c r="G396" s="10" t="s">
        <v>1896</v>
      </c>
      <c r="H396" t="s">
        <v>55</v>
      </c>
      <c r="I396" t="s">
        <v>1906</v>
      </c>
      <c r="K396" s="2"/>
      <c r="M396" s="2"/>
    </row>
    <row r="397" spans="1:13">
      <c r="A397" t="s">
        <v>28</v>
      </c>
      <c r="B397">
        <f ca="1">IF(OR(changes[[#This Row],[Type]]="Checklist",changes[[#This Row],[Type]]="checklist-flat"),1+IF(changes[[#This Row],[Type of change]] = "Edit",COUNTIFS($I$4:changes[[#This Row],[Name]],changes[[#This Row],[Name]], $E$4:changes[[#This Row],[Type of change]], "Edit")),B396)</f>
        <v>1</v>
      </c>
      <c r="C397" s="16">
        <v>44582</v>
      </c>
      <c r="D397" s="1" t="s">
        <v>2424</v>
      </c>
      <c r="E397" t="s">
        <v>2396</v>
      </c>
      <c r="F397" s="10" t="s">
        <v>9</v>
      </c>
      <c r="G397" s="10" t="s">
        <v>1896</v>
      </c>
      <c r="H397" s="31" t="s">
        <v>55</v>
      </c>
      <c r="I397" s="31" t="s">
        <v>1907</v>
      </c>
      <c r="J397" s="31"/>
      <c r="K397" s="2"/>
      <c r="M397" s="2"/>
    </row>
    <row r="398" spans="1:13">
      <c r="A398" t="s">
        <v>28</v>
      </c>
      <c r="B398">
        <f ca="1">IF(OR(changes[[#This Row],[Type]]="Checklist",changes[[#This Row],[Type]]="checklist-flat"),1+IF(changes[[#This Row],[Type of change]] = "Edit",COUNTIFS($I$4:changes[[#This Row],[Name]],changes[[#This Row],[Name]], $E$4:changes[[#This Row],[Type of change]], "Edit")),B397)</f>
        <v>1</v>
      </c>
      <c r="C398" s="16">
        <v>44582</v>
      </c>
      <c r="D398" s="1" t="s">
        <v>2424</v>
      </c>
      <c r="E398" t="s">
        <v>2396</v>
      </c>
      <c r="F398" s="10" t="s">
        <v>9</v>
      </c>
      <c r="G398" s="10" t="s">
        <v>1896</v>
      </c>
      <c r="H398" t="s">
        <v>55</v>
      </c>
      <c r="I398" t="s">
        <v>1908</v>
      </c>
      <c r="K398" s="2"/>
      <c r="M398" s="2"/>
    </row>
    <row r="399" spans="1:13">
      <c r="A399" t="s">
        <v>28</v>
      </c>
      <c r="B399">
        <f ca="1">IF(OR(changes[[#This Row],[Type]]="Checklist",changes[[#This Row],[Type]]="checklist-flat"),1+IF(changes[[#This Row],[Type of change]] = "Edit",COUNTIFS($I$4:changes[[#This Row],[Name]],changes[[#This Row],[Name]], $E$4:changes[[#This Row],[Type of change]], "Edit")),B398)</f>
        <v>1</v>
      </c>
      <c r="C399" s="16">
        <v>44582</v>
      </c>
      <c r="D399" s="1" t="s">
        <v>2424</v>
      </c>
      <c r="E399" t="s">
        <v>2396</v>
      </c>
      <c r="F399" s="10" t="s">
        <v>9</v>
      </c>
      <c r="G399" s="10" t="s">
        <v>1896</v>
      </c>
      <c r="H399" t="s">
        <v>55</v>
      </c>
      <c r="I399" t="s">
        <v>1909</v>
      </c>
      <c r="K399" s="2"/>
      <c r="M399" s="2"/>
    </row>
    <row r="400" spans="1:13">
      <c r="A400" t="s">
        <v>28</v>
      </c>
      <c r="B400">
        <f ca="1">IF(OR(changes[[#This Row],[Type]]="Checklist",changes[[#This Row],[Type]]="checklist-flat"),1+IF(changes[[#This Row],[Type of change]] = "Edit",COUNTIFS($I$4:changes[[#This Row],[Name]],changes[[#This Row],[Name]], $E$4:changes[[#This Row],[Type of change]], "Edit")),B399)</f>
        <v>1</v>
      </c>
      <c r="C400" s="16">
        <v>44582</v>
      </c>
      <c r="D400" s="1" t="s">
        <v>2424</v>
      </c>
      <c r="E400" t="s">
        <v>2396</v>
      </c>
      <c r="F400" s="10" t="s">
        <v>9</v>
      </c>
      <c r="G400" s="10" t="s">
        <v>1896</v>
      </c>
      <c r="H400" t="s">
        <v>55</v>
      </c>
      <c r="I400" t="s">
        <v>1910</v>
      </c>
      <c r="K400" s="2"/>
      <c r="M400" s="2"/>
    </row>
    <row r="401" spans="1:13">
      <c r="A401" t="s">
        <v>28</v>
      </c>
      <c r="B401">
        <f ca="1">IF(OR(changes[[#This Row],[Type]]="Checklist",changes[[#This Row],[Type]]="checklist-flat"),1+IF(changes[[#This Row],[Type of change]] = "Edit",COUNTIFS($I$4:changes[[#This Row],[Name]],changes[[#This Row],[Name]], $E$4:changes[[#This Row],[Type of change]], "Edit")),B400)</f>
        <v>1</v>
      </c>
      <c r="C401" s="16">
        <v>44582</v>
      </c>
      <c r="D401" s="1" t="s">
        <v>2424</v>
      </c>
      <c r="E401" t="s">
        <v>2396</v>
      </c>
      <c r="F401" s="10" t="s">
        <v>9</v>
      </c>
      <c r="G401" s="10" t="s">
        <v>1896</v>
      </c>
      <c r="H401" s="31" t="s">
        <v>55</v>
      </c>
      <c r="I401" s="31" t="s">
        <v>1911</v>
      </c>
      <c r="J401" s="31"/>
      <c r="K401" s="2"/>
      <c r="M401" s="2"/>
    </row>
    <row r="402" spans="1:13">
      <c r="A402" t="s">
        <v>28</v>
      </c>
      <c r="B402">
        <f ca="1">IF(OR(changes[[#This Row],[Type]]="Checklist",changes[[#This Row],[Type]]="checklist-flat"),1+IF(changes[[#This Row],[Type of change]] = "Edit",COUNTIFS($I$4:changes[[#This Row],[Name]],changes[[#This Row],[Name]], $E$4:changes[[#This Row],[Type of change]], "Edit")),B401)</f>
        <v>1</v>
      </c>
      <c r="C402" s="16">
        <v>44582</v>
      </c>
      <c r="D402" s="1" t="s">
        <v>2424</v>
      </c>
      <c r="E402" t="s">
        <v>2396</v>
      </c>
      <c r="F402" s="10" t="s">
        <v>9</v>
      </c>
      <c r="G402" s="10" t="s">
        <v>1896</v>
      </c>
      <c r="H402" t="s">
        <v>479</v>
      </c>
      <c r="I402" t="s">
        <v>1912</v>
      </c>
      <c r="K402" s="2"/>
      <c r="M402" s="2"/>
    </row>
    <row r="403" spans="1:13">
      <c r="A403" t="s">
        <v>28</v>
      </c>
      <c r="B403">
        <f ca="1">IF(OR(changes[[#This Row],[Type]]="Checklist",changes[[#This Row],[Type]]="checklist-flat"),1+IF(changes[[#This Row],[Type of change]] = "Edit",COUNTIFS($I$4:changes[[#This Row],[Name]],changes[[#This Row],[Name]], $E$4:changes[[#This Row],[Type of change]], "Edit")),B402)</f>
        <v>1</v>
      </c>
      <c r="C403" s="16">
        <v>44582</v>
      </c>
      <c r="D403" s="1" t="s">
        <v>2424</v>
      </c>
      <c r="E403" t="s">
        <v>2396</v>
      </c>
      <c r="F403" s="10" t="s">
        <v>9</v>
      </c>
      <c r="G403" s="10" t="s">
        <v>1896</v>
      </c>
      <c r="H403" t="s">
        <v>55</v>
      </c>
      <c r="I403" t="s">
        <v>1913</v>
      </c>
      <c r="K403" s="2"/>
      <c r="M403" s="2"/>
    </row>
    <row r="404" spans="1:13">
      <c r="A404" t="s">
        <v>28</v>
      </c>
      <c r="B404">
        <f ca="1">IF(OR(changes[[#This Row],[Type]]="Checklist",changes[[#This Row],[Type]]="checklist-flat"),1+IF(changes[[#This Row],[Type of change]] = "Edit",COUNTIFS($I$4:changes[[#This Row],[Name]],changes[[#This Row],[Name]], $E$4:changes[[#This Row],[Type of change]], "Edit")),B403)</f>
        <v>1</v>
      </c>
      <c r="C404" s="16">
        <v>44582</v>
      </c>
      <c r="D404" s="1" t="s">
        <v>2424</v>
      </c>
      <c r="E404" t="s">
        <v>2396</v>
      </c>
      <c r="F404" s="10" t="s">
        <v>9</v>
      </c>
      <c r="G404" s="10" t="s">
        <v>1896</v>
      </c>
      <c r="H404" t="s">
        <v>55</v>
      </c>
      <c r="I404" t="s">
        <v>1914</v>
      </c>
      <c r="K404" s="2"/>
      <c r="M404" s="2"/>
    </row>
    <row r="405" spans="1:13">
      <c r="A405" t="s">
        <v>28</v>
      </c>
      <c r="B405">
        <f ca="1">IF(OR(changes[[#This Row],[Type]]="Checklist",changes[[#This Row],[Type]]="checklist-flat"),1+IF(changes[[#This Row],[Type of change]] = "Edit",COUNTIFS($I$4:changes[[#This Row],[Name]],changes[[#This Row],[Name]], $E$4:changes[[#This Row],[Type of change]], "Edit")),B404)</f>
        <v>1</v>
      </c>
      <c r="C405" s="16">
        <v>44582</v>
      </c>
      <c r="D405" s="1" t="s">
        <v>2424</v>
      </c>
      <c r="E405" t="s">
        <v>2396</v>
      </c>
      <c r="F405" s="10" t="s">
        <v>9</v>
      </c>
      <c r="G405" s="10" t="s">
        <v>1756</v>
      </c>
      <c r="H405" s="32" t="s">
        <v>478</v>
      </c>
      <c r="I405" s="30" t="s">
        <v>1756</v>
      </c>
      <c r="K405" s="2"/>
      <c r="M405" s="2"/>
    </row>
    <row r="406" spans="1:13">
      <c r="A406" t="s">
        <v>28</v>
      </c>
      <c r="B406">
        <f ca="1">IF(OR(changes[[#This Row],[Type]]="Checklist",changes[[#This Row],[Type]]="checklist-flat"),1+IF(changes[[#This Row],[Type of change]] = "Edit",COUNTIFS($I$4:changes[[#This Row],[Name]],changes[[#This Row],[Name]], $E$4:changes[[#This Row],[Type of change]], "Edit")),B405)</f>
        <v>1</v>
      </c>
      <c r="C406" s="16">
        <v>44582</v>
      </c>
      <c r="D406" s="1" t="s">
        <v>2424</v>
      </c>
      <c r="E406" t="s">
        <v>2396</v>
      </c>
      <c r="F406" s="10" t="s">
        <v>9</v>
      </c>
      <c r="G406" s="10" t="s">
        <v>1756</v>
      </c>
      <c r="H406" s="32" t="s">
        <v>55</v>
      </c>
      <c r="I406" s="30" t="s">
        <v>1722</v>
      </c>
      <c r="K406" s="2"/>
      <c r="M406" s="2"/>
    </row>
    <row r="407" spans="1:13">
      <c r="A407" t="s">
        <v>28</v>
      </c>
      <c r="B407">
        <f ca="1">IF(OR(changes[[#This Row],[Type]]="Checklist",changes[[#This Row],[Type]]="checklist-flat"),1+IF(changes[[#This Row],[Type of change]] = "Edit",COUNTIFS($I$4:changes[[#This Row],[Name]],changes[[#This Row],[Name]], $E$4:changes[[#This Row],[Type of change]], "Edit")),B406)</f>
        <v>1</v>
      </c>
      <c r="C407" s="16">
        <v>44582</v>
      </c>
      <c r="D407" s="1" t="s">
        <v>2424</v>
      </c>
      <c r="E407" t="s">
        <v>2396</v>
      </c>
      <c r="F407" s="10" t="s">
        <v>9</v>
      </c>
      <c r="G407" s="10" t="s">
        <v>1756</v>
      </c>
      <c r="H407" s="32" t="s">
        <v>55</v>
      </c>
      <c r="I407" s="30" t="s">
        <v>1723</v>
      </c>
      <c r="K407" s="2"/>
      <c r="M407" s="2"/>
    </row>
    <row r="408" spans="1:13">
      <c r="A408" t="s">
        <v>28</v>
      </c>
      <c r="B408">
        <f ca="1">IF(OR(changes[[#This Row],[Type]]="Checklist",changes[[#This Row],[Type]]="checklist-flat"),1+IF(changes[[#This Row],[Type of change]] = "Edit",COUNTIFS($I$4:changes[[#This Row],[Name]],changes[[#This Row],[Name]], $E$4:changes[[#This Row],[Type of change]], "Edit")),B407)</f>
        <v>1</v>
      </c>
      <c r="C408" s="16">
        <v>44582</v>
      </c>
      <c r="D408" s="1" t="s">
        <v>2424</v>
      </c>
      <c r="E408" t="s">
        <v>2396</v>
      </c>
      <c r="F408" s="10" t="s">
        <v>9</v>
      </c>
      <c r="G408" s="10" t="s">
        <v>1756</v>
      </c>
      <c r="H408" s="32" t="s">
        <v>55</v>
      </c>
      <c r="I408" s="30" t="s">
        <v>1724</v>
      </c>
      <c r="K408" s="2"/>
      <c r="M408" s="2"/>
    </row>
    <row r="409" spans="1:13">
      <c r="A409" t="s">
        <v>28</v>
      </c>
      <c r="B409">
        <f ca="1">IF(OR(changes[[#This Row],[Type]]="Checklist",changes[[#This Row],[Type]]="checklist-flat"),1+IF(changes[[#This Row],[Type of change]] = "Edit",COUNTIFS($I$4:changes[[#This Row],[Name]],changes[[#This Row],[Name]], $E$4:changes[[#This Row],[Type of change]], "Edit")),B408)</f>
        <v>1</v>
      </c>
      <c r="C409" s="16">
        <v>44582</v>
      </c>
      <c r="D409" s="1" t="s">
        <v>2424</v>
      </c>
      <c r="E409" t="s">
        <v>2396</v>
      </c>
      <c r="F409" s="10" t="s">
        <v>9</v>
      </c>
      <c r="G409" s="10" t="s">
        <v>1756</v>
      </c>
      <c r="H409" s="32" t="s">
        <v>55</v>
      </c>
      <c r="I409" s="30" t="s">
        <v>1725</v>
      </c>
      <c r="K409" s="2"/>
      <c r="M409" s="2"/>
    </row>
    <row r="410" spans="1:13">
      <c r="A410" t="s">
        <v>28</v>
      </c>
      <c r="B410">
        <f ca="1">IF(OR(changes[[#This Row],[Type]]="Checklist",changes[[#This Row],[Type]]="checklist-flat"),1+IF(changes[[#This Row],[Type of change]] = "Edit",COUNTIFS($I$4:changes[[#This Row],[Name]],changes[[#This Row],[Name]], $E$4:changes[[#This Row],[Type of change]], "Edit")),B409)</f>
        <v>1</v>
      </c>
      <c r="C410" s="16">
        <v>44582</v>
      </c>
      <c r="D410" s="1" t="s">
        <v>2424</v>
      </c>
      <c r="E410" t="s">
        <v>2396</v>
      </c>
      <c r="F410" s="10" t="s">
        <v>9</v>
      </c>
      <c r="G410" s="10" t="s">
        <v>1756</v>
      </c>
      <c r="H410" s="32" t="s">
        <v>55</v>
      </c>
      <c r="I410" s="30" t="s">
        <v>1726</v>
      </c>
      <c r="K410" s="2"/>
      <c r="M410" s="2"/>
    </row>
    <row r="411" spans="1:13">
      <c r="A411" t="s">
        <v>28</v>
      </c>
      <c r="B411">
        <f ca="1">IF(OR(changes[[#This Row],[Type]]="Checklist",changes[[#This Row],[Type]]="checklist-flat"),1+IF(changes[[#This Row],[Type of change]] = "Edit",COUNTIFS($I$4:changes[[#This Row],[Name]],changes[[#This Row],[Name]], $E$4:changes[[#This Row],[Type of change]], "Edit")),B410)</f>
        <v>1</v>
      </c>
      <c r="C411" s="16">
        <v>44582</v>
      </c>
      <c r="D411" s="1" t="s">
        <v>2424</v>
      </c>
      <c r="E411" t="s">
        <v>2396</v>
      </c>
      <c r="F411" s="10" t="s">
        <v>9</v>
      </c>
      <c r="G411" s="10" t="s">
        <v>1756</v>
      </c>
      <c r="H411" s="32" t="s">
        <v>99</v>
      </c>
      <c r="I411" s="30" t="s">
        <v>1727</v>
      </c>
      <c r="K411" s="2"/>
      <c r="M411" s="2"/>
    </row>
    <row r="412" spans="1:13">
      <c r="A412" t="s">
        <v>28</v>
      </c>
      <c r="B412">
        <f ca="1">IF(OR(changes[[#This Row],[Type]]="Checklist",changes[[#This Row],[Type]]="checklist-flat"),1+IF(changes[[#This Row],[Type of change]] = "Edit",COUNTIFS($I$4:changes[[#This Row],[Name]],changes[[#This Row],[Name]], $E$4:changes[[#This Row],[Type of change]], "Edit")),B411)</f>
        <v>1</v>
      </c>
      <c r="C412" s="16">
        <v>44582</v>
      </c>
      <c r="D412" s="1" t="s">
        <v>2424</v>
      </c>
      <c r="E412" t="s">
        <v>2396</v>
      </c>
      <c r="F412" s="10" t="s">
        <v>9</v>
      </c>
      <c r="G412" s="10" t="s">
        <v>1756</v>
      </c>
      <c r="H412" s="32" t="s">
        <v>99</v>
      </c>
      <c r="I412" s="30" t="s">
        <v>1728</v>
      </c>
      <c r="K412" s="2"/>
      <c r="M412" s="2"/>
    </row>
    <row r="413" spans="1:13">
      <c r="A413" t="s">
        <v>28</v>
      </c>
      <c r="B413">
        <f ca="1">IF(OR(changes[[#This Row],[Type]]="Checklist",changes[[#This Row],[Type]]="checklist-flat"),1+IF(changes[[#This Row],[Type of change]] = "Edit",COUNTIFS($I$4:changes[[#This Row],[Name]],changes[[#This Row],[Name]], $E$4:changes[[#This Row],[Type of change]], "Edit")),B412)</f>
        <v>1</v>
      </c>
      <c r="C413" s="16">
        <v>44582</v>
      </c>
      <c r="D413" s="1" t="s">
        <v>2424</v>
      </c>
      <c r="E413" t="s">
        <v>2396</v>
      </c>
      <c r="F413" s="10" t="s">
        <v>9</v>
      </c>
      <c r="G413" s="10" t="s">
        <v>1756</v>
      </c>
      <c r="H413" s="32" t="s">
        <v>55</v>
      </c>
      <c r="I413" s="30" t="s">
        <v>1729</v>
      </c>
      <c r="K413" s="2"/>
      <c r="M413" s="2"/>
    </row>
    <row r="414" spans="1:13">
      <c r="A414" t="s">
        <v>28</v>
      </c>
      <c r="B414">
        <f ca="1">IF(OR(changes[[#This Row],[Type]]="Checklist",changes[[#This Row],[Type]]="checklist-flat"),1+IF(changes[[#This Row],[Type of change]] = "Edit",COUNTIFS($I$4:changes[[#This Row],[Name]],changes[[#This Row],[Name]], $E$4:changes[[#This Row],[Type of change]], "Edit")),B413)</f>
        <v>1</v>
      </c>
      <c r="C414" s="16">
        <v>44582</v>
      </c>
      <c r="D414" s="1" t="s">
        <v>2424</v>
      </c>
      <c r="E414" t="s">
        <v>2396</v>
      </c>
      <c r="F414" s="10" t="s">
        <v>9</v>
      </c>
      <c r="G414" s="10" t="s">
        <v>1756</v>
      </c>
      <c r="H414" s="32" t="s">
        <v>55</v>
      </c>
      <c r="I414" s="30" t="s">
        <v>1730</v>
      </c>
      <c r="K414" s="2"/>
      <c r="M414" s="2"/>
    </row>
    <row r="415" spans="1:13">
      <c r="A415" t="s">
        <v>28</v>
      </c>
      <c r="B415">
        <f ca="1">IF(OR(changes[[#This Row],[Type]]="Checklist",changes[[#This Row],[Type]]="checklist-flat"),1+IF(changes[[#This Row],[Type of change]] = "Edit",COUNTIFS($I$4:changes[[#This Row],[Name]],changes[[#This Row],[Name]], $E$4:changes[[#This Row],[Type of change]], "Edit")),B414)</f>
        <v>1</v>
      </c>
      <c r="C415" s="16">
        <v>44582</v>
      </c>
      <c r="D415" s="1" t="s">
        <v>2424</v>
      </c>
      <c r="E415" t="s">
        <v>2396</v>
      </c>
      <c r="F415" s="10" t="s">
        <v>9</v>
      </c>
      <c r="G415" s="10" t="s">
        <v>1756</v>
      </c>
      <c r="H415" s="32" t="s">
        <v>55</v>
      </c>
      <c r="I415" s="30" t="s">
        <v>1731</v>
      </c>
      <c r="K415" s="2"/>
      <c r="M415" s="2"/>
    </row>
    <row r="416" spans="1:13">
      <c r="A416" t="s">
        <v>28</v>
      </c>
      <c r="B416">
        <f ca="1">IF(OR(changes[[#This Row],[Type]]="Checklist",changes[[#This Row],[Type]]="checklist-flat"),1+IF(changes[[#This Row],[Type of change]] = "Edit",COUNTIFS($I$4:changes[[#This Row],[Name]],changes[[#This Row],[Name]], $E$4:changes[[#This Row],[Type of change]], "Edit")),B415)</f>
        <v>1</v>
      </c>
      <c r="C416" s="16">
        <v>44582</v>
      </c>
      <c r="D416" s="1" t="s">
        <v>2424</v>
      </c>
      <c r="E416" t="s">
        <v>2396</v>
      </c>
      <c r="F416" s="10" t="s">
        <v>9</v>
      </c>
      <c r="G416" s="10" t="s">
        <v>1756</v>
      </c>
      <c r="H416" s="32" t="s">
        <v>55</v>
      </c>
      <c r="I416" s="30" t="s">
        <v>1732</v>
      </c>
      <c r="K416" s="2"/>
      <c r="M416" s="2"/>
    </row>
    <row r="417" spans="1:13">
      <c r="A417" t="s">
        <v>28</v>
      </c>
      <c r="B417">
        <f ca="1">IF(OR(changes[[#This Row],[Type]]="Checklist",changes[[#This Row],[Type]]="checklist-flat"),1+IF(changes[[#This Row],[Type of change]] = "Edit",COUNTIFS($I$4:changes[[#This Row],[Name]],changes[[#This Row],[Name]], $E$4:changes[[#This Row],[Type of change]], "Edit")),B416)</f>
        <v>1</v>
      </c>
      <c r="C417" s="16">
        <v>44582</v>
      </c>
      <c r="D417" s="1" t="s">
        <v>2424</v>
      </c>
      <c r="E417" t="s">
        <v>2396</v>
      </c>
      <c r="F417" s="10" t="s">
        <v>9</v>
      </c>
      <c r="G417" s="10" t="s">
        <v>1756</v>
      </c>
      <c r="H417" s="32" t="s">
        <v>55</v>
      </c>
      <c r="I417" s="30" t="s">
        <v>1583</v>
      </c>
      <c r="K417" s="2"/>
      <c r="M417" s="2"/>
    </row>
    <row r="418" spans="1:13">
      <c r="A418" t="s">
        <v>28</v>
      </c>
      <c r="B418">
        <f ca="1">IF(OR(changes[[#This Row],[Type]]="Checklist",changes[[#This Row],[Type]]="checklist-flat"),1+IF(changes[[#This Row],[Type of change]] = "Edit",COUNTIFS($I$4:changes[[#This Row],[Name]],changes[[#This Row],[Name]], $E$4:changes[[#This Row],[Type of change]], "Edit")),B417)</f>
        <v>1</v>
      </c>
      <c r="C418" s="16">
        <v>44582</v>
      </c>
      <c r="D418" s="1" t="s">
        <v>2424</v>
      </c>
      <c r="E418" t="s">
        <v>2396</v>
      </c>
      <c r="F418" s="10" t="s">
        <v>9</v>
      </c>
      <c r="G418" s="10" t="s">
        <v>1756</v>
      </c>
      <c r="H418" s="32" t="s">
        <v>55</v>
      </c>
      <c r="I418" s="30" t="s">
        <v>1733</v>
      </c>
      <c r="K418" s="2"/>
      <c r="M418" s="2"/>
    </row>
    <row r="419" spans="1:13">
      <c r="A419" t="s">
        <v>28</v>
      </c>
      <c r="B419">
        <f ca="1">IF(OR(changes[[#This Row],[Type]]="Checklist",changes[[#This Row],[Type]]="checklist-flat"),1+IF(changes[[#This Row],[Type of change]] = "Edit",COUNTIFS($I$4:changes[[#This Row],[Name]],changes[[#This Row],[Name]], $E$4:changes[[#This Row],[Type of change]], "Edit")),B418)</f>
        <v>1</v>
      </c>
      <c r="C419" s="16">
        <v>44582</v>
      </c>
      <c r="D419" s="1" t="s">
        <v>2424</v>
      </c>
      <c r="E419" t="s">
        <v>2396</v>
      </c>
      <c r="F419" s="10" t="s">
        <v>9</v>
      </c>
      <c r="G419" s="10" t="s">
        <v>1825</v>
      </c>
      <c r="H419" t="s">
        <v>478</v>
      </c>
      <c r="I419" s="30" t="s">
        <v>1825</v>
      </c>
      <c r="K419" s="2"/>
      <c r="M419" s="2"/>
    </row>
    <row r="420" spans="1:13">
      <c r="A420" t="s">
        <v>28</v>
      </c>
      <c r="B420">
        <f ca="1">IF(OR(changes[[#This Row],[Type]]="Checklist",changes[[#This Row],[Type]]="checklist-flat"),1+IF(changes[[#This Row],[Type of change]] = "Edit",COUNTIFS($I$4:changes[[#This Row],[Name]],changes[[#This Row],[Name]], $E$4:changes[[#This Row],[Type of change]], "Edit")),B419)</f>
        <v>1</v>
      </c>
      <c r="C420" s="16">
        <v>44582</v>
      </c>
      <c r="D420" s="1" t="s">
        <v>2424</v>
      </c>
      <c r="E420" t="s">
        <v>2396</v>
      </c>
      <c r="F420" s="10" t="s">
        <v>9</v>
      </c>
      <c r="G420" s="10" t="s">
        <v>1825</v>
      </c>
      <c r="H420" t="s">
        <v>55</v>
      </c>
      <c r="I420" s="30" t="s">
        <v>1826</v>
      </c>
      <c r="K420" s="2"/>
      <c r="M420" s="2"/>
    </row>
    <row r="421" spans="1:13">
      <c r="A421" t="s">
        <v>28</v>
      </c>
      <c r="B421">
        <f ca="1">IF(OR(changes[[#This Row],[Type]]="Checklist",changes[[#This Row],[Type]]="checklist-flat"),1+IF(changes[[#This Row],[Type of change]] = "Edit",COUNTIFS($I$4:changes[[#This Row],[Name]],changes[[#This Row],[Name]], $E$4:changes[[#This Row],[Type of change]], "Edit")),B420)</f>
        <v>1</v>
      </c>
      <c r="C421" s="16">
        <v>44582</v>
      </c>
      <c r="D421" s="1" t="s">
        <v>2424</v>
      </c>
      <c r="E421" t="s">
        <v>2396</v>
      </c>
      <c r="F421" s="10" t="s">
        <v>9</v>
      </c>
      <c r="G421" s="10" t="s">
        <v>1825</v>
      </c>
      <c r="H421" t="s">
        <v>55</v>
      </c>
      <c r="I421" s="30" t="s">
        <v>1827</v>
      </c>
      <c r="K421" s="2"/>
      <c r="M421" s="2"/>
    </row>
    <row r="422" spans="1:13">
      <c r="A422" t="s">
        <v>28</v>
      </c>
      <c r="B422">
        <f ca="1">IF(OR(changes[[#This Row],[Type]]="Checklist",changes[[#This Row],[Type]]="checklist-flat"),1+IF(changes[[#This Row],[Type of change]] = "Edit",COUNTIFS($I$4:changes[[#This Row],[Name]],changes[[#This Row],[Name]], $E$4:changes[[#This Row],[Type of change]], "Edit")),B421)</f>
        <v>1</v>
      </c>
      <c r="C422" s="16">
        <v>44582</v>
      </c>
      <c r="D422" s="1" t="s">
        <v>2424</v>
      </c>
      <c r="E422" t="s">
        <v>2396</v>
      </c>
      <c r="F422" s="10" t="s">
        <v>9</v>
      </c>
      <c r="G422" s="10" t="s">
        <v>1825</v>
      </c>
      <c r="H422" t="s">
        <v>55</v>
      </c>
      <c r="I422" s="30" t="s">
        <v>1828</v>
      </c>
      <c r="K422" s="2"/>
      <c r="M422" s="2"/>
    </row>
    <row r="423" spans="1:13">
      <c r="A423" t="s">
        <v>28</v>
      </c>
      <c r="B423">
        <f ca="1">IF(OR(changes[[#This Row],[Type]]="Checklist",changes[[#This Row],[Type]]="checklist-flat"),1+IF(changes[[#This Row],[Type of change]] = "Edit",COUNTIFS($I$4:changes[[#This Row],[Name]],changes[[#This Row],[Name]], $E$4:changes[[#This Row],[Type of change]], "Edit")),B422)</f>
        <v>1</v>
      </c>
      <c r="C423" s="16">
        <v>44582</v>
      </c>
      <c r="D423" s="1" t="s">
        <v>2424</v>
      </c>
      <c r="E423" t="s">
        <v>2396</v>
      </c>
      <c r="F423" s="10" t="s">
        <v>9</v>
      </c>
      <c r="G423" s="10" t="s">
        <v>1825</v>
      </c>
      <c r="H423" t="s">
        <v>55</v>
      </c>
      <c r="I423" s="30" t="s">
        <v>1817</v>
      </c>
      <c r="K423" s="2"/>
      <c r="M423" s="2"/>
    </row>
    <row r="424" spans="1:13">
      <c r="A424" t="s">
        <v>28</v>
      </c>
      <c r="B424">
        <f ca="1">IF(OR(changes[[#This Row],[Type]]="Checklist",changes[[#This Row],[Type]]="checklist-flat"),1+IF(changes[[#This Row],[Type of change]] = "Edit",COUNTIFS($I$4:changes[[#This Row],[Name]],changes[[#This Row],[Name]], $E$4:changes[[#This Row],[Type of change]], "Edit")),B423)</f>
        <v>1</v>
      </c>
      <c r="C424" s="16">
        <v>44582</v>
      </c>
      <c r="D424" s="1" t="s">
        <v>2424</v>
      </c>
      <c r="E424" t="s">
        <v>2396</v>
      </c>
      <c r="F424" s="10" t="s">
        <v>9</v>
      </c>
      <c r="G424" s="10" t="s">
        <v>1825</v>
      </c>
      <c r="H424" t="s">
        <v>55</v>
      </c>
      <c r="I424" s="30" t="s">
        <v>2426</v>
      </c>
      <c r="K424" s="2"/>
      <c r="M424" s="2"/>
    </row>
    <row r="425" spans="1:13">
      <c r="A425" t="s">
        <v>28</v>
      </c>
      <c r="B425">
        <f ca="1">IF(OR(changes[[#This Row],[Type]]="Checklist",changes[[#This Row],[Type]]="checklist-flat"),1+IF(changes[[#This Row],[Type of change]] = "Edit",COUNTIFS($I$4:changes[[#This Row],[Name]],changes[[#This Row],[Name]], $E$4:changes[[#This Row],[Type of change]], "Edit")),B424)</f>
        <v>1</v>
      </c>
      <c r="C425" s="16">
        <v>44600</v>
      </c>
      <c r="D425" s="1" t="s">
        <v>2424</v>
      </c>
      <c r="E425" t="s">
        <v>2396</v>
      </c>
      <c r="F425" s="10" t="s">
        <v>9</v>
      </c>
      <c r="G425" s="10" t="s">
        <v>1694</v>
      </c>
      <c r="H425" t="s">
        <v>478</v>
      </c>
      <c r="I425" t="s">
        <v>1694</v>
      </c>
      <c r="K425" s="2"/>
      <c r="M425" s="2"/>
    </row>
    <row r="426" spans="1:13">
      <c r="A426" t="s">
        <v>28</v>
      </c>
      <c r="B426">
        <f ca="1">IF(OR(changes[[#This Row],[Type]]="Checklist",changes[[#This Row],[Type]]="checklist-flat"),1+IF(changes[[#This Row],[Type of change]] = "Edit",COUNTIFS($I$4:changes[[#This Row],[Name]],changes[[#This Row],[Name]], $E$4:changes[[#This Row],[Type of change]], "Edit")),B425)</f>
        <v>1</v>
      </c>
      <c r="C426" s="16">
        <v>44600</v>
      </c>
      <c r="D426" s="1" t="s">
        <v>2424</v>
      </c>
      <c r="E426" t="s">
        <v>2396</v>
      </c>
      <c r="F426" s="10" t="s">
        <v>9</v>
      </c>
      <c r="G426" s="10" t="s">
        <v>1694</v>
      </c>
      <c r="H426" t="s">
        <v>269</v>
      </c>
      <c r="I426" t="s">
        <v>1695</v>
      </c>
      <c r="K426" s="2"/>
      <c r="M426" s="2"/>
    </row>
    <row r="427" spans="1:13">
      <c r="A427" t="s">
        <v>28</v>
      </c>
      <c r="B427">
        <f ca="1">IF(OR(changes[[#This Row],[Type]]="Checklist",changes[[#This Row],[Type]]="checklist-flat"),1+IF(changes[[#This Row],[Type of change]] = "Edit",COUNTIFS($I$4:changes[[#This Row],[Name]],changes[[#This Row],[Name]], $E$4:changes[[#This Row],[Type of change]], "Edit")),B426)</f>
        <v>1</v>
      </c>
      <c r="C427" s="16">
        <v>44600</v>
      </c>
      <c r="D427" s="1" t="s">
        <v>2424</v>
      </c>
      <c r="E427" t="s">
        <v>2396</v>
      </c>
      <c r="F427" s="10" t="s">
        <v>9</v>
      </c>
      <c r="G427" s="10" t="s">
        <v>1694</v>
      </c>
      <c r="H427" t="s">
        <v>1696</v>
      </c>
      <c r="I427" t="s">
        <v>1697</v>
      </c>
      <c r="K427" s="2"/>
      <c r="M427" s="2"/>
    </row>
    <row r="428" spans="1:13">
      <c r="A428" t="s">
        <v>28</v>
      </c>
      <c r="B428">
        <f ca="1">IF(OR(changes[[#This Row],[Type]]="Checklist",changes[[#This Row],[Type]]="checklist-flat"),1+IF(changes[[#This Row],[Type of change]] = "Edit",COUNTIFS($I$4:changes[[#This Row],[Name]],changes[[#This Row],[Name]], $E$4:changes[[#This Row],[Type of change]], "Edit")),B427)</f>
        <v>1</v>
      </c>
      <c r="C428" s="16">
        <v>44600</v>
      </c>
      <c r="D428" s="1" t="s">
        <v>2424</v>
      </c>
      <c r="E428" t="s">
        <v>2396</v>
      </c>
      <c r="F428" s="10" t="s">
        <v>9</v>
      </c>
      <c r="G428" s="10" t="s">
        <v>1694</v>
      </c>
      <c r="H428" t="s">
        <v>269</v>
      </c>
      <c r="I428" t="s">
        <v>1698</v>
      </c>
      <c r="K428" s="2"/>
      <c r="M428" s="2"/>
    </row>
    <row r="429" spans="1:13">
      <c r="A429" t="s">
        <v>28</v>
      </c>
      <c r="B429">
        <f ca="1">IF(OR(changes[[#This Row],[Type]]="Checklist",changes[[#This Row],[Type]]="checklist-flat"),1+IF(changes[[#This Row],[Type of change]] = "Edit",COUNTIFS($I$4:changes[[#This Row],[Name]],changes[[#This Row],[Name]], $E$4:changes[[#This Row],[Type of change]], "Edit")),B428)</f>
        <v>1</v>
      </c>
      <c r="C429" s="16">
        <v>44600</v>
      </c>
      <c r="D429" s="1" t="s">
        <v>2424</v>
      </c>
      <c r="E429" t="s">
        <v>2396</v>
      </c>
      <c r="F429" s="10" t="s">
        <v>9</v>
      </c>
      <c r="G429" s="10" t="s">
        <v>1694</v>
      </c>
      <c r="H429" t="s">
        <v>269</v>
      </c>
      <c r="I429" t="s">
        <v>1699</v>
      </c>
      <c r="K429" s="2"/>
      <c r="M429" s="2"/>
    </row>
    <row r="430" spans="1:13">
      <c r="A430" t="s">
        <v>28</v>
      </c>
      <c r="B430">
        <f ca="1">IF(OR(changes[[#This Row],[Type]]="Checklist",changes[[#This Row],[Type]]="checklist-flat"),1+IF(changes[[#This Row],[Type of change]] = "Edit",COUNTIFS($I$4:changes[[#This Row],[Name]],changes[[#This Row],[Name]], $E$4:changes[[#This Row],[Type of change]], "Edit")),B429)</f>
        <v>1</v>
      </c>
      <c r="C430" s="16">
        <v>44600</v>
      </c>
      <c r="D430" s="1" t="s">
        <v>2424</v>
      </c>
      <c r="E430" t="s">
        <v>2396</v>
      </c>
      <c r="F430" s="10" t="s">
        <v>9</v>
      </c>
      <c r="G430" s="10" t="s">
        <v>1694</v>
      </c>
      <c r="H430" t="s">
        <v>269</v>
      </c>
      <c r="I430" t="s">
        <v>1700</v>
      </c>
      <c r="K430" s="2"/>
      <c r="M430" s="2"/>
    </row>
    <row r="431" spans="1:13">
      <c r="A431" t="s">
        <v>28</v>
      </c>
      <c r="B431">
        <f ca="1">IF(OR(changes[[#This Row],[Type]]="Checklist",changes[[#This Row],[Type]]="checklist-flat"),1+IF(changes[[#This Row],[Type of change]] = "Edit",COUNTIFS($I$4:changes[[#This Row],[Name]],changes[[#This Row],[Name]], $E$4:changes[[#This Row],[Type of change]], "Edit")),B430)</f>
        <v>1</v>
      </c>
      <c r="C431" s="16">
        <v>44600</v>
      </c>
      <c r="D431" s="1" t="s">
        <v>2424</v>
      </c>
      <c r="E431" t="s">
        <v>2396</v>
      </c>
      <c r="F431" s="10" t="s">
        <v>9</v>
      </c>
      <c r="G431" s="10" t="s">
        <v>1694</v>
      </c>
      <c r="H431" t="s">
        <v>269</v>
      </c>
      <c r="I431" t="s">
        <v>1701</v>
      </c>
      <c r="K431" s="2"/>
      <c r="M431" s="2"/>
    </row>
    <row r="432" spans="1:13">
      <c r="A432" t="s">
        <v>28</v>
      </c>
      <c r="B432">
        <f ca="1">IF(OR(changes[[#This Row],[Type]]="Checklist",changes[[#This Row],[Type]]="checklist-flat"),1+IF(changes[[#This Row],[Type of change]] = "Edit",COUNTIFS($I$4:changes[[#This Row],[Name]],changes[[#This Row],[Name]], $E$4:changes[[#This Row],[Type of change]], "Edit")),B431)</f>
        <v>1</v>
      </c>
      <c r="C432" s="16">
        <v>44600</v>
      </c>
      <c r="D432" s="1" t="s">
        <v>2424</v>
      </c>
      <c r="E432" t="s">
        <v>2396</v>
      </c>
      <c r="F432" s="10" t="s">
        <v>9</v>
      </c>
      <c r="G432" s="10" t="s">
        <v>168</v>
      </c>
      <c r="H432" s="33" t="s">
        <v>478</v>
      </c>
      <c r="I432" s="33" t="s">
        <v>168</v>
      </c>
      <c r="K432" s="2"/>
      <c r="M432" s="2"/>
    </row>
    <row r="433" spans="1:13">
      <c r="A433" t="s">
        <v>28</v>
      </c>
      <c r="B433">
        <f ca="1">IF(OR(changes[[#This Row],[Type]]="Checklist",changes[[#This Row],[Type]]="checklist-flat"),1+IF(changes[[#This Row],[Type of change]] = "Edit",COUNTIFS($I$4:changes[[#This Row],[Name]],changes[[#This Row],[Name]], $E$4:changes[[#This Row],[Type of change]], "Edit")),B432)</f>
        <v>1</v>
      </c>
      <c r="C433" s="16">
        <v>44600</v>
      </c>
      <c r="D433" s="1" t="s">
        <v>2424</v>
      </c>
      <c r="E433" t="s">
        <v>2396</v>
      </c>
      <c r="F433" s="10" t="s">
        <v>9</v>
      </c>
      <c r="G433" s="10" t="s">
        <v>168</v>
      </c>
      <c r="H433" s="30" t="s">
        <v>55</v>
      </c>
      <c r="I433" s="30" t="s">
        <v>169</v>
      </c>
      <c r="K433" s="2"/>
      <c r="M433" s="2"/>
    </row>
    <row r="434" spans="1:13">
      <c r="A434" t="s">
        <v>28</v>
      </c>
      <c r="B434">
        <f ca="1">IF(OR(changes[[#This Row],[Type]]="Checklist",changes[[#This Row],[Type]]="checklist-flat"),1+IF(changes[[#This Row],[Type of change]] = "Edit",COUNTIFS($I$4:changes[[#This Row],[Name]],changes[[#This Row],[Name]], $E$4:changes[[#This Row],[Type of change]], "Edit")),B433)</f>
        <v>1</v>
      </c>
      <c r="C434" s="16">
        <v>44600</v>
      </c>
      <c r="D434" s="1" t="s">
        <v>2424</v>
      </c>
      <c r="E434" t="s">
        <v>2396</v>
      </c>
      <c r="F434" s="10" t="s">
        <v>9</v>
      </c>
      <c r="G434" s="10" t="s">
        <v>168</v>
      </c>
      <c r="H434" s="30" t="s">
        <v>55</v>
      </c>
      <c r="I434" s="34" t="s">
        <v>170</v>
      </c>
      <c r="K434" s="2"/>
      <c r="M434" s="2"/>
    </row>
    <row r="435" spans="1:13">
      <c r="A435" t="s">
        <v>28</v>
      </c>
      <c r="B435">
        <f ca="1">IF(OR(changes[[#This Row],[Type]]="Checklist",changes[[#This Row],[Type]]="checklist-flat"),1+IF(changes[[#This Row],[Type of change]] = "Edit",COUNTIFS($I$4:changes[[#This Row],[Name]],changes[[#This Row],[Name]], $E$4:changes[[#This Row],[Type of change]], "Edit")),B434)</f>
        <v>1</v>
      </c>
      <c r="C435" s="16">
        <v>44600</v>
      </c>
      <c r="D435" s="1" t="s">
        <v>2424</v>
      </c>
      <c r="E435" t="s">
        <v>2396</v>
      </c>
      <c r="F435" s="10" t="s">
        <v>9</v>
      </c>
      <c r="G435" s="10" t="s">
        <v>168</v>
      </c>
      <c r="H435" s="30" t="s">
        <v>55</v>
      </c>
      <c r="I435" s="30" t="s">
        <v>171</v>
      </c>
      <c r="K435" s="2"/>
      <c r="M435" s="2"/>
    </row>
    <row r="436" spans="1:13">
      <c r="A436" t="s">
        <v>28</v>
      </c>
      <c r="B436">
        <f ca="1">IF(OR(changes[[#This Row],[Type]]="Checklist",changes[[#This Row],[Type]]="checklist-flat"),1+IF(changes[[#This Row],[Type of change]] = "Edit",COUNTIFS($I$4:changes[[#This Row],[Name]],changes[[#This Row],[Name]], $E$4:changes[[#This Row],[Type of change]], "Edit")),B435)</f>
        <v>1</v>
      </c>
      <c r="C436" s="16">
        <v>44600</v>
      </c>
      <c r="D436" s="1" t="s">
        <v>2424</v>
      </c>
      <c r="E436" t="s">
        <v>2396</v>
      </c>
      <c r="F436" s="10" t="s">
        <v>9</v>
      </c>
      <c r="G436" s="10" t="s">
        <v>168</v>
      </c>
      <c r="H436" s="30" t="s">
        <v>55</v>
      </c>
      <c r="I436" s="30" t="s">
        <v>172</v>
      </c>
      <c r="K436" s="2"/>
      <c r="M436" s="2"/>
    </row>
    <row r="437" spans="1:13">
      <c r="A437" t="s">
        <v>28</v>
      </c>
      <c r="B437">
        <f ca="1">IF(OR(changes[[#This Row],[Type]]="Checklist",changes[[#This Row],[Type]]="checklist-flat"),1+IF(changes[[#This Row],[Type of change]] = "Edit",COUNTIFS($I$4:changes[[#This Row],[Name]],changes[[#This Row],[Name]], $E$4:changes[[#This Row],[Type of change]], "Edit")),B436)</f>
        <v>1</v>
      </c>
      <c r="C437" s="16">
        <v>44600</v>
      </c>
      <c r="D437" s="1" t="s">
        <v>2424</v>
      </c>
      <c r="E437" t="s">
        <v>2396</v>
      </c>
      <c r="F437" s="10" t="s">
        <v>9</v>
      </c>
      <c r="G437" s="10" t="s">
        <v>168</v>
      </c>
      <c r="H437" s="30" t="s">
        <v>55</v>
      </c>
      <c r="I437" s="30" t="s">
        <v>173</v>
      </c>
      <c r="K437" s="2"/>
      <c r="M437" s="2"/>
    </row>
    <row r="438" spans="1:13">
      <c r="A438" t="s">
        <v>28</v>
      </c>
      <c r="B438">
        <f ca="1">IF(OR(changes[[#This Row],[Type]]="Checklist",changes[[#This Row],[Type]]="checklist-flat"),1+IF(changes[[#This Row],[Type of change]] = "Edit",COUNTIFS($I$4:changes[[#This Row],[Name]],changes[[#This Row],[Name]], $E$4:changes[[#This Row],[Type of change]], "Edit")),B437)</f>
        <v>1</v>
      </c>
      <c r="C438" s="16">
        <v>44600</v>
      </c>
      <c r="D438" s="1" t="s">
        <v>2424</v>
      </c>
      <c r="E438" t="s">
        <v>2396</v>
      </c>
      <c r="F438" s="10" t="s">
        <v>9</v>
      </c>
      <c r="G438" s="10" t="s">
        <v>168</v>
      </c>
      <c r="H438" s="30" t="s">
        <v>55</v>
      </c>
      <c r="I438" s="30" t="s">
        <v>174</v>
      </c>
      <c r="K438" s="2"/>
      <c r="M438" s="2"/>
    </row>
    <row r="439" spans="1:13">
      <c r="A439" t="s">
        <v>28</v>
      </c>
      <c r="B439">
        <f ca="1">IF(OR(changes[[#This Row],[Type]]="Checklist",changes[[#This Row],[Type]]="checklist-flat"),1+IF(changes[[#This Row],[Type of change]] = "Edit",COUNTIFS($I$4:changes[[#This Row],[Name]],changes[[#This Row],[Name]], $E$4:changes[[#This Row],[Type of change]], "Edit")),B438)</f>
        <v>1</v>
      </c>
      <c r="C439" s="16">
        <v>44600</v>
      </c>
      <c r="D439" s="1" t="s">
        <v>2424</v>
      </c>
      <c r="E439" t="s">
        <v>2396</v>
      </c>
      <c r="F439" s="10" t="s">
        <v>9</v>
      </c>
      <c r="G439" s="10" t="s">
        <v>168</v>
      </c>
      <c r="H439" s="30" t="s">
        <v>55</v>
      </c>
      <c r="I439" s="30" t="s">
        <v>175</v>
      </c>
      <c r="K439" s="2"/>
      <c r="M439" s="2"/>
    </row>
    <row r="440" spans="1:13">
      <c r="A440" t="s">
        <v>28</v>
      </c>
      <c r="B440">
        <f ca="1">IF(OR(changes[[#This Row],[Type]]="Checklist",changes[[#This Row],[Type]]="checklist-flat"),1+IF(changes[[#This Row],[Type of change]] = "Edit",COUNTIFS($I$4:changes[[#This Row],[Name]],changes[[#This Row],[Name]], $E$4:changes[[#This Row],[Type of change]], "Edit")),B439)</f>
        <v>1</v>
      </c>
      <c r="C440" s="16">
        <v>44600</v>
      </c>
      <c r="D440" s="1" t="s">
        <v>2424</v>
      </c>
      <c r="E440" t="s">
        <v>2396</v>
      </c>
      <c r="F440" s="10" t="s">
        <v>9</v>
      </c>
      <c r="G440" s="10" t="s">
        <v>168</v>
      </c>
      <c r="H440" s="30" t="s">
        <v>55</v>
      </c>
      <c r="I440" s="30" t="s">
        <v>176</v>
      </c>
      <c r="K440" s="2"/>
      <c r="M440" s="2"/>
    </row>
    <row r="441" spans="1:13">
      <c r="A441" t="s">
        <v>28</v>
      </c>
      <c r="B441">
        <f ca="1">IF(OR(changes[[#This Row],[Type]]="Checklist",changes[[#This Row],[Type]]="checklist-flat"),1+IF(changes[[#This Row],[Type of change]] = "Edit",COUNTIFS($I$4:changes[[#This Row],[Name]],changes[[#This Row],[Name]], $E$4:changes[[#This Row],[Type of change]], "Edit")),B440)</f>
        <v>1</v>
      </c>
      <c r="C441" s="16">
        <v>44600</v>
      </c>
      <c r="D441" s="1" t="s">
        <v>2424</v>
      </c>
      <c r="E441" t="s">
        <v>2396</v>
      </c>
      <c r="F441" s="10" t="s">
        <v>9</v>
      </c>
      <c r="G441" s="10" t="s">
        <v>168</v>
      </c>
      <c r="H441" s="30" t="s">
        <v>55</v>
      </c>
      <c r="I441" s="30" t="s">
        <v>139</v>
      </c>
      <c r="K441" s="2"/>
      <c r="M441" s="2"/>
    </row>
    <row r="442" spans="1:13">
      <c r="A442" t="s">
        <v>28</v>
      </c>
      <c r="B442">
        <f ca="1">IF(OR(changes[[#This Row],[Type]]="Checklist",changes[[#This Row],[Type]]="checklist-flat"),1+IF(changes[[#This Row],[Type of change]] = "Edit",COUNTIFS($I$4:changes[[#This Row],[Name]],changes[[#This Row],[Name]], $E$4:changes[[#This Row],[Type of change]], "Edit")),B441)</f>
        <v>1</v>
      </c>
      <c r="C442" s="16">
        <v>44600</v>
      </c>
      <c r="D442" s="1" t="s">
        <v>2424</v>
      </c>
      <c r="E442" t="s">
        <v>2396</v>
      </c>
      <c r="F442" s="10" t="s">
        <v>9</v>
      </c>
      <c r="G442" s="10" t="s">
        <v>168</v>
      </c>
      <c r="H442" s="30" t="s">
        <v>55</v>
      </c>
      <c r="I442" s="30" t="s">
        <v>177</v>
      </c>
      <c r="K442" s="2"/>
      <c r="M442" s="2"/>
    </row>
    <row r="443" spans="1:13">
      <c r="A443" t="s">
        <v>28</v>
      </c>
      <c r="B443">
        <f ca="1">IF(OR(changes[[#This Row],[Type]]="Checklist",changes[[#This Row],[Type]]="checklist-flat"),1+IF(changes[[#This Row],[Type of change]] = "Edit",COUNTIFS($I$4:changes[[#This Row],[Name]],changes[[#This Row],[Name]], $E$4:changes[[#This Row],[Type of change]], "Edit")),B442)</f>
        <v>1</v>
      </c>
      <c r="C443" s="16">
        <v>44600</v>
      </c>
      <c r="D443" s="1" t="s">
        <v>2424</v>
      </c>
      <c r="E443" t="s">
        <v>2396</v>
      </c>
      <c r="F443" s="10" t="s">
        <v>9</v>
      </c>
      <c r="G443" s="10" t="s">
        <v>168</v>
      </c>
      <c r="H443" s="30" t="s">
        <v>55</v>
      </c>
      <c r="I443" s="30" t="s">
        <v>178</v>
      </c>
      <c r="K443" s="2"/>
      <c r="M443" s="2"/>
    </row>
    <row r="444" spans="1:13">
      <c r="A444" t="s">
        <v>28</v>
      </c>
      <c r="B444">
        <f ca="1">IF(OR(changes[[#This Row],[Type]]="Checklist",changes[[#This Row],[Type]]="checklist-flat"),1+IF(changes[[#This Row],[Type of change]] = "Edit",COUNTIFS($I$4:changes[[#This Row],[Name]],changes[[#This Row],[Name]], $E$4:changes[[#This Row],[Type of change]], "Edit")),B443)</f>
        <v>1</v>
      </c>
      <c r="C444" s="16">
        <v>44600</v>
      </c>
      <c r="D444" s="1" t="s">
        <v>2424</v>
      </c>
      <c r="E444" t="s">
        <v>2396</v>
      </c>
      <c r="F444" s="10" t="s">
        <v>9</v>
      </c>
      <c r="G444" s="10" t="s">
        <v>168</v>
      </c>
      <c r="H444" s="30" t="s">
        <v>55</v>
      </c>
      <c r="I444" s="30" t="s">
        <v>179</v>
      </c>
      <c r="K444" s="2"/>
      <c r="M444" s="2"/>
    </row>
    <row r="445" spans="1:13">
      <c r="A445" t="s">
        <v>28</v>
      </c>
      <c r="B445">
        <f ca="1">IF(OR(changes[[#This Row],[Type]]="Checklist",changes[[#This Row],[Type]]="checklist-flat"),1+IF(changes[[#This Row],[Type of change]] = "Edit",COUNTIFS($I$4:changes[[#This Row],[Name]],changes[[#This Row],[Name]], $E$4:changes[[#This Row],[Type of change]], "Edit")),B444)</f>
        <v>1</v>
      </c>
      <c r="C445" s="16">
        <v>44600</v>
      </c>
      <c r="D445" s="1" t="s">
        <v>2424</v>
      </c>
      <c r="E445" t="s">
        <v>2396</v>
      </c>
      <c r="F445" s="10" t="s">
        <v>9</v>
      </c>
      <c r="G445" s="10" t="s">
        <v>168</v>
      </c>
      <c r="H445" s="30" t="s">
        <v>55</v>
      </c>
      <c r="I445" s="30" t="s">
        <v>180</v>
      </c>
      <c r="K445" s="2"/>
      <c r="M445" s="2"/>
    </row>
    <row r="446" spans="1:13">
      <c r="A446" t="s">
        <v>28</v>
      </c>
      <c r="B446">
        <f ca="1">IF(OR(changes[[#This Row],[Type]]="Checklist",changes[[#This Row],[Type]]="checklist-flat"),1+IF(changes[[#This Row],[Type of change]] = "Edit",COUNTIFS($I$4:changes[[#This Row],[Name]],changes[[#This Row],[Name]], $E$4:changes[[#This Row],[Type of change]], "Edit")),B445)</f>
        <v>1</v>
      </c>
      <c r="C446" s="16">
        <v>44600</v>
      </c>
      <c r="D446" s="1" t="s">
        <v>2424</v>
      </c>
      <c r="E446" t="s">
        <v>2396</v>
      </c>
      <c r="F446" s="10" t="s">
        <v>9</v>
      </c>
      <c r="G446" s="10" t="s">
        <v>168</v>
      </c>
      <c r="H446" s="30" t="s">
        <v>55</v>
      </c>
      <c r="I446" s="30" t="s">
        <v>181</v>
      </c>
      <c r="K446" s="2"/>
      <c r="M446" s="2"/>
    </row>
    <row r="447" spans="1:13">
      <c r="A447" t="s">
        <v>28</v>
      </c>
      <c r="B447">
        <f ca="1">IF(OR(changes[[#This Row],[Type]]="Checklist",changes[[#This Row],[Type]]="checklist-flat"),1+IF(changes[[#This Row],[Type of change]] = "Edit",COUNTIFS($I$4:changes[[#This Row],[Name]],changes[[#This Row],[Name]], $E$4:changes[[#This Row],[Type of change]], "Edit")),B446)</f>
        <v>1</v>
      </c>
      <c r="C447" s="16">
        <v>44600</v>
      </c>
      <c r="D447" s="1" t="s">
        <v>2424</v>
      </c>
      <c r="E447" t="s">
        <v>2396</v>
      </c>
      <c r="F447" s="10" t="s">
        <v>9</v>
      </c>
      <c r="G447" s="10" t="s">
        <v>168</v>
      </c>
      <c r="H447" s="30" t="s">
        <v>55</v>
      </c>
      <c r="I447" s="30" t="s">
        <v>182</v>
      </c>
      <c r="K447" s="2"/>
      <c r="M447" s="2"/>
    </row>
    <row r="448" spans="1:13">
      <c r="A448" t="s">
        <v>28</v>
      </c>
      <c r="B448">
        <f ca="1">IF(OR(changes[[#This Row],[Type]]="Checklist",changes[[#This Row],[Type]]="checklist-flat"),1+IF(changes[[#This Row],[Type of change]] = "Edit",COUNTIFS($I$4:changes[[#This Row],[Name]],changes[[#This Row],[Name]], $E$4:changes[[#This Row],[Type of change]], "Edit")),B447)</f>
        <v>1</v>
      </c>
      <c r="C448" s="16">
        <v>44600</v>
      </c>
      <c r="D448" s="1" t="s">
        <v>2427</v>
      </c>
      <c r="E448" t="s">
        <v>2396</v>
      </c>
      <c r="F448" s="10" t="s">
        <v>52</v>
      </c>
      <c r="G448" s="10" t="s">
        <v>448</v>
      </c>
      <c r="H448" t="s">
        <v>478</v>
      </c>
      <c r="I448" t="s">
        <v>448</v>
      </c>
      <c r="K448" s="2"/>
      <c r="M448" s="2"/>
    </row>
    <row r="449" spans="1:13">
      <c r="A449" t="s">
        <v>28</v>
      </c>
      <c r="B449">
        <f ca="1">IF(OR(changes[[#This Row],[Type]]="Checklist",changes[[#This Row],[Type]]="checklist-flat"),1+IF(changes[[#This Row],[Type of change]] = "Edit",COUNTIFS($I$4:changes[[#This Row],[Name]],changes[[#This Row],[Name]], $E$4:changes[[#This Row],[Type of change]], "Edit")),B448)</f>
        <v>1</v>
      </c>
      <c r="C449" s="16">
        <v>44600</v>
      </c>
      <c r="D449" s="1" t="s">
        <v>2427</v>
      </c>
      <c r="E449" t="s">
        <v>2396</v>
      </c>
      <c r="F449" s="10" t="s">
        <v>52</v>
      </c>
      <c r="G449" s="10" t="s">
        <v>448</v>
      </c>
      <c r="H449" t="s">
        <v>55</v>
      </c>
      <c r="I449" t="s">
        <v>449</v>
      </c>
      <c r="K449" s="2"/>
      <c r="M449" s="2"/>
    </row>
    <row r="450" spans="1:13">
      <c r="A450" t="s">
        <v>28</v>
      </c>
      <c r="B450">
        <f ca="1">IF(OR(changes[[#This Row],[Type]]="Checklist",changes[[#This Row],[Type]]="checklist-flat"),1+IF(changes[[#This Row],[Type of change]] = "Edit",COUNTIFS($I$4:changes[[#This Row],[Name]],changes[[#This Row],[Name]], $E$4:changes[[#This Row],[Type of change]], "Edit")),B449)</f>
        <v>1</v>
      </c>
      <c r="C450" s="16">
        <v>44600</v>
      </c>
      <c r="D450" s="1" t="s">
        <v>2427</v>
      </c>
      <c r="E450" t="s">
        <v>2396</v>
      </c>
      <c r="F450" s="10" t="s">
        <v>52</v>
      </c>
      <c r="G450" s="10" t="s">
        <v>2428</v>
      </c>
      <c r="H450" t="s">
        <v>478</v>
      </c>
      <c r="I450" t="s">
        <v>2428</v>
      </c>
      <c r="K450" s="2"/>
      <c r="M450" s="2" t="s">
        <v>2429</v>
      </c>
    </row>
    <row r="451" spans="1:13">
      <c r="A451" t="s">
        <v>28</v>
      </c>
      <c r="B451">
        <f ca="1">IF(OR(changes[[#This Row],[Type]]="Checklist",changes[[#This Row],[Type]]="checklist-flat"),1+IF(changes[[#This Row],[Type of change]] = "Edit",COUNTIFS($I$4:changes[[#This Row],[Name]],changes[[#This Row],[Name]], $E$4:changes[[#This Row],[Type of change]], "Edit")),B450)</f>
        <v>1</v>
      </c>
      <c r="C451" s="16">
        <v>44600</v>
      </c>
      <c r="D451" s="1" t="s">
        <v>2427</v>
      </c>
      <c r="E451" t="s">
        <v>2396</v>
      </c>
      <c r="F451" s="10" t="s">
        <v>52</v>
      </c>
      <c r="G451" s="10" t="s">
        <v>2428</v>
      </c>
      <c r="H451" t="s">
        <v>55</v>
      </c>
      <c r="I451" t="s">
        <v>418</v>
      </c>
      <c r="K451" s="2"/>
      <c r="M451" s="2"/>
    </row>
    <row r="452" spans="1:13">
      <c r="A452" t="s">
        <v>28</v>
      </c>
      <c r="B452">
        <f ca="1">IF(OR(changes[[#This Row],[Type]]="Checklist",changes[[#This Row],[Type]]="checklist-flat"),1+IF(changes[[#This Row],[Type of change]] = "Edit",COUNTIFS($I$4:changes[[#This Row],[Name]],changes[[#This Row],[Name]], $E$4:changes[[#This Row],[Type of change]], "Edit")),B451)</f>
        <v>1</v>
      </c>
      <c r="C452" s="16">
        <v>44600</v>
      </c>
      <c r="D452" s="1" t="s">
        <v>2427</v>
      </c>
      <c r="E452" t="s">
        <v>2396</v>
      </c>
      <c r="F452" s="10" t="s">
        <v>52</v>
      </c>
      <c r="G452" s="10" t="s">
        <v>2428</v>
      </c>
      <c r="H452" t="s">
        <v>437</v>
      </c>
      <c r="I452" t="s">
        <v>2430</v>
      </c>
      <c r="K452" s="2"/>
      <c r="M452" s="2"/>
    </row>
    <row r="453" spans="1:13">
      <c r="A453" t="s">
        <v>28</v>
      </c>
      <c r="B453">
        <f ca="1">IF(OR(changes[[#This Row],[Type]]="Checklist",changes[[#This Row],[Type]]="checklist-flat"),1+IF(changes[[#This Row],[Type of change]] = "Edit",COUNTIFS($I$4:changes[[#This Row],[Name]],changes[[#This Row],[Name]], $E$4:changes[[#This Row],[Type of change]], "Edit")),B452)</f>
        <v>1</v>
      </c>
      <c r="C453" s="16">
        <v>44600</v>
      </c>
      <c r="D453" s="1" t="s">
        <v>2427</v>
      </c>
      <c r="E453" t="s">
        <v>2396</v>
      </c>
      <c r="F453" s="10" t="s">
        <v>52</v>
      </c>
      <c r="G453" s="10" t="s">
        <v>2428</v>
      </c>
      <c r="H453" t="s">
        <v>437</v>
      </c>
      <c r="I453" t="s">
        <v>2422</v>
      </c>
      <c r="K453" s="2"/>
      <c r="M453" s="2"/>
    </row>
    <row r="454" spans="1:13">
      <c r="A454" t="s">
        <v>28</v>
      </c>
      <c r="B454">
        <f ca="1">IF(OR(changes[[#This Row],[Type]]="Checklist",changes[[#This Row],[Type]]="checklist-flat"),1+IF(changes[[#This Row],[Type of change]] = "Edit",COUNTIFS($I$4:changes[[#This Row],[Name]],changes[[#This Row],[Name]], $E$4:changes[[#This Row],[Type of change]], "Edit")),B453)</f>
        <v>1</v>
      </c>
      <c r="C454" s="16">
        <v>44600</v>
      </c>
      <c r="D454" s="1" t="s">
        <v>2427</v>
      </c>
      <c r="E454" t="s">
        <v>2396</v>
      </c>
      <c r="F454" s="10" t="s">
        <v>52</v>
      </c>
      <c r="G454" s="10" t="s">
        <v>2428</v>
      </c>
      <c r="H454" t="s">
        <v>420</v>
      </c>
      <c r="I454" t="s">
        <v>421</v>
      </c>
      <c r="K454" s="2"/>
      <c r="M454" s="2"/>
    </row>
    <row r="455" spans="1:13">
      <c r="A455" t="s">
        <v>28</v>
      </c>
      <c r="B455">
        <f ca="1">IF(OR(changes[[#This Row],[Type]]="Checklist",changes[[#This Row],[Type]]="checklist-flat"),1+IF(changes[[#This Row],[Type of change]] = "Edit",COUNTIFS($I$4:changes[[#This Row],[Name]],changes[[#This Row],[Name]], $E$4:changes[[#This Row],[Type of change]], "Edit")),B454)</f>
        <v>1</v>
      </c>
      <c r="C455" s="16">
        <v>44600</v>
      </c>
      <c r="D455" s="1" t="s">
        <v>2427</v>
      </c>
      <c r="E455" t="s">
        <v>2396</v>
      </c>
      <c r="F455" s="10" t="s">
        <v>52</v>
      </c>
      <c r="G455" s="10" t="s">
        <v>2428</v>
      </c>
      <c r="H455" t="s">
        <v>64</v>
      </c>
      <c r="I455" t="s">
        <v>422</v>
      </c>
      <c r="K455" s="2"/>
      <c r="M455" s="2"/>
    </row>
    <row r="456" spans="1:13">
      <c r="A456" t="s">
        <v>28</v>
      </c>
      <c r="B456">
        <f ca="1">IF(OR(changes[[#This Row],[Type]]="Checklist",changes[[#This Row],[Type]]="checklist-flat"),1+IF(changes[[#This Row],[Type of change]] = "Edit",COUNTIFS($I$4:changes[[#This Row],[Name]],changes[[#This Row],[Name]], $E$4:changes[[#This Row],[Type of change]], "Edit")),B455)</f>
        <v>1</v>
      </c>
      <c r="C456" s="16">
        <v>44609</v>
      </c>
      <c r="D456" s="1" t="s">
        <v>2427</v>
      </c>
      <c r="E456" t="s">
        <v>2396</v>
      </c>
      <c r="F456" s="10" t="s">
        <v>52</v>
      </c>
      <c r="G456" s="10" t="s">
        <v>2431</v>
      </c>
      <c r="H456" s="30" t="s">
        <v>478</v>
      </c>
      <c r="I456" s="30" t="s">
        <v>2431</v>
      </c>
      <c r="J456" s="35"/>
      <c r="K456" s="2"/>
      <c r="M456" s="2"/>
    </row>
    <row r="457" spans="1:13">
      <c r="A457" t="s">
        <v>28</v>
      </c>
      <c r="B457">
        <f ca="1">IF(OR(changes[[#This Row],[Type]]="Checklist",changes[[#This Row],[Type]]="checklist-flat"),1+IF(changes[[#This Row],[Type of change]] = "Edit",COUNTIFS($I$4:changes[[#This Row],[Name]],changes[[#This Row],[Name]], $E$4:changes[[#This Row],[Type of change]], "Edit")),B456)</f>
        <v>1</v>
      </c>
      <c r="C457" s="16">
        <v>44609</v>
      </c>
      <c r="D457" s="1" t="s">
        <v>2427</v>
      </c>
      <c r="E457" t="s">
        <v>2396</v>
      </c>
      <c r="F457" s="10" t="s">
        <v>52</v>
      </c>
      <c r="G457" s="10" t="s">
        <v>2431</v>
      </c>
      <c r="H457" s="17" t="s">
        <v>55</v>
      </c>
      <c r="I457" t="s">
        <v>2432</v>
      </c>
      <c r="K457" s="2"/>
      <c r="M457" s="2"/>
    </row>
    <row r="458" spans="1:13">
      <c r="A458" t="s">
        <v>28</v>
      </c>
      <c r="B458">
        <f ca="1">IF(OR(changes[[#This Row],[Type]]="Checklist",changes[[#This Row],[Type]]="checklist-flat"),1+IF(changes[[#This Row],[Type of change]] = "Edit",COUNTIFS($I$4:changes[[#This Row],[Name]],changes[[#This Row],[Name]], $E$4:changes[[#This Row],[Type of change]], "Edit")),B457)</f>
        <v>1</v>
      </c>
      <c r="C458" s="16">
        <v>44609</v>
      </c>
      <c r="D458" s="1" t="s">
        <v>2427</v>
      </c>
      <c r="E458" t="s">
        <v>2396</v>
      </c>
      <c r="F458" s="10" t="s">
        <v>52</v>
      </c>
      <c r="G458" s="10" t="s">
        <v>2431</v>
      </c>
      <c r="H458" t="s">
        <v>2433</v>
      </c>
      <c r="I458" t="s">
        <v>2434</v>
      </c>
      <c r="J458" t="s">
        <v>2239</v>
      </c>
      <c r="K458" s="2"/>
      <c r="M458" s="2"/>
    </row>
    <row r="459" spans="1:13">
      <c r="A459" t="s">
        <v>28</v>
      </c>
      <c r="B459">
        <f ca="1">IF(OR(changes[[#This Row],[Type]]="Checklist",changes[[#This Row],[Type]]="checklist-flat"),1+IF(changes[[#This Row],[Type of change]] = "Edit",COUNTIFS($I$4:changes[[#This Row],[Name]],changes[[#This Row],[Name]], $E$4:changes[[#This Row],[Type of change]], "Edit")),B458)</f>
        <v>1</v>
      </c>
      <c r="C459" s="16">
        <v>44609</v>
      </c>
      <c r="D459" s="1" t="s">
        <v>2427</v>
      </c>
      <c r="E459" t="s">
        <v>2396</v>
      </c>
      <c r="F459" s="10" t="s">
        <v>52</v>
      </c>
      <c r="G459" s="10" t="s">
        <v>2431</v>
      </c>
      <c r="H459" t="s">
        <v>2433</v>
      </c>
      <c r="I459" t="s">
        <v>2435</v>
      </c>
      <c r="J459" t="s">
        <v>2239</v>
      </c>
      <c r="K459" s="2"/>
      <c r="M459" s="2"/>
    </row>
    <row r="460" spans="1:13">
      <c r="A460" t="s">
        <v>28</v>
      </c>
      <c r="B460">
        <f ca="1">IF(OR(changes[[#This Row],[Type]]="Checklist",changes[[#This Row],[Type]]="checklist-flat"),1+IF(changes[[#This Row],[Type of change]] = "Edit",COUNTIFS($I$4:changes[[#This Row],[Name]],changes[[#This Row],[Name]], $E$4:changes[[#This Row],[Type of change]], "Edit")),B459)</f>
        <v>1</v>
      </c>
      <c r="C460" s="16">
        <v>44609</v>
      </c>
      <c r="D460" s="1" t="s">
        <v>2427</v>
      </c>
      <c r="E460" t="s">
        <v>2396</v>
      </c>
      <c r="F460" s="10" t="s">
        <v>52</v>
      </c>
      <c r="G460" s="10" t="s">
        <v>2431</v>
      </c>
      <c r="H460" t="s">
        <v>2433</v>
      </c>
      <c r="I460" t="s">
        <v>2436</v>
      </c>
      <c r="J460" t="s">
        <v>2239</v>
      </c>
      <c r="K460" s="2"/>
      <c r="M460" s="2"/>
    </row>
    <row r="461" spans="1:13">
      <c r="A461" t="s">
        <v>28</v>
      </c>
      <c r="B461">
        <f ca="1">IF(OR(changes[[#This Row],[Type]]="Checklist",changes[[#This Row],[Type]]="checklist-flat"),1+IF(changes[[#This Row],[Type of change]] = "Edit",COUNTIFS($I$4:changes[[#This Row],[Name]],changes[[#This Row],[Name]], $E$4:changes[[#This Row],[Type of change]], "Edit")),B460)</f>
        <v>1</v>
      </c>
      <c r="C461" s="16">
        <v>44609</v>
      </c>
      <c r="D461" s="1" t="s">
        <v>2427</v>
      </c>
      <c r="E461" t="s">
        <v>2396</v>
      </c>
      <c r="F461" s="10" t="s">
        <v>52</v>
      </c>
      <c r="G461" s="10" t="s">
        <v>2431</v>
      </c>
      <c r="H461" t="s">
        <v>2433</v>
      </c>
      <c r="I461" t="s">
        <v>2437</v>
      </c>
      <c r="J461" t="s">
        <v>2239</v>
      </c>
      <c r="K461" s="2"/>
      <c r="M461" s="2"/>
    </row>
    <row r="462" spans="1:13">
      <c r="A462" t="s">
        <v>28</v>
      </c>
      <c r="B462">
        <f ca="1">IF(OR(changes[[#This Row],[Type]]="Checklist",changes[[#This Row],[Type]]="checklist-flat"),1+IF(changes[[#This Row],[Type of change]] = "Edit",COUNTIFS($I$4:changes[[#This Row],[Name]],changes[[#This Row],[Name]], $E$4:changes[[#This Row],[Type of change]], "Edit")),B461)</f>
        <v>1</v>
      </c>
      <c r="C462" s="16">
        <v>44609</v>
      </c>
      <c r="D462" s="1" t="s">
        <v>2427</v>
      </c>
      <c r="E462" t="s">
        <v>2396</v>
      </c>
      <c r="F462" s="10" t="s">
        <v>52</v>
      </c>
      <c r="G462" s="10" t="s">
        <v>2431</v>
      </c>
      <c r="H462" t="s">
        <v>2433</v>
      </c>
      <c r="I462" t="s">
        <v>2438</v>
      </c>
      <c r="J462" t="s">
        <v>2239</v>
      </c>
      <c r="K462" s="2"/>
      <c r="M462" s="2"/>
    </row>
    <row r="463" spans="1:13">
      <c r="A463" t="s">
        <v>28</v>
      </c>
      <c r="B463">
        <f ca="1">IF(OR(changes[[#This Row],[Type]]="Checklist",changes[[#This Row],[Type]]="checklist-flat"),1+IF(changes[[#This Row],[Type of change]] = "Edit",COUNTIFS($I$4:changes[[#This Row],[Name]],changes[[#This Row],[Name]], $E$4:changes[[#This Row],[Type of change]], "Edit")),B462)</f>
        <v>1</v>
      </c>
      <c r="C463" s="16">
        <v>44609</v>
      </c>
      <c r="D463" s="1" t="s">
        <v>2427</v>
      </c>
      <c r="E463" t="s">
        <v>2396</v>
      </c>
      <c r="F463" s="10" t="s">
        <v>52</v>
      </c>
      <c r="G463" s="10" t="s">
        <v>2431</v>
      </c>
      <c r="H463" t="s">
        <v>2433</v>
      </c>
      <c r="I463" t="s">
        <v>2439</v>
      </c>
      <c r="J463" t="s">
        <v>2239</v>
      </c>
      <c r="K463" s="2"/>
      <c r="M463" s="2"/>
    </row>
    <row r="464" spans="1:13">
      <c r="A464" t="s">
        <v>28</v>
      </c>
      <c r="B464">
        <f ca="1">IF(OR(changes[[#This Row],[Type]]="Checklist",changes[[#This Row],[Type]]="checklist-flat"),1+IF(changes[[#This Row],[Type of change]] = "Edit",COUNTIFS($I$4:changes[[#This Row],[Name]],changes[[#This Row],[Name]], $E$4:changes[[#This Row],[Type of change]], "Edit")),B463)</f>
        <v>1</v>
      </c>
      <c r="C464" s="16">
        <v>44609</v>
      </c>
      <c r="D464" s="1" t="s">
        <v>2427</v>
      </c>
      <c r="E464" t="s">
        <v>2396</v>
      </c>
      <c r="F464" s="10" t="s">
        <v>52</v>
      </c>
      <c r="G464" s="10" t="s">
        <v>2431</v>
      </c>
      <c r="H464" t="s">
        <v>2433</v>
      </c>
      <c r="I464" t="s">
        <v>2440</v>
      </c>
      <c r="J464" t="s">
        <v>2239</v>
      </c>
      <c r="K464" s="2"/>
      <c r="M464" s="2"/>
    </row>
    <row r="465" spans="1:13">
      <c r="A465" t="s">
        <v>28</v>
      </c>
      <c r="B465">
        <f ca="1">IF(OR(changes[[#This Row],[Type]]="Checklist",changes[[#This Row],[Type]]="checklist-flat"),1+IF(changes[[#This Row],[Type of change]] = "Edit",COUNTIFS($I$4:changes[[#This Row],[Name]],changes[[#This Row],[Name]], $E$4:changes[[#This Row],[Type of change]], "Edit")),B464)</f>
        <v>1</v>
      </c>
      <c r="C465" s="16">
        <v>44609</v>
      </c>
      <c r="D465" s="1" t="s">
        <v>2427</v>
      </c>
      <c r="E465" t="s">
        <v>2396</v>
      </c>
      <c r="F465" s="10" t="s">
        <v>52</v>
      </c>
      <c r="G465" s="10" t="s">
        <v>2431</v>
      </c>
      <c r="H465" t="s">
        <v>2433</v>
      </c>
      <c r="I465" t="s">
        <v>2441</v>
      </c>
      <c r="J465" t="s">
        <v>2239</v>
      </c>
      <c r="K465" s="2"/>
      <c r="M465" s="2"/>
    </row>
    <row r="466" spans="1:13">
      <c r="A466" t="s">
        <v>28</v>
      </c>
      <c r="B466">
        <f ca="1">IF(OR(changes[[#This Row],[Type]]="Checklist",changes[[#This Row],[Type]]="checklist-flat"),1+IF(changes[[#This Row],[Type of change]] = "Edit",COUNTIFS($I$4:changes[[#This Row],[Name]],changes[[#This Row],[Name]], $E$4:changes[[#This Row],[Type of change]], "Edit")),B465)</f>
        <v>1</v>
      </c>
      <c r="C466" s="16">
        <v>44609</v>
      </c>
      <c r="D466" s="1" t="s">
        <v>2427</v>
      </c>
      <c r="E466" t="s">
        <v>2396</v>
      </c>
      <c r="F466" s="10" t="s">
        <v>52</v>
      </c>
      <c r="G466" s="10" t="s">
        <v>2431</v>
      </c>
      <c r="H466" t="s">
        <v>2433</v>
      </c>
      <c r="I466" t="s">
        <v>2442</v>
      </c>
      <c r="J466" t="s">
        <v>2239</v>
      </c>
      <c r="K466" s="2"/>
      <c r="M466" s="2"/>
    </row>
    <row r="467" spans="1:13">
      <c r="A467" t="s">
        <v>28</v>
      </c>
      <c r="B467">
        <f ca="1">IF(OR(changes[[#This Row],[Type]]="Checklist",changes[[#This Row],[Type]]="checklist-flat"),1+IF(changes[[#This Row],[Type of change]] = "Edit",COUNTIFS($I$4:changes[[#This Row],[Name]],changes[[#This Row],[Name]], $E$4:changes[[#This Row],[Type of change]], "Edit")),B466)</f>
        <v>1</v>
      </c>
      <c r="C467" s="16">
        <v>44609</v>
      </c>
      <c r="D467" s="1" t="s">
        <v>2427</v>
      </c>
      <c r="E467" t="s">
        <v>2396</v>
      </c>
      <c r="F467" s="10" t="s">
        <v>52</v>
      </c>
      <c r="G467" s="10" t="s">
        <v>2431</v>
      </c>
      <c r="H467" t="s">
        <v>2443</v>
      </c>
      <c r="I467" t="s">
        <v>377</v>
      </c>
      <c r="K467" s="2"/>
      <c r="M467" s="2"/>
    </row>
    <row r="468" spans="1:13">
      <c r="A468" t="s">
        <v>28</v>
      </c>
      <c r="B468">
        <f ca="1">IF(OR(changes[[#This Row],[Type]]="Checklist",changes[[#This Row],[Type]]="checklist-flat"),1+IF(changes[[#This Row],[Type of change]] = "Edit",COUNTIFS($I$4:changes[[#This Row],[Name]],changes[[#This Row],[Name]], $E$4:changes[[#This Row],[Type of change]], "Edit")),B467)</f>
        <v>1</v>
      </c>
      <c r="C468" s="16">
        <v>44609</v>
      </c>
      <c r="D468" s="1" t="s">
        <v>2427</v>
      </c>
      <c r="E468" t="s">
        <v>2396</v>
      </c>
      <c r="F468" s="10" t="s">
        <v>52</v>
      </c>
      <c r="G468" s="10" t="s">
        <v>2431</v>
      </c>
      <c r="H468" t="s">
        <v>2443</v>
      </c>
      <c r="I468" t="s">
        <v>2444</v>
      </c>
      <c r="K468" s="2"/>
      <c r="M468" s="2"/>
    </row>
    <row r="469" spans="1:13">
      <c r="A469" t="s">
        <v>28</v>
      </c>
      <c r="B469">
        <f ca="1">IF(OR(changes[[#This Row],[Type]]="Checklist",changes[[#This Row],[Type]]="checklist-flat"),1+IF(changes[[#This Row],[Type of change]] = "Edit",COUNTIFS($I$4:changes[[#This Row],[Name]],changes[[#This Row],[Name]], $E$4:changes[[#This Row],[Type of change]], "Edit")),B468)</f>
        <v>1</v>
      </c>
      <c r="C469" s="16">
        <v>44609</v>
      </c>
      <c r="D469" s="1" t="s">
        <v>2427</v>
      </c>
      <c r="E469" t="s">
        <v>2396</v>
      </c>
      <c r="F469" s="10" t="s">
        <v>52</v>
      </c>
      <c r="G469" s="10" t="s">
        <v>2431</v>
      </c>
      <c r="H469" t="s">
        <v>2443</v>
      </c>
      <c r="I469" t="s">
        <v>2445</v>
      </c>
      <c r="K469" s="2"/>
      <c r="M469" s="2"/>
    </row>
    <row r="470" spans="1:13">
      <c r="A470" t="s">
        <v>28</v>
      </c>
      <c r="B470">
        <f ca="1">IF(OR(changes[[#This Row],[Type]]="Checklist",changes[[#This Row],[Type]]="checklist-flat"),1+IF(changes[[#This Row],[Type of change]] = "Edit",COUNTIFS($I$4:changes[[#This Row],[Name]],changes[[#This Row],[Name]], $E$4:changes[[#This Row],[Type of change]], "Edit")),B469)</f>
        <v>1</v>
      </c>
      <c r="C470" s="16">
        <v>44609</v>
      </c>
      <c r="D470" s="1" t="s">
        <v>2427</v>
      </c>
      <c r="E470" t="s">
        <v>2396</v>
      </c>
      <c r="F470" s="10" t="s">
        <v>52</v>
      </c>
      <c r="G470" s="10" t="s">
        <v>2431</v>
      </c>
      <c r="H470" t="s">
        <v>2443</v>
      </c>
      <c r="I470" t="s">
        <v>2446</v>
      </c>
      <c r="K470" s="2"/>
      <c r="M470" s="2"/>
    </row>
    <row r="471" spans="1:13">
      <c r="A471" t="s">
        <v>28</v>
      </c>
      <c r="B471">
        <f ca="1">IF(OR(changes[[#This Row],[Type]]="Checklist",changes[[#This Row],[Type]]="checklist-flat"),1+IF(changes[[#This Row],[Type of change]] = "Edit",COUNTIFS($I$4:changes[[#This Row],[Name]],changes[[#This Row],[Name]], $E$4:changes[[#This Row],[Type of change]], "Edit")),B470)</f>
        <v>1</v>
      </c>
      <c r="C471" s="16">
        <v>44609</v>
      </c>
      <c r="D471" s="1" t="s">
        <v>2427</v>
      </c>
      <c r="E471" t="s">
        <v>2396</v>
      </c>
      <c r="F471" s="10" t="s">
        <v>52</v>
      </c>
      <c r="G471" s="10" t="s">
        <v>2431</v>
      </c>
      <c r="H471" t="s">
        <v>64</v>
      </c>
      <c r="I471" t="s">
        <v>1273</v>
      </c>
      <c r="K471" s="2"/>
      <c r="M471" s="2"/>
    </row>
    <row r="472" spans="1:13">
      <c r="A472" t="s">
        <v>28</v>
      </c>
      <c r="B472">
        <f ca="1">IF(OR(changes[[#This Row],[Type]]="Checklist",changes[[#This Row],[Type]]="checklist-flat"),1+IF(changes[[#This Row],[Type of change]] = "Edit",COUNTIFS($I$4:changes[[#This Row],[Name]],changes[[#This Row],[Name]], $E$4:changes[[#This Row],[Type of change]], "Edit")),B471)</f>
        <v>1</v>
      </c>
      <c r="C472" s="16">
        <v>44609</v>
      </c>
      <c r="D472" s="1" t="s">
        <v>2427</v>
      </c>
      <c r="E472" t="s">
        <v>2396</v>
      </c>
      <c r="F472" s="10" t="s">
        <v>52</v>
      </c>
      <c r="G472" s="10" t="s">
        <v>2447</v>
      </c>
      <c r="H472" s="30" t="s">
        <v>478</v>
      </c>
      <c r="I472" s="30" t="s">
        <v>2447</v>
      </c>
      <c r="J472" s="35"/>
      <c r="K472" s="2"/>
      <c r="M472" s="2" t="s">
        <v>2448</v>
      </c>
    </row>
    <row r="473" spans="1:13">
      <c r="A473" t="s">
        <v>28</v>
      </c>
      <c r="B473">
        <f ca="1">IF(OR(changes[[#This Row],[Type]]="Checklist",changes[[#This Row],[Type]]="checklist-flat"),1+IF(changes[[#This Row],[Type of change]] = "Edit",COUNTIFS($I$4:changes[[#This Row],[Name]],changes[[#This Row],[Name]], $E$4:changes[[#This Row],[Type of change]], "Edit")),B472)</f>
        <v>1</v>
      </c>
      <c r="C473" s="16">
        <v>44609</v>
      </c>
      <c r="D473" s="1" t="s">
        <v>2427</v>
      </c>
      <c r="E473" t="s">
        <v>2396</v>
      </c>
      <c r="F473" s="10" t="s">
        <v>52</v>
      </c>
      <c r="G473" s="10" t="s">
        <v>2447</v>
      </c>
      <c r="H473" s="30" t="s">
        <v>55</v>
      </c>
      <c r="I473" s="30" t="s">
        <v>62</v>
      </c>
      <c r="K473" s="2"/>
      <c r="M473" s="2"/>
    </row>
    <row r="474" spans="1:13">
      <c r="A474" t="s">
        <v>28</v>
      </c>
      <c r="B474">
        <f ca="1">IF(OR(changes[[#This Row],[Type]]="Checklist",changes[[#This Row],[Type]]="checklist-flat"),1+IF(changes[[#This Row],[Type of change]] = "Edit",COUNTIFS($I$4:changes[[#This Row],[Name]],changes[[#This Row],[Name]], $E$4:changes[[#This Row],[Type of change]], "Edit")),B473)</f>
        <v>1</v>
      </c>
      <c r="C474" s="16">
        <v>44609</v>
      </c>
      <c r="D474" s="1" t="s">
        <v>2427</v>
      </c>
      <c r="E474" t="s">
        <v>2396</v>
      </c>
      <c r="F474" s="10" t="s">
        <v>52</v>
      </c>
      <c r="G474" s="10" t="s">
        <v>2447</v>
      </c>
      <c r="H474" s="30" t="s">
        <v>55</v>
      </c>
      <c r="I474" s="30" t="s">
        <v>63</v>
      </c>
      <c r="K474" s="2"/>
      <c r="M474" s="2"/>
    </row>
    <row r="475" spans="1:13">
      <c r="A475" t="s">
        <v>28</v>
      </c>
      <c r="B475">
        <f ca="1">IF(OR(changes[[#This Row],[Type]]="Checklist",changes[[#This Row],[Type]]="checklist-flat"),1+IF(changes[[#This Row],[Type of change]] = "Edit",COUNTIFS($I$4:changes[[#This Row],[Name]],changes[[#This Row],[Name]], $E$4:changes[[#This Row],[Type of change]], "Edit")),B474)</f>
        <v>1</v>
      </c>
      <c r="C475" s="16">
        <v>44609</v>
      </c>
      <c r="D475" s="1" t="s">
        <v>2427</v>
      </c>
      <c r="E475" t="s">
        <v>2396</v>
      </c>
      <c r="F475" s="10" t="s">
        <v>52</v>
      </c>
      <c r="G475" s="10" t="s">
        <v>2447</v>
      </c>
      <c r="H475" s="30" t="s">
        <v>994</v>
      </c>
      <c r="I475" s="30" t="s">
        <v>2449</v>
      </c>
      <c r="K475" s="2"/>
      <c r="M475" s="2"/>
    </row>
    <row r="476" spans="1:13">
      <c r="A476" t="s">
        <v>28</v>
      </c>
      <c r="B476">
        <f ca="1">IF(OR(changes[[#This Row],[Type]]="Checklist",changes[[#This Row],[Type]]="checklist-flat"),1+IF(changes[[#This Row],[Type of change]] = "Edit",COUNTIFS($I$4:changes[[#This Row],[Name]],changes[[#This Row],[Name]], $E$4:changes[[#This Row],[Type of change]], "Edit")),B475)</f>
        <v>1</v>
      </c>
      <c r="C476" s="16">
        <v>44609</v>
      </c>
      <c r="D476" s="1" t="s">
        <v>2427</v>
      </c>
      <c r="E476" t="s">
        <v>2396</v>
      </c>
      <c r="F476" s="10" t="s">
        <v>52</v>
      </c>
      <c r="G476" s="10" t="s">
        <v>2447</v>
      </c>
      <c r="H476" s="30" t="s">
        <v>55</v>
      </c>
      <c r="I476" s="30" t="s">
        <v>2450</v>
      </c>
      <c r="K476" s="2"/>
      <c r="M476" s="2"/>
    </row>
    <row r="477" spans="1:13">
      <c r="A477" t="s">
        <v>28</v>
      </c>
      <c r="B477">
        <f ca="1">IF(OR(changes[[#This Row],[Type]]="Checklist",changes[[#This Row],[Type]]="checklist-flat"),1+IF(changes[[#This Row],[Type of change]] = "Edit",COUNTIFS($I$4:changes[[#This Row],[Name]],changes[[#This Row],[Name]], $E$4:changes[[#This Row],[Type of change]], "Edit")),B476)</f>
        <v>1</v>
      </c>
      <c r="C477" s="16">
        <v>44609</v>
      </c>
      <c r="D477" s="1" t="s">
        <v>2427</v>
      </c>
      <c r="E477" t="s">
        <v>2396</v>
      </c>
      <c r="F477" s="10" t="s">
        <v>52</v>
      </c>
      <c r="G477" s="10" t="s">
        <v>678</v>
      </c>
      <c r="H477" s="30" t="s">
        <v>478</v>
      </c>
      <c r="I477" s="30" t="s">
        <v>678</v>
      </c>
      <c r="J477" s="35"/>
      <c r="K477" s="2"/>
      <c r="M477" s="2"/>
    </row>
    <row r="478" spans="1:13">
      <c r="A478" t="s">
        <v>28</v>
      </c>
      <c r="B478">
        <f ca="1">IF(OR(changes[[#This Row],[Type]]="Checklist",changes[[#This Row],[Type]]="checklist-flat"),1+IF(changes[[#This Row],[Type of change]] = "Edit",COUNTIFS($I$4:changes[[#This Row],[Name]],changes[[#This Row],[Name]], $E$4:changes[[#This Row],[Type of change]], "Edit")),B477)</f>
        <v>1</v>
      </c>
      <c r="C478" s="16">
        <v>44609</v>
      </c>
      <c r="D478" s="1" t="s">
        <v>2427</v>
      </c>
      <c r="E478" t="s">
        <v>2396</v>
      </c>
      <c r="F478" s="10" t="s">
        <v>52</v>
      </c>
      <c r="G478" s="10" t="s">
        <v>678</v>
      </c>
      <c r="H478" s="30" t="s">
        <v>55</v>
      </c>
      <c r="I478" s="30" t="s">
        <v>62</v>
      </c>
      <c r="K478" s="2"/>
      <c r="M478" s="2"/>
    </row>
    <row r="479" spans="1:13">
      <c r="A479" t="s">
        <v>28</v>
      </c>
      <c r="B479">
        <f ca="1">IF(OR(changes[[#This Row],[Type]]="Checklist",changes[[#This Row],[Type]]="checklist-flat"),1+IF(changes[[#This Row],[Type of change]] = "Edit",COUNTIFS($I$4:changes[[#This Row],[Name]],changes[[#This Row],[Name]], $E$4:changes[[#This Row],[Type of change]], "Edit")),B478)</f>
        <v>1</v>
      </c>
      <c r="C479" s="16">
        <v>44609</v>
      </c>
      <c r="D479" s="1" t="s">
        <v>2427</v>
      </c>
      <c r="E479" t="s">
        <v>2396</v>
      </c>
      <c r="F479" s="10" t="s">
        <v>52</v>
      </c>
      <c r="G479" s="10" t="s">
        <v>678</v>
      </c>
      <c r="H479" s="30" t="s">
        <v>55</v>
      </c>
      <c r="I479" s="30" t="s">
        <v>63</v>
      </c>
      <c r="K479" s="2"/>
      <c r="M479" s="2"/>
    </row>
    <row r="480" spans="1:13">
      <c r="A480" t="s">
        <v>28</v>
      </c>
      <c r="B480">
        <f ca="1">IF(OR(changes[[#This Row],[Type]]="Checklist",changes[[#This Row],[Type]]="checklist-flat"),1+IF(changes[[#This Row],[Type of change]] = "Edit",COUNTIFS($I$4:changes[[#This Row],[Name]],changes[[#This Row],[Name]], $E$4:changes[[#This Row],[Type of change]], "Edit")),B479)</f>
        <v>1</v>
      </c>
      <c r="C480" s="16">
        <v>44609</v>
      </c>
      <c r="D480" s="1" t="s">
        <v>2427</v>
      </c>
      <c r="E480" t="s">
        <v>2396</v>
      </c>
      <c r="F480" s="10" t="s">
        <v>52</v>
      </c>
      <c r="G480" s="10" t="s">
        <v>678</v>
      </c>
      <c r="H480" s="30" t="s">
        <v>994</v>
      </c>
      <c r="I480" s="30" t="s">
        <v>2449</v>
      </c>
      <c r="K480" s="2"/>
      <c r="M480" s="2"/>
    </row>
    <row r="481" spans="1:13">
      <c r="A481" t="s">
        <v>28</v>
      </c>
      <c r="B481">
        <f ca="1">IF(OR(changes[[#This Row],[Type]]="Checklist",changes[[#This Row],[Type]]="checklist-flat"),1+IF(changes[[#This Row],[Type of change]] = "Edit",COUNTIFS($I$4:changes[[#This Row],[Name]],changes[[#This Row],[Name]], $E$4:changes[[#This Row],[Type of change]], "Edit")),B480)</f>
        <v>1</v>
      </c>
      <c r="C481" s="16">
        <v>44609</v>
      </c>
      <c r="D481" s="1" t="s">
        <v>2427</v>
      </c>
      <c r="E481" t="s">
        <v>2396</v>
      </c>
      <c r="F481" s="10" t="s">
        <v>52</v>
      </c>
      <c r="G481" s="10" t="s">
        <v>678</v>
      </c>
      <c r="H481" s="30" t="s">
        <v>55</v>
      </c>
      <c r="I481" s="30" t="s">
        <v>679</v>
      </c>
      <c r="K481" s="2"/>
      <c r="M481" s="2"/>
    </row>
    <row r="482" spans="1:13">
      <c r="A482" t="s">
        <v>28</v>
      </c>
      <c r="B482">
        <f ca="1">IF(OR(changes[[#This Row],[Type]]="Checklist",changes[[#This Row],[Type]]="checklist-flat"),1+IF(changes[[#This Row],[Type of change]] = "Edit",COUNTIFS($I$4:changes[[#This Row],[Name]],changes[[#This Row],[Name]], $E$4:changes[[#This Row],[Type of change]], "Edit")),B481)</f>
        <v>1</v>
      </c>
      <c r="C482" s="16">
        <v>44609</v>
      </c>
      <c r="D482" s="1" t="s">
        <v>2427</v>
      </c>
      <c r="E482" t="s">
        <v>2396</v>
      </c>
      <c r="F482" s="10" t="s">
        <v>52</v>
      </c>
      <c r="G482" s="10" t="s">
        <v>637</v>
      </c>
      <c r="H482" s="30" t="s">
        <v>478</v>
      </c>
      <c r="I482" s="30" t="s">
        <v>637</v>
      </c>
      <c r="J482" s="35"/>
      <c r="K482" s="2"/>
      <c r="M482" s="2"/>
    </row>
    <row r="483" spans="1:13">
      <c r="A483" t="s">
        <v>28</v>
      </c>
      <c r="B483">
        <f ca="1">IF(OR(changes[[#This Row],[Type]]="Checklist",changes[[#This Row],[Type]]="checklist-flat"),1+IF(changes[[#This Row],[Type of change]] = "Edit",COUNTIFS($I$4:changes[[#This Row],[Name]],changes[[#This Row],[Name]], $E$4:changes[[#This Row],[Type of change]], "Edit")),B482)</f>
        <v>1</v>
      </c>
      <c r="C483" s="16">
        <v>44609</v>
      </c>
      <c r="D483" s="1" t="s">
        <v>2427</v>
      </c>
      <c r="E483" t="s">
        <v>2396</v>
      </c>
      <c r="F483" s="10" t="s">
        <v>52</v>
      </c>
      <c r="G483" s="10" t="s">
        <v>637</v>
      </c>
      <c r="H483" s="30" t="s">
        <v>55</v>
      </c>
      <c r="I483" s="30" t="s">
        <v>62</v>
      </c>
      <c r="K483" s="2"/>
      <c r="M483" s="2"/>
    </row>
    <row r="484" spans="1:13">
      <c r="A484" t="s">
        <v>28</v>
      </c>
      <c r="B484">
        <f ca="1">IF(OR(changes[[#This Row],[Type]]="Checklist",changes[[#This Row],[Type]]="checklist-flat"),1+IF(changes[[#This Row],[Type of change]] = "Edit",COUNTIFS($I$4:changes[[#This Row],[Name]],changes[[#This Row],[Name]], $E$4:changes[[#This Row],[Type of change]], "Edit")),B483)</f>
        <v>1</v>
      </c>
      <c r="C484" s="16">
        <v>44609</v>
      </c>
      <c r="D484" s="1" t="s">
        <v>2427</v>
      </c>
      <c r="E484" t="s">
        <v>2396</v>
      </c>
      <c r="F484" s="10" t="s">
        <v>52</v>
      </c>
      <c r="G484" s="10" t="s">
        <v>637</v>
      </c>
      <c r="H484" s="30" t="s">
        <v>55</v>
      </c>
      <c r="I484" s="30" t="s">
        <v>63</v>
      </c>
      <c r="K484" s="2"/>
      <c r="M484" s="2"/>
    </row>
    <row r="485" spans="1:13">
      <c r="A485" t="s">
        <v>28</v>
      </c>
      <c r="B485">
        <f ca="1">IF(OR(changes[[#This Row],[Type]]="Checklist",changes[[#This Row],[Type]]="checklist-flat"),1+IF(changes[[#This Row],[Type of change]] = "Edit",COUNTIFS($I$4:changes[[#This Row],[Name]],changes[[#This Row],[Name]], $E$4:changes[[#This Row],[Type of change]], "Edit")),B484)</f>
        <v>1</v>
      </c>
      <c r="C485" s="16">
        <v>44609</v>
      </c>
      <c r="D485" s="1" t="s">
        <v>2427</v>
      </c>
      <c r="E485" t="s">
        <v>2396</v>
      </c>
      <c r="F485" s="10" t="s">
        <v>52</v>
      </c>
      <c r="G485" s="10" t="s">
        <v>637</v>
      </c>
      <c r="H485" s="30" t="s">
        <v>994</v>
      </c>
      <c r="I485" s="30" t="s">
        <v>2449</v>
      </c>
      <c r="K485" s="2"/>
      <c r="M485" s="2"/>
    </row>
    <row r="486" spans="1:13">
      <c r="A486" t="s">
        <v>28</v>
      </c>
      <c r="B486">
        <f ca="1">IF(OR(changes[[#This Row],[Type]]="Checklist",changes[[#This Row],[Type]]="checklist-flat"),1+IF(changes[[#This Row],[Type of change]] = "Edit",COUNTIFS($I$4:changes[[#This Row],[Name]],changes[[#This Row],[Name]], $E$4:changes[[#This Row],[Type of change]], "Edit")),B485)</f>
        <v>1</v>
      </c>
      <c r="C486" s="16">
        <v>44609</v>
      </c>
      <c r="D486" s="1" t="s">
        <v>2427</v>
      </c>
      <c r="E486" t="s">
        <v>2396</v>
      </c>
      <c r="F486" s="10" t="s">
        <v>52</v>
      </c>
      <c r="G486" s="10" t="s">
        <v>637</v>
      </c>
      <c r="H486" s="30" t="s">
        <v>55</v>
      </c>
      <c r="I486" s="30" t="s">
        <v>638</v>
      </c>
      <c r="K486" s="2"/>
      <c r="M486" s="2"/>
    </row>
    <row r="487" spans="1:13">
      <c r="A487" t="s">
        <v>28</v>
      </c>
      <c r="B487">
        <f ca="1">IF(OR(changes[[#This Row],[Type]]="Checklist",changes[[#This Row],[Type]]="checklist-flat"),1+IF(changes[[#This Row],[Type of change]] = "Edit",COUNTIFS($I$4:changes[[#This Row],[Name]],changes[[#This Row],[Name]], $E$4:changes[[#This Row],[Type of change]], "Edit")),B486)</f>
        <v>1</v>
      </c>
      <c r="C487" s="16">
        <v>44609</v>
      </c>
      <c r="D487" s="1" t="s">
        <v>2427</v>
      </c>
      <c r="E487" t="s">
        <v>2396</v>
      </c>
      <c r="F487" s="10" t="s">
        <v>52</v>
      </c>
      <c r="G487" s="10" t="s">
        <v>661</v>
      </c>
      <c r="H487" s="30" t="s">
        <v>478</v>
      </c>
      <c r="I487" s="30" t="s">
        <v>661</v>
      </c>
      <c r="J487" s="35"/>
      <c r="K487" s="2"/>
      <c r="M487" s="2"/>
    </row>
    <row r="488" spans="1:13">
      <c r="A488" t="s">
        <v>28</v>
      </c>
      <c r="B488">
        <f ca="1">IF(OR(changes[[#This Row],[Type]]="Checklist",changes[[#This Row],[Type]]="checklist-flat"),1+IF(changes[[#This Row],[Type of change]] = "Edit",COUNTIFS($I$4:changes[[#This Row],[Name]],changes[[#This Row],[Name]], $E$4:changes[[#This Row],[Type of change]], "Edit")),B487)</f>
        <v>1</v>
      </c>
      <c r="C488" s="16">
        <v>44609</v>
      </c>
      <c r="D488" s="1" t="s">
        <v>2427</v>
      </c>
      <c r="E488" t="s">
        <v>2396</v>
      </c>
      <c r="F488" s="10" t="s">
        <v>52</v>
      </c>
      <c r="G488" s="10" t="s">
        <v>661</v>
      </c>
      <c r="H488" s="30" t="s">
        <v>55</v>
      </c>
      <c r="I488" s="30" t="s">
        <v>62</v>
      </c>
      <c r="K488" s="2"/>
      <c r="M488" s="2"/>
    </row>
    <row r="489" spans="1:13">
      <c r="A489" t="s">
        <v>28</v>
      </c>
      <c r="B489">
        <f ca="1">IF(OR(changes[[#This Row],[Type]]="Checklist",changes[[#This Row],[Type]]="checklist-flat"),1+IF(changes[[#This Row],[Type of change]] = "Edit",COUNTIFS($I$4:changes[[#This Row],[Name]],changes[[#This Row],[Name]], $E$4:changes[[#This Row],[Type of change]], "Edit")),B488)</f>
        <v>1</v>
      </c>
      <c r="C489" s="16">
        <v>44609</v>
      </c>
      <c r="D489" s="1" t="s">
        <v>2427</v>
      </c>
      <c r="E489" t="s">
        <v>2396</v>
      </c>
      <c r="F489" s="10" t="s">
        <v>52</v>
      </c>
      <c r="G489" s="10" t="s">
        <v>661</v>
      </c>
      <c r="H489" s="30" t="s">
        <v>55</v>
      </c>
      <c r="I489" s="30" t="s">
        <v>63</v>
      </c>
      <c r="K489" s="2"/>
      <c r="M489" s="2"/>
    </row>
    <row r="490" spans="1:13">
      <c r="A490" t="s">
        <v>28</v>
      </c>
      <c r="B490">
        <f ca="1">IF(OR(changes[[#This Row],[Type]]="Checklist",changes[[#This Row],[Type]]="checklist-flat"),1+IF(changes[[#This Row],[Type of change]] = "Edit",COUNTIFS($I$4:changes[[#This Row],[Name]],changes[[#This Row],[Name]], $E$4:changes[[#This Row],[Type of change]], "Edit")),B489)</f>
        <v>1</v>
      </c>
      <c r="C490" s="16">
        <v>44609</v>
      </c>
      <c r="D490" s="1" t="s">
        <v>2427</v>
      </c>
      <c r="E490" t="s">
        <v>2396</v>
      </c>
      <c r="F490" s="10" t="s">
        <v>52</v>
      </c>
      <c r="G490" s="10" t="s">
        <v>661</v>
      </c>
      <c r="H490" s="30" t="s">
        <v>994</v>
      </c>
      <c r="I490" s="30" t="s">
        <v>2449</v>
      </c>
      <c r="K490" s="2"/>
      <c r="M490" s="2"/>
    </row>
    <row r="491" spans="1:13">
      <c r="A491" t="s">
        <v>28</v>
      </c>
      <c r="B491">
        <f ca="1">IF(OR(changes[[#This Row],[Type]]="Checklist",changes[[#This Row],[Type]]="checklist-flat"),1+IF(changes[[#This Row],[Type of change]] = "Edit",COUNTIFS($I$4:changes[[#This Row],[Name]],changes[[#This Row],[Name]], $E$4:changes[[#This Row],[Type of change]], "Edit")),B490)</f>
        <v>1</v>
      </c>
      <c r="C491" s="16">
        <v>44609</v>
      </c>
      <c r="D491" s="1" t="s">
        <v>2427</v>
      </c>
      <c r="E491" t="s">
        <v>2396</v>
      </c>
      <c r="F491" s="10" t="s">
        <v>52</v>
      </c>
      <c r="G491" s="10" t="s">
        <v>661</v>
      </c>
      <c r="H491" s="30" t="s">
        <v>55</v>
      </c>
      <c r="I491" s="30" t="s">
        <v>662</v>
      </c>
      <c r="K491" s="2"/>
      <c r="M491" s="2"/>
    </row>
    <row r="492" spans="1:13">
      <c r="A492" t="s">
        <v>28</v>
      </c>
      <c r="B492">
        <f ca="1">IF(OR(changes[[#This Row],[Type]]="Checklist",changes[[#This Row],[Type]]="checklist-flat"),1+IF(changes[[#This Row],[Type of change]] = "Edit",COUNTIFS($I$4:changes[[#This Row],[Name]],changes[[#This Row],[Name]], $E$4:changes[[#This Row],[Type of change]], "Edit")),B491)</f>
        <v>1</v>
      </c>
      <c r="C492" s="16">
        <v>44609</v>
      </c>
      <c r="D492" s="1" t="s">
        <v>2427</v>
      </c>
      <c r="E492" t="s">
        <v>2396</v>
      </c>
      <c r="F492" s="10" t="s">
        <v>52</v>
      </c>
      <c r="G492" s="10" t="s">
        <v>644</v>
      </c>
      <c r="H492" s="30" t="s">
        <v>478</v>
      </c>
      <c r="I492" s="30" t="s">
        <v>644</v>
      </c>
      <c r="J492" s="35"/>
      <c r="K492" s="2"/>
      <c r="M492" s="2"/>
    </row>
    <row r="493" spans="1:13">
      <c r="A493" t="s">
        <v>28</v>
      </c>
      <c r="B493">
        <f ca="1">IF(OR(changes[[#This Row],[Type]]="Checklist",changes[[#This Row],[Type]]="checklist-flat"),1+IF(changes[[#This Row],[Type of change]] = "Edit",COUNTIFS($I$4:changes[[#This Row],[Name]],changes[[#This Row],[Name]], $E$4:changes[[#This Row],[Type of change]], "Edit")),B492)</f>
        <v>1</v>
      </c>
      <c r="C493" s="16">
        <v>44609</v>
      </c>
      <c r="D493" s="1" t="s">
        <v>2427</v>
      </c>
      <c r="E493" t="s">
        <v>2396</v>
      </c>
      <c r="F493" s="10" t="s">
        <v>52</v>
      </c>
      <c r="G493" s="10" t="s">
        <v>644</v>
      </c>
      <c r="H493" s="30" t="s">
        <v>55</v>
      </c>
      <c r="I493" s="30" t="s">
        <v>62</v>
      </c>
      <c r="K493" s="2"/>
      <c r="M493" s="2"/>
    </row>
    <row r="494" spans="1:13">
      <c r="A494" t="s">
        <v>28</v>
      </c>
      <c r="B494">
        <f ca="1">IF(OR(changes[[#This Row],[Type]]="Checklist",changes[[#This Row],[Type]]="checklist-flat"),1+IF(changes[[#This Row],[Type of change]] = "Edit",COUNTIFS($I$4:changes[[#This Row],[Name]],changes[[#This Row],[Name]], $E$4:changes[[#This Row],[Type of change]], "Edit")),B493)</f>
        <v>1</v>
      </c>
      <c r="C494" s="16">
        <v>44609</v>
      </c>
      <c r="D494" s="1" t="s">
        <v>2427</v>
      </c>
      <c r="E494" t="s">
        <v>2396</v>
      </c>
      <c r="F494" s="10" t="s">
        <v>52</v>
      </c>
      <c r="G494" s="10" t="s">
        <v>644</v>
      </c>
      <c r="H494" s="30" t="s">
        <v>55</v>
      </c>
      <c r="I494" s="30" t="s">
        <v>63</v>
      </c>
      <c r="K494" s="2"/>
      <c r="M494" s="2"/>
    </row>
    <row r="495" spans="1:13">
      <c r="A495" t="s">
        <v>28</v>
      </c>
      <c r="B495">
        <f ca="1">IF(OR(changes[[#This Row],[Type]]="Checklist",changes[[#This Row],[Type]]="checklist-flat"),1+IF(changes[[#This Row],[Type of change]] = "Edit",COUNTIFS($I$4:changes[[#This Row],[Name]],changes[[#This Row],[Name]], $E$4:changes[[#This Row],[Type of change]], "Edit")),B494)</f>
        <v>1</v>
      </c>
      <c r="C495" s="16">
        <v>44609</v>
      </c>
      <c r="D495" s="1" t="s">
        <v>2427</v>
      </c>
      <c r="E495" t="s">
        <v>2396</v>
      </c>
      <c r="F495" s="10" t="s">
        <v>52</v>
      </c>
      <c r="G495" s="10" t="s">
        <v>644</v>
      </c>
      <c r="H495" s="30" t="s">
        <v>994</v>
      </c>
      <c r="I495" s="30" t="s">
        <v>2449</v>
      </c>
      <c r="K495" s="2"/>
      <c r="M495" s="2"/>
    </row>
    <row r="496" spans="1:13">
      <c r="A496" t="s">
        <v>28</v>
      </c>
      <c r="B496">
        <f ca="1">IF(OR(changes[[#This Row],[Type]]="Checklist",changes[[#This Row],[Type]]="checklist-flat"),1+IF(changes[[#This Row],[Type of change]] = "Edit",COUNTIFS($I$4:changes[[#This Row],[Name]],changes[[#This Row],[Name]], $E$4:changes[[#This Row],[Type of change]], "Edit")),B495)</f>
        <v>1</v>
      </c>
      <c r="C496" s="16">
        <v>44609</v>
      </c>
      <c r="D496" s="1" t="s">
        <v>2427</v>
      </c>
      <c r="E496" t="s">
        <v>2396</v>
      </c>
      <c r="F496" s="10" t="s">
        <v>52</v>
      </c>
      <c r="G496" s="10" t="s">
        <v>644</v>
      </c>
      <c r="H496" s="30" t="s">
        <v>55</v>
      </c>
      <c r="I496" s="30" t="s">
        <v>2451</v>
      </c>
      <c r="K496" s="2"/>
      <c r="M496" s="2"/>
    </row>
    <row r="497" spans="1:13">
      <c r="A497" t="s">
        <v>28</v>
      </c>
      <c r="B497">
        <f ca="1">IF(OR(changes[[#This Row],[Type]]="Checklist",changes[[#This Row],[Type]]="checklist-flat"),1+IF(changes[[#This Row],[Type of change]] = "Edit",COUNTIFS($I$4:changes[[#This Row],[Name]],changes[[#This Row],[Name]], $E$4:changes[[#This Row],[Type of change]], "Edit")),B496)</f>
        <v>1</v>
      </c>
      <c r="C497" s="16">
        <v>44609</v>
      </c>
      <c r="D497" s="1" t="s">
        <v>2427</v>
      </c>
      <c r="E497" t="s">
        <v>2396</v>
      </c>
      <c r="F497" s="10" t="s">
        <v>52</v>
      </c>
      <c r="G497" s="10" t="s">
        <v>676</v>
      </c>
      <c r="H497" s="30" t="s">
        <v>478</v>
      </c>
      <c r="I497" s="30" t="s">
        <v>676</v>
      </c>
      <c r="J497" s="35"/>
      <c r="K497" s="2"/>
      <c r="M497" s="2"/>
    </row>
    <row r="498" spans="1:13">
      <c r="A498" t="s">
        <v>28</v>
      </c>
      <c r="B498">
        <f ca="1">IF(OR(changes[[#This Row],[Type]]="Checklist",changes[[#This Row],[Type]]="checklist-flat"),1+IF(changes[[#This Row],[Type of change]] = "Edit",COUNTIFS($I$4:changes[[#This Row],[Name]],changes[[#This Row],[Name]], $E$4:changes[[#This Row],[Type of change]], "Edit")),B497)</f>
        <v>1</v>
      </c>
      <c r="C498" s="16">
        <v>44609</v>
      </c>
      <c r="D498" s="1" t="s">
        <v>2427</v>
      </c>
      <c r="E498" t="s">
        <v>2396</v>
      </c>
      <c r="F498" s="10" t="s">
        <v>52</v>
      </c>
      <c r="G498" s="10" t="s">
        <v>676</v>
      </c>
      <c r="H498" s="30" t="s">
        <v>55</v>
      </c>
      <c r="I498" s="30" t="s">
        <v>62</v>
      </c>
      <c r="K498" s="2"/>
      <c r="M498" s="2"/>
    </row>
    <row r="499" spans="1:13">
      <c r="A499" t="s">
        <v>28</v>
      </c>
      <c r="B499">
        <f ca="1">IF(OR(changes[[#This Row],[Type]]="Checklist",changes[[#This Row],[Type]]="checklist-flat"),1+IF(changes[[#This Row],[Type of change]] = "Edit",COUNTIFS($I$4:changes[[#This Row],[Name]],changes[[#This Row],[Name]], $E$4:changes[[#This Row],[Type of change]], "Edit")),B498)</f>
        <v>1</v>
      </c>
      <c r="C499" s="16">
        <v>44609</v>
      </c>
      <c r="D499" s="1" t="s">
        <v>2427</v>
      </c>
      <c r="E499" t="s">
        <v>2396</v>
      </c>
      <c r="F499" s="10" t="s">
        <v>52</v>
      </c>
      <c r="G499" s="10" t="s">
        <v>676</v>
      </c>
      <c r="H499" s="30" t="s">
        <v>55</v>
      </c>
      <c r="I499" s="30" t="s">
        <v>63</v>
      </c>
      <c r="K499" s="2"/>
      <c r="M499" s="2"/>
    </row>
    <row r="500" spans="1:13">
      <c r="A500" t="s">
        <v>28</v>
      </c>
      <c r="B500">
        <f ca="1">IF(OR(changes[[#This Row],[Type]]="Checklist",changes[[#This Row],[Type]]="checklist-flat"),1+IF(changes[[#This Row],[Type of change]] = "Edit",COUNTIFS($I$4:changes[[#This Row],[Name]],changes[[#This Row],[Name]], $E$4:changes[[#This Row],[Type of change]], "Edit")),B499)</f>
        <v>1</v>
      </c>
      <c r="C500" s="16">
        <v>44609</v>
      </c>
      <c r="D500" s="1" t="s">
        <v>2427</v>
      </c>
      <c r="E500" t="s">
        <v>2396</v>
      </c>
      <c r="F500" s="10" t="s">
        <v>52</v>
      </c>
      <c r="G500" s="10" t="s">
        <v>676</v>
      </c>
      <c r="H500" s="30" t="s">
        <v>994</v>
      </c>
      <c r="I500" s="30" t="s">
        <v>2449</v>
      </c>
      <c r="K500" s="2"/>
      <c r="M500" s="2"/>
    </row>
    <row r="501" spans="1:13">
      <c r="A501" t="s">
        <v>28</v>
      </c>
      <c r="B501">
        <f ca="1">IF(OR(changes[[#This Row],[Type]]="Checklist",changes[[#This Row],[Type]]="checklist-flat"),1+IF(changes[[#This Row],[Type of change]] = "Edit",COUNTIFS($I$4:changes[[#This Row],[Name]],changes[[#This Row],[Name]], $E$4:changes[[#This Row],[Type of change]], "Edit")),B500)</f>
        <v>1</v>
      </c>
      <c r="C501" s="16">
        <v>44609</v>
      </c>
      <c r="D501" s="1" t="s">
        <v>2427</v>
      </c>
      <c r="E501" t="s">
        <v>2396</v>
      </c>
      <c r="F501" s="10" t="s">
        <v>52</v>
      </c>
      <c r="G501" s="10" t="s">
        <v>676</v>
      </c>
      <c r="H501" s="30" t="s">
        <v>55</v>
      </c>
      <c r="I501" s="30" t="s">
        <v>677</v>
      </c>
      <c r="K501" s="2"/>
      <c r="M501" s="2"/>
    </row>
    <row r="502" spans="1:13">
      <c r="A502" t="s">
        <v>28</v>
      </c>
      <c r="B502">
        <f ca="1">IF(OR(changes[[#This Row],[Type]]="Checklist",changes[[#This Row],[Type]]="checklist-flat"),1+IF(changes[[#This Row],[Type of change]] = "Edit",COUNTIFS($I$4:changes[[#This Row],[Name]],changes[[#This Row],[Name]], $E$4:changes[[#This Row],[Type of change]], "Edit")),B501)</f>
        <v>1</v>
      </c>
      <c r="C502" s="16">
        <v>44609</v>
      </c>
      <c r="D502" s="1" t="s">
        <v>2427</v>
      </c>
      <c r="E502" t="s">
        <v>2396</v>
      </c>
      <c r="F502" s="10" t="s">
        <v>52</v>
      </c>
      <c r="G502" s="10" t="s">
        <v>667</v>
      </c>
      <c r="H502" s="30" t="s">
        <v>478</v>
      </c>
      <c r="I502" s="30" t="s">
        <v>667</v>
      </c>
      <c r="J502" s="35"/>
      <c r="K502" s="2"/>
      <c r="M502" s="2"/>
    </row>
    <row r="503" spans="1:13">
      <c r="A503" t="s">
        <v>28</v>
      </c>
      <c r="B503">
        <f ca="1">IF(OR(changes[[#This Row],[Type]]="Checklist",changes[[#This Row],[Type]]="checklist-flat"),1+IF(changes[[#This Row],[Type of change]] = "Edit",COUNTIFS($I$4:changes[[#This Row],[Name]],changes[[#This Row],[Name]], $E$4:changes[[#This Row],[Type of change]], "Edit")),B502)</f>
        <v>1</v>
      </c>
      <c r="C503" s="16">
        <v>44609</v>
      </c>
      <c r="D503" s="1" t="s">
        <v>2427</v>
      </c>
      <c r="E503" t="s">
        <v>2396</v>
      </c>
      <c r="F503" s="10" t="s">
        <v>52</v>
      </c>
      <c r="G503" s="10" t="s">
        <v>667</v>
      </c>
      <c r="H503" s="30" t="s">
        <v>55</v>
      </c>
      <c r="I503" s="30" t="s">
        <v>62</v>
      </c>
      <c r="K503" s="2"/>
      <c r="M503" s="2"/>
    </row>
    <row r="504" spans="1:13">
      <c r="A504" t="s">
        <v>28</v>
      </c>
      <c r="B504">
        <f ca="1">IF(OR(changes[[#This Row],[Type]]="Checklist",changes[[#This Row],[Type]]="checklist-flat"),1+IF(changes[[#This Row],[Type of change]] = "Edit",COUNTIFS($I$4:changes[[#This Row],[Name]],changes[[#This Row],[Name]], $E$4:changes[[#This Row],[Type of change]], "Edit")),B503)</f>
        <v>1</v>
      </c>
      <c r="C504" s="16">
        <v>44609</v>
      </c>
      <c r="D504" s="1" t="s">
        <v>2427</v>
      </c>
      <c r="E504" t="s">
        <v>2396</v>
      </c>
      <c r="F504" s="10" t="s">
        <v>52</v>
      </c>
      <c r="G504" s="10" t="s">
        <v>667</v>
      </c>
      <c r="H504" s="30" t="s">
        <v>55</v>
      </c>
      <c r="I504" s="30" t="s">
        <v>63</v>
      </c>
      <c r="K504" s="2"/>
      <c r="M504" s="2"/>
    </row>
    <row r="505" spans="1:13">
      <c r="A505" t="s">
        <v>28</v>
      </c>
      <c r="B505">
        <f ca="1">IF(OR(changes[[#This Row],[Type]]="Checklist",changes[[#This Row],[Type]]="checklist-flat"),1+IF(changes[[#This Row],[Type of change]] = "Edit",COUNTIFS($I$4:changes[[#This Row],[Name]],changes[[#This Row],[Name]], $E$4:changes[[#This Row],[Type of change]], "Edit")),B504)</f>
        <v>1</v>
      </c>
      <c r="C505" s="16">
        <v>44609</v>
      </c>
      <c r="D505" s="1" t="s">
        <v>2427</v>
      </c>
      <c r="E505" t="s">
        <v>2396</v>
      </c>
      <c r="F505" s="10" t="s">
        <v>52</v>
      </c>
      <c r="G505" s="10" t="s">
        <v>667</v>
      </c>
      <c r="H505" s="30" t="s">
        <v>994</v>
      </c>
      <c r="I505" s="30" t="s">
        <v>2449</v>
      </c>
      <c r="K505" s="2"/>
      <c r="M505" s="2"/>
    </row>
    <row r="506" spans="1:13">
      <c r="A506" t="s">
        <v>28</v>
      </c>
      <c r="B506">
        <f ca="1">IF(OR(changes[[#This Row],[Type]]="Checklist",changes[[#This Row],[Type]]="checklist-flat"),1+IF(changes[[#This Row],[Type of change]] = "Edit",COUNTIFS($I$4:changes[[#This Row],[Name]],changes[[#This Row],[Name]], $E$4:changes[[#This Row],[Type of change]], "Edit")),B505)</f>
        <v>1</v>
      </c>
      <c r="C506" s="16">
        <v>44609</v>
      </c>
      <c r="D506" s="1" t="s">
        <v>2427</v>
      </c>
      <c r="E506" t="s">
        <v>2396</v>
      </c>
      <c r="F506" s="10" t="s">
        <v>52</v>
      </c>
      <c r="G506" s="10" t="s">
        <v>667</v>
      </c>
      <c r="H506" s="30" t="s">
        <v>55</v>
      </c>
      <c r="I506" s="30" t="s">
        <v>668</v>
      </c>
      <c r="K506" s="2"/>
      <c r="M506" s="2"/>
    </row>
    <row r="507" spans="1:13">
      <c r="A507" t="s">
        <v>28</v>
      </c>
      <c r="B507">
        <f ca="1">IF(OR(changes[[#This Row],[Type]]="Checklist",changes[[#This Row],[Type]]="checklist-flat"),1+IF(changes[[#This Row],[Type of change]] = "Edit",COUNTIFS($I$4:changes[[#This Row],[Name]],changes[[#This Row],[Name]], $E$4:changes[[#This Row],[Type of change]], "Edit")),B506)</f>
        <v>1</v>
      </c>
      <c r="C507" s="16">
        <v>44609</v>
      </c>
      <c r="D507" s="1" t="s">
        <v>2427</v>
      </c>
      <c r="E507" t="s">
        <v>2396</v>
      </c>
      <c r="F507" s="10" t="s">
        <v>52</v>
      </c>
      <c r="G507" s="10" t="s">
        <v>639</v>
      </c>
      <c r="H507" s="30" t="s">
        <v>478</v>
      </c>
      <c r="I507" s="30" t="s">
        <v>639</v>
      </c>
      <c r="J507" s="35"/>
      <c r="K507" s="2"/>
      <c r="M507" s="2"/>
    </row>
    <row r="508" spans="1:13">
      <c r="A508" t="s">
        <v>28</v>
      </c>
      <c r="B508">
        <f ca="1">IF(OR(changes[[#This Row],[Type]]="Checklist",changes[[#This Row],[Type]]="checklist-flat"),1+IF(changes[[#This Row],[Type of change]] = "Edit",COUNTIFS($I$4:changes[[#This Row],[Name]],changes[[#This Row],[Name]], $E$4:changes[[#This Row],[Type of change]], "Edit")),B507)</f>
        <v>1</v>
      </c>
      <c r="C508" s="16">
        <v>44609</v>
      </c>
      <c r="D508" s="1" t="s">
        <v>2427</v>
      </c>
      <c r="E508" t="s">
        <v>2396</v>
      </c>
      <c r="F508" s="10" t="s">
        <v>52</v>
      </c>
      <c r="G508" s="10" t="s">
        <v>639</v>
      </c>
      <c r="H508" t="s">
        <v>55</v>
      </c>
      <c r="I508" t="s">
        <v>640</v>
      </c>
      <c r="K508" s="2"/>
      <c r="M508" s="2"/>
    </row>
    <row r="509" spans="1:13">
      <c r="A509" t="s">
        <v>28</v>
      </c>
      <c r="B509">
        <f ca="1">IF(OR(changes[[#This Row],[Type]]="Checklist",changes[[#This Row],[Type]]="checklist-flat"),1+IF(changes[[#This Row],[Type of change]] = "Edit",COUNTIFS($I$4:changes[[#This Row],[Name]],changes[[#This Row],[Name]], $E$4:changes[[#This Row],[Type of change]], "Edit")),B508)</f>
        <v>1</v>
      </c>
      <c r="C509" s="16">
        <v>44609</v>
      </c>
      <c r="D509" s="1" t="s">
        <v>2427</v>
      </c>
      <c r="E509" t="s">
        <v>2396</v>
      </c>
      <c r="F509" s="10" t="s">
        <v>52</v>
      </c>
      <c r="G509" s="10" t="s">
        <v>639</v>
      </c>
      <c r="H509" t="s">
        <v>55</v>
      </c>
      <c r="I509" t="s">
        <v>641</v>
      </c>
      <c r="K509" s="2"/>
      <c r="M509" s="2"/>
    </row>
    <row r="510" spans="1:13">
      <c r="A510" t="s">
        <v>28</v>
      </c>
      <c r="B510">
        <f ca="1">IF(OR(changes[[#This Row],[Type]]="Checklist",changes[[#This Row],[Type]]="checklist-flat"),1+IF(changes[[#This Row],[Type of change]] = "Edit",COUNTIFS($I$4:changes[[#This Row],[Name]],changes[[#This Row],[Name]], $E$4:changes[[#This Row],[Type of change]], "Edit")),B509)</f>
        <v>1</v>
      </c>
      <c r="C510" s="16">
        <v>44609</v>
      </c>
      <c r="D510" s="1" t="s">
        <v>2427</v>
      </c>
      <c r="E510" t="s">
        <v>2396</v>
      </c>
      <c r="F510" s="10" t="s">
        <v>52</v>
      </c>
      <c r="G510" s="10" t="s">
        <v>639</v>
      </c>
      <c r="H510" t="s">
        <v>55</v>
      </c>
      <c r="I510" t="s">
        <v>642</v>
      </c>
      <c r="K510" s="2"/>
      <c r="M510" s="2"/>
    </row>
    <row r="511" spans="1:13">
      <c r="A511" t="s">
        <v>28</v>
      </c>
      <c r="B511">
        <f ca="1">IF(OR(changes[[#This Row],[Type]]="Checklist",changes[[#This Row],[Type]]="checklist-flat"),1+IF(changes[[#This Row],[Type of change]] = "Edit",COUNTIFS($I$4:changes[[#This Row],[Name]],changes[[#This Row],[Name]], $E$4:changes[[#This Row],[Type of change]], "Edit")),B510)</f>
        <v>1</v>
      </c>
      <c r="C511" s="16">
        <v>44609</v>
      </c>
      <c r="D511" s="1" t="s">
        <v>2427</v>
      </c>
      <c r="E511" t="s">
        <v>2396</v>
      </c>
      <c r="F511" s="10" t="s">
        <v>52</v>
      </c>
      <c r="G511" s="10" t="s">
        <v>639</v>
      </c>
      <c r="H511" t="s">
        <v>994</v>
      </c>
      <c r="I511" t="s">
        <v>65</v>
      </c>
      <c r="K511" s="2"/>
      <c r="M511" s="2"/>
    </row>
    <row r="512" spans="1:13">
      <c r="A512" t="s">
        <v>28</v>
      </c>
      <c r="B512">
        <f ca="1">IF(OR(changes[[#This Row],[Type]]="Checklist",changes[[#This Row],[Type]]="checklist-flat"),1+IF(changes[[#This Row],[Type of change]] = "Edit",COUNTIFS($I$4:changes[[#This Row],[Name]],changes[[#This Row],[Name]], $E$4:changes[[#This Row],[Type of change]], "Edit")),B511)</f>
        <v>1</v>
      </c>
      <c r="C512" s="16">
        <v>44609</v>
      </c>
      <c r="D512" s="1" t="s">
        <v>2427</v>
      </c>
      <c r="E512" t="s">
        <v>2396</v>
      </c>
      <c r="F512" s="10" t="s">
        <v>52</v>
      </c>
      <c r="G512" s="10" t="s">
        <v>639</v>
      </c>
      <c r="H512" t="s">
        <v>55</v>
      </c>
      <c r="I512" t="s">
        <v>643</v>
      </c>
      <c r="K512" s="2"/>
      <c r="M512" s="2"/>
    </row>
    <row r="513" spans="1:13">
      <c r="A513" t="s">
        <v>28</v>
      </c>
      <c r="B513">
        <f ca="1">IF(OR(changes[[#This Row],[Type]]="Checklist",changes[[#This Row],[Type]]="checklist-flat"),1+IF(changes[[#This Row],[Type of change]] = "Edit",COUNTIFS($I$4:changes[[#This Row],[Name]],changes[[#This Row],[Name]], $E$4:changes[[#This Row],[Type of change]], "Edit")),B512)</f>
        <v>1</v>
      </c>
      <c r="C513" s="16">
        <v>44609</v>
      </c>
      <c r="D513" s="1" t="s">
        <v>2427</v>
      </c>
      <c r="E513" t="s">
        <v>2396</v>
      </c>
      <c r="F513" s="10" t="s">
        <v>52</v>
      </c>
      <c r="G513" s="10" t="s">
        <v>680</v>
      </c>
      <c r="H513" s="30" t="s">
        <v>478</v>
      </c>
      <c r="I513" s="30" t="s">
        <v>680</v>
      </c>
      <c r="J513" s="35"/>
      <c r="K513" s="2"/>
      <c r="M513" s="2"/>
    </row>
    <row r="514" spans="1:13">
      <c r="A514" t="s">
        <v>28</v>
      </c>
      <c r="B514">
        <f ca="1">IF(OR(changes[[#This Row],[Type]]="Checklist",changes[[#This Row],[Type]]="checklist-flat"),1+IF(changes[[#This Row],[Type of change]] = "Edit",COUNTIFS($I$4:changes[[#This Row],[Name]],changes[[#This Row],[Name]], $E$4:changes[[#This Row],[Type of change]], "Edit")),B513)</f>
        <v>1</v>
      </c>
      <c r="C514" s="16">
        <v>44609</v>
      </c>
      <c r="D514" s="1" t="s">
        <v>2427</v>
      </c>
      <c r="E514" t="s">
        <v>2396</v>
      </c>
      <c r="F514" s="10" t="s">
        <v>52</v>
      </c>
      <c r="G514" s="10" t="s">
        <v>680</v>
      </c>
      <c r="H514" t="s">
        <v>269</v>
      </c>
      <c r="I514" t="s">
        <v>681</v>
      </c>
      <c r="K514" s="2"/>
      <c r="M514" s="2"/>
    </row>
    <row r="515" spans="1:13">
      <c r="A515" t="s">
        <v>28</v>
      </c>
      <c r="B515">
        <f ca="1">IF(OR(changes[[#This Row],[Type]]="Checklist",changes[[#This Row],[Type]]="checklist-flat"),1+IF(changes[[#This Row],[Type of change]] = "Edit",COUNTIFS($I$4:changes[[#This Row],[Name]],changes[[#This Row],[Name]], $E$4:changes[[#This Row],[Type of change]], "Edit")),B514)</f>
        <v>1</v>
      </c>
      <c r="C515" s="16">
        <v>44609</v>
      </c>
      <c r="D515" s="1" t="s">
        <v>2427</v>
      </c>
      <c r="E515" t="s">
        <v>2396</v>
      </c>
      <c r="F515" s="10" t="s">
        <v>52</v>
      </c>
      <c r="G515" s="10" t="s">
        <v>680</v>
      </c>
      <c r="H515" t="s">
        <v>269</v>
      </c>
      <c r="I515" t="s">
        <v>682</v>
      </c>
      <c r="K515" s="2"/>
      <c r="M515" s="2"/>
    </row>
    <row r="516" spans="1:13">
      <c r="A516" t="s">
        <v>28</v>
      </c>
      <c r="B516">
        <f ca="1">IF(OR(changes[[#This Row],[Type]]="Checklist",changes[[#This Row],[Type]]="checklist-flat"),1+IF(changes[[#This Row],[Type of change]] = "Edit",COUNTIFS($I$4:changes[[#This Row],[Name]],changes[[#This Row],[Name]], $E$4:changes[[#This Row],[Type of change]], "Edit")),B515)</f>
        <v>1</v>
      </c>
      <c r="C516" s="16">
        <v>44609</v>
      </c>
      <c r="D516" s="1" t="s">
        <v>2427</v>
      </c>
      <c r="E516" t="s">
        <v>2396</v>
      </c>
      <c r="F516" s="10" t="s">
        <v>52</v>
      </c>
      <c r="G516" s="10" t="s">
        <v>680</v>
      </c>
      <c r="H516" t="s">
        <v>269</v>
      </c>
      <c r="I516" t="s">
        <v>683</v>
      </c>
      <c r="K516" s="2"/>
      <c r="M516" s="2"/>
    </row>
    <row r="517" spans="1:13">
      <c r="A517" t="s">
        <v>28</v>
      </c>
      <c r="B517">
        <f ca="1">IF(OR(changes[[#This Row],[Type]]="Checklist",changes[[#This Row],[Type]]="checklist-flat"),1+IF(changes[[#This Row],[Type of change]] = "Edit",COUNTIFS($I$4:changes[[#This Row],[Name]],changes[[#This Row],[Name]], $E$4:changes[[#This Row],[Type of change]], "Edit")),B516)</f>
        <v>1</v>
      </c>
      <c r="C517" s="16">
        <v>44609</v>
      </c>
      <c r="D517" s="1" t="s">
        <v>2427</v>
      </c>
      <c r="E517" t="s">
        <v>2396</v>
      </c>
      <c r="F517" s="10" t="s">
        <v>52</v>
      </c>
      <c r="G517" s="10" t="s">
        <v>680</v>
      </c>
      <c r="H517" t="s">
        <v>994</v>
      </c>
      <c r="I517" t="s">
        <v>684</v>
      </c>
      <c r="K517" s="2"/>
      <c r="M517" s="2"/>
    </row>
    <row r="518" spans="1:13">
      <c r="A518" t="s">
        <v>28</v>
      </c>
      <c r="B518">
        <f ca="1">IF(OR(changes[[#This Row],[Type]]="Checklist",changes[[#This Row],[Type]]="checklist-flat"),1+IF(changes[[#This Row],[Type of change]] = "Edit",COUNTIFS($I$4:changes[[#This Row],[Name]],changes[[#This Row],[Name]], $E$4:changes[[#This Row],[Type of change]], "Edit")),B517)</f>
        <v>1</v>
      </c>
      <c r="C518" s="16">
        <v>44609</v>
      </c>
      <c r="D518" s="1" t="s">
        <v>2427</v>
      </c>
      <c r="E518" t="s">
        <v>2396</v>
      </c>
      <c r="F518" s="10" t="s">
        <v>52</v>
      </c>
      <c r="G518" s="10" t="s">
        <v>680</v>
      </c>
      <c r="H518" t="s">
        <v>55</v>
      </c>
      <c r="I518" t="s">
        <v>685</v>
      </c>
      <c r="K518" s="2"/>
      <c r="M518" s="2"/>
    </row>
    <row r="519" spans="1:13">
      <c r="A519" t="s">
        <v>28</v>
      </c>
      <c r="B519">
        <f ca="1">IF(OR(changes[[#This Row],[Type]]="Checklist",changes[[#This Row],[Type]]="checklist-flat"),1+IF(changes[[#This Row],[Type of change]] = "Edit",COUNTIFS($I$4:changes[[#This Row],[Name]],changes[[#This Row],[Name]], $E$4:changes[[#This Row],[Type of change]], "Edit")),B518)</f>
        <v>1</v>
      </c>
      <c r="C519" s="16">
        <v>44609</v>
      </c>
      <c r="D519" s="1" t="s">
        <v>2452</v>
      </c>
      <c r="E519" t="s">
        <v>2396</v>
      </c>
      <c r="F519" s="10" t="s">
        <v>9</v>
      </c>
      <c r="G519" t="s">
        <v>780</v>
      </c>
      <c r="H519" t="s">
        <v>478</v>
      </c>
      <c r="I519" t="s">
        <v>780</v>
      </c>
      <c r="K519" s="2"/>
      <c r="M519" s="2" t="s">
        <v>2453</v>
      </c>
    </row>
    <row r="520" spans="1:13">
      <c r="A520" t="s">
        <v>28</v>
      </c>
      <c r="B520">
        <f ca="1">IF(OR(changes[[#This Row],[Type]]="Checklist",changes[[#This Row],[Type]]="checklist-flat"),1+IF(changes[[#This Row],[Type of change]] = "Edit",COUNTIFS($I$4:changes[[#This Row],[Name]],changes[[#This Row],[Name]], $E$4:changes[[#This Row],[Type of change]], "Edit")),B519)</f>
        <v>1</v>
      </c>
      <c r="C520" s="16">
        <v>44609</v>
      </c>
      <c r="D520" s="1" t="s">
        <v>2452</v>
      </c>
      <c r="E520" t="s">
        <v>2396</v>
      </c>
      <c r="F520" s="10" t="s">
        <v>9</v>
      </c>
      <c r="G520" t="s">
        <v>780</v>
      </c>
      <c r="H520" t="s">
        <v>55</v>
      </c>
      <c r="I520" t="s">
        <v>757</v>
      </c>
      <c r="K520" s="2"/>
      <c r="M520" s="2"/>
    </row>
    <row r="521" spans="1:13">
      <c r="A521" t="s">
        <v>28</v>
      </c>
      <c r="B521">
        <f ca="1">IF(OR(changes[[#This Row],[Type]]="Checklist",changes[[#This Row],[Type]]="checklist-flat"),1+IF(changes[[#This Row],[Type of change]] = "Edit",COUNTIFS($I$4:changes[[#This Row],[Name]],changes[[#This Row],[Name]], $E$4:changes[[#This Row],[Type of change]], "Edit")),B520)</f>
        <v>1</v>
      </c>
      <c r="C521" s="16">
        <v>44609</v>
      </c>
      <c r="D521" s="1" t="s">
        <v>2452</v>
      </c>
      <c r="E521" t="s">
        <v>2396</v>
      </c>
      <c r="F521" s="10" t="s">
        <v>9</v>
      </c>
      <c r="G521" t="s">
        <v>780</v>
      </c>
      <c r="H521" t="s">
        <v>55</v>
      </c>
      <c r="I521" t="s">
        <v>2454</v>
      </c>
      <c r="K521" s="2"/>
      <c r="M521" s="2"/>
    </row>
    <row r="522" spans="1:13">
      <c r="A522" t="s">
        <v>28</v>
      </c>
      <c r="B522">
        <f ca="1">IF(OR(changes[[#This Row],[Type]]="Checklist",changes[[#This Row],[Type]]="checklist-flat"),1+IF(changes[[#This Row],[Type of change]] = "Edit",COUNTIFS($I$4:changes[[#This Row],[Name]],changes[[#This Row],[Name]], $E$4:changes[[#This Row],[Type of change]], "Edit")),B521)</f>
        <v>1</v>
      </c>
      <c r="C522" s="16">
        <v>44609</v>
      </c>
      <c r="D522" s="1" t="s">
        <v>2452</v>
      </c>
      <c r="E522" t="s">
        <v>2396</v>
      </c>
      <c r="F522" s="10" t="s">
        <v>9</v>
      </c>
      <c r="G522" t="s">
        <v>780</v>
      </c>
      <c r="H522" t="s">
        <v>55</v>
      </c>
      <c r="I522" t="s">
        <v>759</v>
      </c>
      <c r="K522" s="2"/>
      <c r="M522" s="2"/>
    </row>
    <row r="523" spans="1:13">
      <c r="A523" t="s">
        <v>28</v>
      </c>
      <c r="B523">
        <f ca="1">IF(OR(changes[[#This Row],[Type]]="Checklist",changes[[#This Row],[Type]]="checklist-flat"),1+IF(changes[[#This Row],[Type of change]] = "Edit",COUNTIFS($I$4:changes[[#This Row],[Name]],changes[[#This Row],[Name]], $E$4:changes[[#This Row],[Type of change]], "Edit")),B522)</f>
        <v>1</v>
      </c>
      <c r="C523" s="16">
        <v>44609</v>
      </c>
      <c r="D523" s="1" t="s">
        <v>2452</v>
      </c>
      <c r="E523" t="s">
        <v>2396</v>
      </c>
      <c r="F523" s="10" t="s">
        <v>9</v>
      </c>
      <c r="G523" t="s">
        <v>780</v>
      </c>
      <c r="H523" t="s">
        <v>55</v>
      </c>
      <c r="I523" t="s">
        <v>760</v>
      </c>
      <c r="K523" s="2"/>
      <c r="M523" s="2"/>
    </row>
    <row r="524" spans="1:13">
      <c r="A524" t="s">
        <v>28</v>
      </c>
      <c r="B524">
        <f ca="1">IF(OR(changes[[#This Row],[Type]]="Checklist",changes[[#This Row],[Type]]="checklist-flat"),1+IF(changes[[#This Row],[Type of change]] = "Edit",COUNTIFS($I$4:changes[[#This Row],[Name]],changes[[#This Row],[Name]], $E$4:changes[[#This Row],[Type of change]], "Edit")),B523)</f>
        <v>1</v>
      </c>
      <c r="C524" s="16">
        <v>44609</v>
      </c>
      <c r="D524" s="1" t="s">
        <v>2452</v>
      </c>
      <c r="E524" t="s">
        <v>2396</v>
      </c>
      <c r="F524" s="10" t="s">
        <v>9</v>
      </c>
      <c r="G524" t="s">
        <v>780</v>
      </c>
      <c r="H524" t="s">
        <v>55</v>
      </c>
      <c r="I524" t="s">
        <v>761</v>
      </c>
      <c r="K524" s="2"/>
      <c r="M524" s="2"/>
    </row>
    <row r="525" spans="1:13">
      <c r="A525" t="s">
        <v>28</v>
      </c>
      <c r="B525">
        <f ca="1">IF(OR(changes[[#This Row],[Type]]="Checklist",changes[[#This Row],[Type]]="checklist-flat"),1+IF(changes[[#This Row],[Type of change]] = "Edit",COUNTIFS($I$4:changes[[#This Row],[Name]],changes[[#This Row],[Name]], $E$4:changes[[#This Row],[Type of change]], "Edit")),B524)</f>
        <v>1</v>
      </c>
      <c r="C525" s="16">
        <v>44609</v>
      </c>
      <c r="D525" s="1" t="s">
        <v>2452</v>
      </c>
      <c r="E525" t="s">
        <v>2396</v>
      </c>
      <c r="F525" s="10" t="s">
        <v>9</v>
      </c>
      <c r="G525" t="s">
        <v>780</v>
      </c>
      <c r="H525" t="s">
        <v>55</v>
      </c>
      <c r="I525" t="s">
        <v>2455</v>
      </c>
      <c r="K525" s="2"/>
      <c r="M525" s="2"/>
    </row>
    <row r="526" spans="1:13">
      <c r="A526" t="s">
        <v>28</v>
      </c>
      <c r="B526">
        <f ca="1">IF(OR(changes[[#This Row],[Type]]="Checklist",changes[[#This Row],[Type]]="checklist-flat"),1+IF(changes[[#This Row],[Type of change]] = "Edit",COUNTIFS($I$4:changes[[#This Row],[Name]],changes[[#This Row],[Name]], $E$4:changes[[#This Row],[Type of change]], "Edit")),B525)</f>
        <v>1</v>
      </c>
      <c r="C526" s="16">
        <v>44609</v>
      </c>
      <c r="D526" s="1" t="s">
        <v>2452</v>
      </c>
      <c r="E526" t="s">
        <v>2396</v>
      </c>
      <c r="F526" s="10" t="s">
        <v>9</v>
      </c>
      <c r="G526" t="s">
        <v>780</v>
      </c>
      <c r="H526" t="s">
        <v>55</v>
      </c>
      <c r="I526" t="s">
        <v>763</v>
      </c>
      <c r="K526" s="2"/>
      <c r="M526" s="2"/>
    </row>
    <row r="527" spans="1:13">
      <c r="A527" t="s">
        <v>11</v>
      </c>
      <c r="B527">
        <f ca="1">IF(OR(changes[[#This Row],[Type]]="Checklist",changes[[#This Row],[Type]]="checklist-flat"),1+IF(changes[[#This Row],[Type of change]] = "Edit",COUNTIFS($I$4:changes[[#This Row],[Name]],changes[[#This Row],[Name]], $E$4:changes[[#This Row],[Type of change]], "Edit")),B526)</f>
        <v>1</v>
      </c>
      <c r="C527" s="16">
        <v>44609</v>
      </c>
      <c r="D527" s="1" t="s">
        <v>2452</v>
      </c>
      <c r="E527" t="s">
        <v>2396</v>
      </c>
      <c r="F527" s="10" t="s">
        <v>9</v>
      </c>
      <c r="G527" t="s">
        <v>780</v>
      </c>
      <c r="H527" t="s">
        <v>479</v>
      </c>
      <c r="I527" t="s">
        <v>2456</v>
      </c>
      <c r="K527" s="2"/>
      <c r="M527" s="2" t="s">
        <v>2457</v>
      </c>
    </row>
    <row r="528" spans="1:13">
      <c r="A528" t="s">
        <v>11</v>
      </c>
      <c r="B528">
        <f ca="1">IF(OR(changes[[#This Row],[Type]]="Checklist",changes[[#This Row],[Type]]="checklist-flat"),1+IF(changes[[#This Row],[Type of change]] = "Edit",COUNTIFS($I$4:changes[[#This Row],[Name]],changes[[#This Row],[Name]], $E$4:changes[[#This Row],[Type of change]], "Edit")),B527)</f>
        <v>1</v>
      </c>
      <c r="C528" s="16">
        <v>44609</v>
      </c>
      <c r="D528" s="1" t="s">
        <v>2452</v>
      </c>
      <c r="E528" t="s">
        <v>2396</v>
      </c>
      <c r="F528" s="10" t="s">
        <v>9</v>
      </c>
      <c r="G528" t="s">
        <v>780</v>
      </c>
      <c r="H528" t="s">
        <v>55</v>
      </c>
      <c r="I528" t="s">
        <v>2458</v>
      </c>
      <c r="K528" s="2"/>
      <c r="M528" s="2"/>
    </row>
    <row r="529" spans="1:13">
      <c r="A529" t="s">
        <v>11</v>
      </c>
      <c r="B529">
        <f ca="1">IF(OR(changes[[#This Row],[Type]]="Checklist",changes[[#This Row],[Type]]="checklist-flat"),1+IF(changes[[#This Row],[Type of change]] = "Edit",COUNTIFS($I$4:changes[[#This Row],[Name]],changes[[#This Row],[Name]], $E$4:changes[[#This Row],[Type of change]], "Edit")),B528)</f>
        <v>1</v>
      </c>
      <c r="C529" s="16">
        <v>44609</v>
      </c>
      <c r="D529" s="1" t="s">
        <v>2452</v>
      </c>
      <c r="E529" t="s">
        <v>2396</v>
      </c>
      <c r="F529" s="10" t="s">
        <v>9</v>
      </c>
      <c r="G529" t="s">
        <v>780</v>
      </c>
      <c r="H529" t="s">
        <v>55</v>
      </c>
      <c r="I529" t="s">
        <v>813</v>
      </c>
      <c r="K529" s="2"/>
      <c r="M529" s="2"/>
    </row>
    <row r="530" spans="1:13">
      <c r="A530" t="s">
        <v>11</v>
      </c>
      <c r="B530">
        <f ca="1">IF(OR(changes[[#This Row],[Type]]="Checklist",changes[[#This Row],[Type]]="checklist-flat"),1+IF(changes[[#This Row],[Type of change]] = "Edit",COUNTIFS($I$4:changes[[#This Row],[Name]],changes[[#This Row],[Name]], $E$4:changes[[#This Row],[Type of change]], "Edit")),B529)</f>
        <v>1</v>
      </c>
      <c r="C530" s="16">
        <v>44609</v>
      </c>
      <c r="D530" s="1" t="s">
        <v>2452</v>
      </c>
      <c r="E530" t="s">
        <v>2396</v>
      </c>
      <c r="F530" s="10" t="s">
        <v>9</v>
      </c>
      <c r="G530" t="s">
        <v>780</v>
      </c>
      <c r="H530" t="s">
        <v>55</v>
      </c>
      <c r="I530" t="s">
        <v>2459</v>
      </c>
      <c r="K530" s="2"/>
      <c r="M530" s="2"/>
    </row>
    <row r="531" spans="1:13">
      <c r="A531" t="s">
        <v>11</v>
      </c>
      <c r="B531">
        <f ca="1">IF(OR(changes[[#This Row],[Type]]="Checklist",changes[[#This Row],[Type]]="checklist-flat"),1+IF(changes[[#This Row],[Type of change]] = "Edit",COUNTIFS($I$4:changes[[#This Row],[Name]],changes[[#This Row],[Name]], $E$4:changes[[#This Row],[Type of change]], "Edit")),B530)</f>
        <v>1</v>
      </c>
      <c r="C531" s="16">
        <v>44609</v>
      </c>
      <c r="D531" s="1" t="s">
        <v>2452</v>
      </c>
      <c r="E531" t="s">
        <v>2396</v>
      </c>
      <c r="F531" s="10" t="s">
        <v>9</v>
      </c>
      <c r="G531" t="s">
        <v>780</v>
      </c>
      <c r="H531" t="s">
        <v>55</v>
      </c>
      <c r="I531" t="s">
        <v>641</v>
      </c>
      <c r="K531" s="2"/>
      <c r="M531" s="2"/>
    </row>
    <row r="532" spans="1:13">
      <c r="A532" t="s">
        <v>11</v>
      </c>
      <c r="B532">
        <f ca="1">IF(OR(changes[[#This Row],[Type]]="Checklist",changes[[#This Row],[Type]]="checklist-flat"),1+IF(changes[[#This Row],[Type of change]] = "Edit",COUNTIFS($I$4:changes[[#This Row],[Name]],changes[[#This Row],[Name]], $E$4:changes[[#This Row],[Type of change]], "Edit")),B531)</f>
        <v>1</v>
      </c>
      <c r="C532" s="16">
        <v>44609</v>
      </c>
      <c r="D532" s="1" t="s">
        <v>2452</v>
      </c>
      <c r="E532" t="s">
        <v>2396</v>
      </c>
      <c r="F532" s="10" t="s">
        <v>9</v>
      </c>
      <c r="G532" t="s">
        <v>780</v>
      </c>
      <c r="H532" t="s">
        <v>55</v>
      </c>
      <c r="I532" t="s">
        <v>642</v>
      </c>
      <c r="K532" s="2"/>
      <c r="M532" s="2"/>
    </row>
    <row r="533" spans="1:13">
      <c r="A533" t="s">
        <v>11</v>
      </c>
      <c r="B533">
        <f ca="1">IF(OR(changes[[#This Row],[Type]]="Checklist",changes[[#This Row],[Type]]="checklist-flat"),1+IF(changes[[#This Row],[Type of change]] = "Edit",COUNTIFS($I$4:changes[[#This Row],[Name]],changes[[#This Row],[Name]], $E$4:changes[[#This Row],[Type of change]], "Edit")),B532)</f>
        <v>1</v>
      </c>
      <c r="C533" s="16">
        <v>44609</v>
      </c>
      <c r="D533" s="1" t="s">
        <v>2452</v>
      </c>
      <c r="E533" t="s">
        <v>2396</v>
      </c>
      <c r="F533" s="10" t="s">
        <v>9</v>
      </c>
      <c r="G533" t="s">
        <v>780</v>
      </c>
      <c r="H533" t="s">
        <v>55</v>
      </c>
      <c r="I533" t="s">
        <v>2460</v>
      </c>
      <c r="K533" s="2"/>
      <c r="M533" s="2"/>
    </row>
    <row r="534" spans="1:13">
      <c r="A534" t="s">
        <v>11</v>
      </c>
      <c r="B534">
        <f ca="1">IF(OR(changes[[#This Row],[Type]]="Checklist",changes[[#This Row],[Type]]="checklist-flat"),1+IF(changes[[#This Row],[Type of change]] = "Edit",COUNTIFS($I$4:changes[[#This Row],[Name]],changes[[#This Row],[Name]], $E$4:changes[[#This Row],[Type of change]], "Edit")),B533)</f>
        <v>1</v>
      </c>
      <c r="C534" s="16">
        <v>44609</v>
      </c>
      <c r="D534" s="1" t="s">
        <v>2452</v>
      </c>
      <c r="E534" t="s">
        <v>2396</v>
      </c>
      <c r="F534" s="10" t="s">
        <v>9</v>
      </c>
      <c r="G534" t="s">
        <v>780</v>
      </c>
      <c r="H534" t="s">
        <v>55</v>
      </c>
      <c r="I534" t="s">
        <v>2461</v>
      </c>
      <c r="K534" s="2"/>
      <c r="M534" s="2"/>
    </row>
    <row r="535" spans="1:13">
      <c r="A535" t="s">
        <v>11</v>
      </c>
      <c r="B535">
        <f ca="1">IF(OR(changes[[#This Row],[Type]]="Checklist",changes[[#This Row],[Type]]="checklist-flat"),1+IF(changes[[#This Row],[Type of change]] = "Edit",COUNTIFS($I$4:changes[[#This Row],[Name]],changes[[#This Row],[Name]], $E$4:changes[[#This Row],[Type of change]], "Edit")),B534)</f>
        <v>1</v>
      </c>
      <c r="C535" s="16">
        <v>44609</v>
      </c>
      <c r="D535" s="1" t="s">
        <v>2452</v>
      </c>
      <c r="E535" t="s">
        <v>2396</v>
      </c>
      <c r="F535" s="10" t="s">
        <v>9</v>
      </c>
      <c r="G535" t="s">
        <v>780</v>
      </c>
      <c r="H535" t="s">
        <v>55</v>
      </c>
      <c r="I535" t="s">
        <v>820</v>
      </c>
      <c r="K535" s="2"/>
      <c r="M535" s="2"/>
    </row>
    <row r="536" spans="1:13">
      <c r="A536" t="s">
        <v>28</v>
      </c>
      <c r="B536">
        <f ca="1">IF(OR(changes[[#This Row],[Type]]="Checklist",changes[[#This Row],[Type]]="checklist-flat"),1+IF(changes[[#This Row],[Type of change]] = "Edit",COUNTIFS($I$4:changes[[#This Row],[Name]],changes[[#This Row],[Name]], $E$4:changes[[#This Row],[Type of change]], "Edit")),B535)</f>
        <v>1</v>
      </c>
      <c r="C536" s="16">
        <v>44609</v>
      </c>
      <c r="D536" s="1" t="s">
        <v>2452</v>
      </c>
      <c r="E536" t="s">
        <v>2396</v>
      </c>
      <c r="F536" s="10" t="s">
        <v>9</v>
      </c>
      <c r="G536" t="s">
        <v>803</v>
      </c>
      <c r="H536" t="s">
        <v>478</v>
      </c>
      <c r="I536" t="s">
        <v>803</v>
      </c>
      <c r="K536" s="2"/>
      <c r="M536" s="2" t="s">
        <v>2462</v>
      </c>
    </row>
    <row r="537" spans="1:13">
      <c r="A537" t="s">
        <v>28</v>
      </c>
      <c r="B537">
        <f ca="1">IF(OR(changes[[#This Row],[Type]]="Checklist",changes[[#This Row],[Type]]="checklist-flat"),1+IF(changes[[#This Row],[Type of change]] = "Edit",COUNTIFS($I$4:changes[[#This Row],[Name]],changes[[#This Row],[Name]], $E$4:changes[[#This Row],[Type of change]], "Edit")),B536)</f>
        <v>1</v>
      </c>
      <c r="C537" s="16">
        <v>44609</v>
      </c>
      <c r="D537" s="1" t="s">
        <v>2452</v>
      </c>
      <c r="E537" t="s">
        <v>2396</v>
      </c>
      <c r="F537" s="10" t="s">
        <v>9</v>
      </c>
      <c r="G537" t="s">
        <v>803</v>
      </c>
      <c r="H537" t="s">
        <v>55</v>
      </c>
      <c r="I537" t="s">
        <v>804</v>
      </c>
      <c r="K537" s="2"/>
      <c r="M537" s="2"/>
    </row>
    <row r="538" spans="1:13">
      <c r="A538" t="s">
        <v>28</v>
      </c>
      <c r="B538">
        <f ca="1">IF(OR(changes[[#This Row],[Type]]="Checklist",changes[[#This Row],[Type]]="checklist-flat"),1+IF(changes[[#This Row],[Type of change]] = "Edit",COUNTIFS($I$4:changes[[#This Row],[Name]],changes[[#This Row],[Name]], $E$4:changes[[#This Row],[Type of change]], "Edit")),B537)</f>
        <v>1</v>
      </c>
      <c r="C538" s="16">
        <v>44609</v>
      </c>
      <c r="D538" s="1" t="s">
        <v>2452</v>
      </c>
      <c r="E538" t="s">
        <v>2396</v>
      </c>
      <c r="F538" s="10" t="s">
        <v>9</v>
      </c>
      <c r="G538" t="s">
        <v>803</v>
      </c>
      <c r="H538" t="s">
        <v>55</v>
      </c>
      <c r="I538" t="s">
        <v>805</v>
      </c>
      <c r="K538" s="2"/>
      <c r="M538" s="2"/>
    </row>
    <row r="539" spans="1:13">
      <c r="A539" t="s">
        <v>28</v>
      </c>
      <c r="B539">
        <f ca="1">IF(OR(changes[[#This Row],[Type]]="Checklist",changes[[#This Row],[Type]]="checklist-flat"),1+IF(changes[[#This Row],[Type of change]] = "Edit",COUNTIFS($I$4:changes[[#This Row],[Name]],changes[[#This Row],[Name]], $E$4:changes[[#This Row],[Type of change]], "Edit")),B538)</f>
        <v>1</v>
      </c>
      <c r="C539" s="16">
        <v>44609</v>
      </c>
      <c r="D539" s="1" t="s">
        <v>2452</v>
      </c>
      <c r="E539" t="s">
        <v>2396</v>
      </c>
      <c r="F539" s="10" t="s">
        <v>9</v>
      </c>
      <c r="G539" t="s">
        <v>803</v>
      </c>
      <c r="H539" t="s">
        <v>55</v>
      </c>
      <c r="I539" t="s">
        <v>806</v>
      </c>
      <c r="K539" s="2"/>
      <c r="M539" s="2"/>
    </row>
    <row r="540" spans="1:13">
      <c r="A540" t="s">
        <v>28</v>
      </c>
      <c r="B540">
        <f ca="1">IF(OR(changes[[#This Row],[Type]]="Checklist",changes[[#This Row],[Type]]="checklist-flat"),1+IF(changes[[#This Row],[Type of change]] = "Edit",COUNTIFS($I$4:changes[[#This Row],[Name]],changes[[#This Row],[Name]], $E$4:changes[[#This Row],[Type of change]], "Edit")),B539)</f>
        <v>1</v>
      </c>
      <c r="C540" s="16">
        <v>44609</v>
      </c>
      <c r="D540" s="1" t="s">
        <v>2452</v>
      </c>
      <c r="E540" t="s">
        <v>2396</v>
      </c>
      <c r="F540" s="10" t="s">
        <v>9</v>
      </c>
      <c r="G540" t="s">
        <v>803</v>
      </c>
      <c r="H540" t="s">
        <v>55</v>
      </c>
      <c r="I540" t="s">
        <v>2287</v>
      </c>
      <c r="K540" s="2"/>
      <c r="M540" s="2"/>
    </row>
    <row r="541" spans="1:13">
      <c r="A541" t="s">
        <v>28</v>
      </c>
      <c r="B541">
        <f ca="1">IF(OR(changes[[#This Row],[Type]]="Checklist",changes[[#This Row],[Type]]="checklist-flat"),1+IF(changes[[#This Row],[Type of change]] = "Edit",COUNTIFS($I$4:changes[[#This Row],[Name]],changes[[#This Row],[Name]], $E$4:changes[[#This Row],[Type of change]], "Edit")),B540)</f>
        <v>1</v>
      </c>
      <c r="C541" s="16">
        <v>44609</v>
      </c>
      <c r="D541" s="1" t="s">
        <v>2452</v>
      </c>
      <c r="E541" t="s">
        <v>2396</v>
      </c>
      <c r="F541" s="10" t="s">
        <v>9</v>
      </c>
      <c r="G541" t="s">
        <v>803</v>
      </c>
      <c r="H541" t="s">
        <v>55</v>
      </c>
      <c r="I541" t="s">
        <v>808</v>
      </c>
      <c r="K541" s="2"/>
      <c r="M541" s="2"/>
    </row>
    <row r="542" spans="1:13">
      <c r="A542" t="s">
        <v>28</v>
      </c>
      <c r="B542">
        <f ca="1">IF(OR(changes[[#This Row],[Type]]="Checklist",changes[[#This Row],[Type]]="checklist-flat"),1+IF(changes[[#This Row],[Type of change]] = "Edit",COUNTIFS($I$4:changes[[#This Row],[Name]],changes[[#This Row],[Name]], $E$4:changes[[#This Row],[Type of change]], "Edit")),B541)</f>
        <v>1</v>
      </c>
      <c r="C542" s="16">
        <v>44609</v>
      </c>
      <c r="D542" s="1" t="s">
        <v>2452</v>
      </c>
      <c r="E542" t="s">
        <v>2396</v>
      </c>
      <c r="F542" s="10" t="s">
        <v>9</v>
      </c>
      <c r="G542" t="s">
        <v>803</v>
      </c>
      <c r="H542" t="s">
        <v>55</v>
      </c>
      <c r="I542" t="s">
        <v>809</v>
      </c>
      <c r="K542" s="2"/>
      <c r="M542" s="2"/>
    </row>
    <row r="543" spans="1:13">
      <c r="A543" t="s">
        <v>28</v>
      </c>
      <c r="B543">
        <f ca="1">IF(OR(changes[[#This Row],[Type]]="Checklist",changes[[#This Row],[Type]]="checklist-flat"),1+IF(changes[[#This Row],[Type of change]] = "Edit",COUNTIFS($I$4:changes[[#This Row],[Name]],changes[[#This Row],[Name]], $E$4:changes[[#This Row],[Type of change]], "Edit")),B542)</f>
        <v>1</v>
      </c>
      <c r="C543" s="16">
        <v>44609</v>
      </c>
      <c r="D543" s="1" t="s">
        <v>2452</v>
      </c>
      <c r="E543" t="s">
        <v>2396</v>
      </c>
      <c r="F543" s="10" t="s">
        <v>9</v>
      </c>
      <c r="G543" t="s">
        <v>803</v>
      </c>
      <c r="H543" t="s">
        <v>55</v>
      </c>
      <c r="I543" t="s">
        <v>810</v>
      </c>
      <c r="K543" s="2"/>
      <c r="M543" s="2"/>
    </row>
    <row r="544" spans="1:13">
      <c r="A544" t="s">
        <v>28</v>
      </c>
      <c r="B544">
        <f ca="1">IF(OR(changes[[#This Row],[Type]]="Checklist",changes[[#This Row],[Type]]="checklist-flat"),1+IF(changes[[#This Row],[Type of change]] = "Edit",COUNTIFS($I$4:changes[[#This Row],[Name]],changes[[#This Row],[Name]], $E$4:changes[[#This Row],[Type of change]], "Edit")),B543)</f>
        <v>1</v>
      </c>
      <c r="C544" s="16">
        <v>44609</v>
      </c>
      <c r="D544" s="10" t="s">
        <v>2452</v>
      </c>
      <c r="E544" s="10" t="s">
        <v>2396</v>
      </c>
      <c r="F544" s="10" t="s">
        <v>9</v>
      </c>
      <c r="G544" s="10" t="s">
        <v>2463</v>
      </c>
      <c r="H544" s="10" t="s">
        <v>478</v>
      </c>
      <c r="I544" s="10" t="s">
        <v>2463</v>
      </c>
      <c r="J544" s="10"/>
      <c r="K544" s="2"/>
      <c r="M544" t="s">
        <v>2464</v>
      </c>
    </row>
    <row r="545" spans="1:13">
      <c r="A545" t="s">
        <v>28</v>
      </c>
      <c r="B545">
        <f ca="1">IF(OR(changes[[#This Row],[Type]]="Checklist",changes[[#This Row],[Type]]="checklist-flat"),1+IF(changes[[#This Row],[Type of change]] = "Edit",COUNTIFS($I$4:changes[[#This Row],[Name]],changes[[#This Row],[Name]], $E$4:changes[[#This Row],[Type of change]], "Edit")),B544)</f>
        <v>1</v>
      </c>
      <c r="C545" s="16">
        <v>44609</v>
      </c>
      <c r="D545" s="10" t="s">
        <v>2452</v>
      </c>
      <c r="E545" s="10" t="s">
        <v>2396</v>
      </c>
      <c r="F545" s="10" t="s">
        <v>9</v>
      </c>
      <c r="G545" s="10" t="s">
        <v>2463</v>
      </c>
      <c r="H545" s="10" t="s">
        <v>55</v>
      </c>
      <c r="I545" s="10" t="s">
        <v>883</v>
      </c>
      <c r="J545" s="10"/>
      <c r="K545" s="2"/>
      <c r="M545" s="2"/>
    </row>
    <row r="546" spans="1:13">
      <c r="A546" t="s">
        <v>28</v>
      </c>
      <c r="B546">
        <f ca="1">IF(OR(changes[[#This Row],[Type]]="Checklist",changes[[#This Row],[Type]]="checklist-flat"),1+IF(changes[[#This Row],[Type of change]] = "Edit",COUNTIFS($I$4:changes[[#This Row],[Name]],changes[[#This Row],[Name]], $E$4:changes[[#This Row],[Type of change]], "Edit")),B545)</f>
        <v>1</v>
      </c>
      <c r="C546" s="16">
        <v>44609</v>
      </c>
      <c r="D546" s="10" t="s">
        <v>2452</v>
      </c>
      <c r="E546" s="10" t="s">
        <v>2396</v>
      </c>
      <c r="F546" s="10" t="s">
        <v>9</v>
      </c>
      <c r="G546" s="10" t="s">
        <v>2463</v>
      </c>
      <c r="H546" s="10" t="s">
        <v>55</v>
      </c>
      <c r="I546" s="10" t="s">
        <v>884</v>
      </c>
      <c r="J546" s="10"/>
      <c r="K546" s="2"/>
      <c r="M546" s="2"/>
    </row>
    <row r="547" spans="1:13">
      <c r="A547" t="s">
        <v>28</v>
      </c>
      <c r="B547">
        <f ca="1">IF(OR(changes[[#This Row],[Type]]="Checklist",changes[[#This Row],[Type]]="checklist-flat"),1+IF(changes[[#This Row],[Type of change]] = "Edit",COUNTIFS($I$4:changes[[#This Row],[Name]],changes[[#This Row],[Name]], $E$4:changes[[#This Row],[Type of change]], "Edit")),B546)</f>
        <v>1</v>
      </c>
      <c r="C547" s="16">
        <v>44609</v>
      </c>
      <c r="D547" s="10" t="s">
        <v>2452</v>
      </c>
      <c r="E547" s="10" t="s">
        <v>2396</v>
      </c>
      <c r="F547" s="10" t="s">
        <v>9</v>
      </c>
      <c r="G547" s="10" t="s">
        <v>2463</v>
      </c>
      <c r="H547" s="10" t="s">
        <v>55</v>
      </c>
      <c r="I547" s="10" t="s">
        <v>885</v>
      </c>
      <c r="J547" s="10"/>
      <c r="K547" s="2"/>
      <c r="M547" s="2"/>
    </row>
    <row r="548" spans="1:13">
      <c r="A548" t="s">
        <v>28</v>
      </c>
      <c r="B548">
        <f ca="1">IF(OR(changes[[#This Row],[Type]]="Checklist",changes[[#This Row],[Type]]="checklist-flat"),1+IF(changes[[#This Row],[Type of change]] = "Edit",COUNTIFS($I$4:changes[[#This Row],[Name]],changes[[#This Row],[Name]], $E$4:changes[[#This Row],[Type of change]], "Edit")),B547)</f>
        <v>1</v>
      </c>
      <c r="C548" s="16">
        <v>44609</v>
      </c>
      <c r="D548" s="10" t="s">
        <v>2452</v>
      </c>
      <c r="E548" s="10" t="s">
        <v>2396</v>
      </c>
      <c r="F548" s="10" t="s">
        <v>9</v>
      </c>
      <c r="G548" s="10" t="s">
        <v>2463</v>
      </c>
      <c r="H548" s="10" t="s">
        <v>55</v>
      </c>
      <c r="I548" s="10" t="s">
        <v>886</v>
      </c>
      <c r="J548" s="10"/>
      <c r="K548" s="2"/>
      <c r="M548" s="2"/>
    </row>
    <row r="549" spans="1:13">
      <c r="A549" t="s">
        <v>28</v>
      </c>
      <c r="B549">
        <f ca="1">IF(OR(changes[[#This Row],[Type]]="Checklist",changes[[#This Row],[Type]]="checklist-flat"),1+IF(changes[[#This Row],[Type of change]] = "Edit",COUNTIFS($I$4:changes[[#This Row],[Name]],changes[[#This Row],[Name]], $E$4:changes[[#This Row],[Type of change]], "Edit")),B548)</f>
        <v>1</v>
      </c>
      <c r="C549" s="16">
        <v>44609</v>
      </c>
      <c r="D549" s="10" t="s">
        <v>2452</v>
      </c>
      <c r="E549" s="10" t="s">
        <v>10</v>
      </c>
      <c r="F549" s="10" t="s">
        <v>9</v>
      </c>
      <c r="G549" s="10" t="s">
        <v>890</v>
      </c>
      <c r="H549" s="10" t="s">
        <v>55</v>
      </c>
      <c r="I549" s="10" t="s">
        <v>2465</v>
      </c>
      <c r="J549" s="10"/>
      <c r="K549" s="2"/>
      <c r="M549" s="2"/>
    </row>
    <row r="550" spans="1:13">
      <c r="A550" t="s">
        <v>28</v>
      </c>
      <c r="B550">
        <f ca="1">IF(OR(changes[[#This Row],[Type]]="Checklist",changes[[#This Row],[Type]]="checklist-flat"),1+IF(changes[[#This Row],[Type of change]] = "Edit",COUNTIFS($I$4:changes[[#This Row],[Name]],changes[[#This Row],[Name]], $E$4:changes[[#This Row],[Type of change]], "Edit")),B549)</f>
        <v>1</v>
      </c>
      <c r="C550" s="16">
        <v>44609</v>
      </c>
      <c r="D550" s="10" t="s">
        <v>2452</v>
      </c>
      <c r="E550" s="10" t="s">
        <v>10</v>
      </c>
      <c r="F550" s="10" t="s">
        <v>9</v>
      </c>
      <c r="G550" s="10" t="s">
        <v>821</v>
      </c>
      <c r="H550" s="10" t="s">
        <v>479</v>
      </c>
      <c r="I550" s="10" t="s">
        <v>2466</v>
      </c>
      <c r="J550" s="10"/>
      <c r="K550" s="2"/>
      <c r="M550" s="2"/>
    </row>
    <row r="551" spans="1:13">
      <c r="A551" t="s">
        <v>28</v>
      </c>
      <c r="B551">
        <f ca="1">IF(OR(changes[[#This Row],[Type]]="Checklist",changes[[#This Row],[Type]]="checklist-flat"),1+IF(changes[[#This Row],[Type of change]] = "Edit",COUNTIFS($I$4:changes[[#This Row],[Name]],changes[[#This Row],[Name]], $E$4:changes[[#This Row],[Type of change]], "Edit")),B550)</f>
        <v>1</v>
      </c>
      <c r="C551" s="16">
        <v>44609</v>
      </c>
      <c r="D551" s="10" t="s">
        <v>2452</v>
      </c>
      <c r="E551" s="10" t="s">
        <v>10</v>
      </c>
      <c r="F551" s="10" t="s">
        <v>9</v>
      </c>
      <c r="G551" s="10" t="s">
        <v>821</v>
      </c>
      <c r="H551" s="10" t="s">
        <v>55</v>
      </c>
      <c r="I551" s="10" t="s">
        <v>757</v>
      </c>
      <c r="J551" s="10"/>
      <c r="K551" s="2"/>
      <c r="M551" s="2"/>
    </row>
    <row r="552" spans="1:13">
      <c r="A552" t="s">
        <v>28</v>
      </c>
      <c r="B552">
        <f ca="1">IF(OR(changes[[#This Row],[Type]]="Checklist",changes[[#This Row],[Type]]="checklist-flat"),1+IF(changes[[#This Row],[Type of change]] = "Edit",COUNTIFS($I$4:changes[[#This Row],[Name]],changes[[#This Row],[Name]], $E$4:changes[[#This Row],[Type of change]], "Edit")),B551)</f>
        <v>1</v>
      </c>
      <c r="C552" s="16">
        <v>44609</v>
      </c>
      <c r="D552" s="10" t="s">
        <v>2452</v>
      </c>
      <c r="E552" s="10" t="s">
        <v>10</v>
      </c>
      <c r="F552" s="10" t="s">
        <v>9</v>
      </c>
      <c r="G552" s="10" t="s">
        <v>821</v>
      </c>
      <c r="H552" s="10" t="s">
        <v>55</v>
      </c>
      <c r="I552" s="10" t="s">
        <v>2454</v>
      </c>
      <c r="J552" s="10"/>
      <c r="K552" s="2"/>
      <c r="M552" s="2"/>
    </row>
    <row r="553" spans="1:13">
      <c r="A553" t="s">
        <v>28</v>
      </c>
      <c r="B553">
        <f ca="1">IF(OR(changes[[#This Row],[Type]]="Checklist",changes[[#This Row],[Type]]="checklist-flat"),1+IF(changes[[#This Row],[Type of change]] = "Edit",COUNTIFS($I$4:changes[[#This Row],[Name]],changes[[#This Row],[Name]], $E$4:changes[[#This Row],[Type of change]], "Edit")),B552)</f>
        <v>1</v>
      </c>
      <c r="C553" s="16">
        <v>44609</v>
      </c>
      <c r="D553" s="10" t="s">
        <v>2452</v>
      </c>
      <c r="E553" s="10" t="s">
        <v>10</v>
      </c>
      <c r="F553" s="10" t="s">
        <v>9</v>
      </c>
      <c r="G553" s="10" t="s">
        <v>821</v>
      </c>
      <c r="H553" s="10" t="s">
        <v>55</v>
      </c>
      <c r="I553" s="10" t="s">
        <v>759</v>
      </c>
      <c r="J553" s="10"/>
      <c r="K553" s="2"/>
      <c r="M553" s="2"/>
    </row>
    <row r="554" spans="1:13">
      <c r="A554" t="s">
        <v>28</v>
      </c>
      <c r="B554">
        <f ca="1">IF(OR(changes[[#This Row],[Type]]="Checklist",changes[[#This Row],[Type]]="checklist-flat"),1+IF(changes[[#This Row],[Type of change]] = "Edit",COUNTIFS($I$4:changes[[#This Row],[Name]],changes[[#This Row],[Name]], $E$4:changes[[#This Row],[Type of change]], "Edit")),B553)</f>
        <v>1</v>
      </c>
      <c r="C554" s="16">
        <v>44609</v>
      </c>
      <c r="D554" s="10" t="s">
        <v>2452</v>
      </c>
      <c r="E554" s="10" t="s">
        <v>10</v>
      </c>
      <c r="F554" s="10" t="s">
        <v>9</v>
      </c>
      <c r="G554" s="10" t="s">
        <v>821</v>
      </c>
      <c r="H554" s="10" t="s">
        <v>55</v>
      </c>
      <c r="I554" s="10" t="s">
        <v>760</v>
      </c>
      <c r="J554" s="10"/>
      <c r="K554" s="2"/>
      <c r="M554" s="2"/>
    </row>
    <row r="555" spans="1:13">
      <c r="A555" t="s">
        <v>28</v>
      </c>
      <c r="B555">
        <f ca="1">IF(OR(changes[[#This Row],[Type]]="Checklist",changes[[#This Row],[Type]]="checklist-flat"),1+IF(changes[[#This Row],[Type of change]] = "Edit",COUNTIFS($I$4:changes[[#This Row],[Name]],changes[[#This Row],[Name]], $E$4:changes[[#This Row],[Type of change]], "Edit")),B554)</f>
        <v>1</v>
      </c>
      <c r="C555" s="16">
        <v>44609</v>
      </c>
      <c r="D555" s="10" t="s">
        <v>2452</v>
      </c>
      <c r="E555" s="10" t="s">
        <v>10</v>
      </c>
      <c r="F555" s="10" t="s">
        <v>9</v>
      </c>
      <c r="G555" s="10" t="s">
        <v>821</v>
      </c>
      <c r="H555" s="10" t="s">
        <v>55</v>
      </c>
      <c r="I555" s="10" t="s">
        <v>761</v>
      </c>
      <c r="J555" s="10"/>
      <c r="K555" s="2"/>
      <c r="M555" s="2"/>
    </row>
    <row r="556" spans="1:13">
      <c r="A556" t="s">
        <v>28</v>
      </c>
      <c r="B556">
        <f ca="1">IF(OR(changes[[#This Row],[Type]]="Checklist",changes[[#This Row],[Type]]="checklist-flat"),1+IF(changes[[#This Row],[Type of change]] = "Edit",COUNTIFS($I$4:changes[[#This Row],[Name]],changes[[#This Row],[Name]], $E$4:changes[[#This Row],[Type of change]], "Edit")),B555)</f>
        <v>1</v>
      </c>
      <c r="C556" s="16">
        <v>44609</v>
      </c>
      <c r="D556" s="10" t="s">
        <v>2452</v>
      </c>
      <c r="E556" s="10" t="s">
        <v>10</v>
      </c>
      <c r="F556" s="10" t="s">
        <v>9</v>
      </c>
      <c r="G556" s="10" t="s">
        <v>821</v>
      </c>
      <c r="H556" s="10" t="s">
        <v>55</v>
      </c>
      <c r="I556" s="10" t="s">
        <v>2455</v>
      </c>
      <c r="J556" s="10"/>
      <c r="K556" s="2"/>
      <c r="M556" s="2"/>
    </row>
    <row r="557" spans="1:13">
      <c r="A557" t="s">
        <v>28</v>
      </c>
      <c r="B557">
        <f ca="1">IF(OR(changes[[#This Row],[Type]]="Checklist",changes[[#This Row],[Type]]="checklist-flat"),1+IF(changes[[#This Row],[Type of change]] = "Edit",COUNTIFS($I$4:changes[[#This Row],[Name]],changes[[#This Row],[Name]], $E$4:changes[[#This Row],[Type of change]], "Edit")),B556)</f>
        <v>1</v>
      </c>
      <c r="C557" s="16">
        <v>44609</v>
      </c>
      <c r="D557" s="10" t="s">
        <v>2452</v>
      </c>
      <c r="E557" s="10" t="s">
        <v>10</v>
      </c>
      <c r="F557" s="10" t="s">
        <v>9</v>
      </c>
      <c r="G557" s="10" t="s">
        <v>821</v>
      </c>
      <c r="H557" s="10" t="s">
        <v>55</v>
      </c>
      <c r="I557" s="10" t="s">
        <v>763</v>
      </c>
      <c r="J557" s="10"/>
      <c r="K557" s="2"/>
      <c r="M557" s="2"/>
    </row>
    <row r="558" spans="1:13">
      <c r="A558" t="s">
        <v>28</v>
      </c>
      <c r="B558">
        <f ca="1">IF(OR(changes[[#This Row],[Type]]="Checklist",changes[[#This Row],[Type]]="checklist-flat"),1+IF(changes[[#This Row],[Type of change]] = "Edit",COUNTIFS($I$4:changes[[#This Row],[Name]],changes[[#This Row],[Name]], $E$4:changes[[#This Row],[Type of change]], "Edit")),B557)</f>
        <v>1</v>
      </c>
      <c r="C558" s="16">
        <v>44609</v>
      </c>
      <c r="D558" s="10" t="s">
        <v>2452</v>
      </c>
      <c r="E558" s="10" t="s">
        <v>10</v>
      </c>
      <c r="F558" s="10" t="s">
        <v>9</v>
      </c>
      <c r="G558" s="10" t="s">
        <v>821</v>
      </c>
      <c r="H558" s="10" t="s">
        <v>479</v>
      </c>
      <c r="I558" s="10" t="s">
        <v>2467</v>
      </c>
      <c r="J558" s="10"/>
      <c r="K558" s="2"/>
      <c r="M558" s="2"/>
    </row>
    <row r="559" spans="1:13">
      <c r="A559" t="s">
        <v>28</v>
      </c>
      <c r="B559">
        <f ca="1">IF(OR(changes[[#This Row],[Type]]="Checklist",changes[[#This Row],[Type]]="checklist-flat"),1+IF(changes[[#This Row],[Type of change]] = "Edit",COUNTIFS($I$4:changes[[#This Row],[Name]],changes[[#This Row],[Name]], $E$4:changes[[#This Row],[Type of change]], "Edit")),B558)</f>
        <v>1</v>
      </c>
      <c r="C559" s="16">
        <v>44609</v>
      </c>
      <c r="D559" s="10" t="s">
        <v>2452</v>
      </c>
      <c r="E559" s="10" t="s">
        <v>10</v>
      </c>
      <c r="F559" s="10" t="s">
        <v>9</v>
      </c>
      <c r="G559" s="10" t="s">
        <v>821</v>
      </c>
      <c r="H559" s="10" t="s">
        <v>55</v>
      </c>
      <c r="I559" s="10" t="s">
        <v>757</v>
      </c>
      <c r="J559" s="10"/>
      <c r="K559" s="2"/>
      <c r="M559" s="2"/>
    </row>
    <row r="560" spans="1:13">
      <c r="A560" t="s">
        <v>28</v>
      </c>
      <c r="B560">
        <f ca="1">IF(OR(changes[[#This Row],[Type]]="Checklist",changes[[#This Row],[Type]]="checklist-flat"),1+IF(changes[[#This Row],[Type of change]] = "Edit",COUNTIFS($I$4:changes[[#This Row],[Name]],changes[[#This Row],[Name]], $E$4:changes[[#This Row],[Type of change]], "Edit")),B559)</f>
        <v>1</v>
      </c>
      <c r="C560" s="16">
        <v>44609</v>
      </c>
      <c r="D560" s="10" t="s">
        <v>2452</v>
      </c>
      <c r="E560" s="10" t="s">
        <v>10</v>
      </c>
      <c r="F560" s="10" t="s">
        <v>9</v>
      </c>
      <c r="G560" s="10" t="s">
        <v>821</v>
      </c>
      <c r="H560" s="10" t="s">
        <v>55</v>
      </c>
      <c r="I560" s="10" t="s">
        <v>2454</v>
      </c>
      <c r="J560" s="10"/>
      <c r="K560" s="2"/>
      <c r="M560" s="2"/>
    </row>
    <row r="561" spans="1:13">
      <c r="A561" t="s">
        <v>28</v>
      </c>
      <c r="B561">
        <f ca="1">IF(OR(changes[[#This Row],[Type]]="Checklist",changes[[#This Row],[Type]]="checklist-flat"),1+IF(changes[[#This Row],[Type of change]] = "Edit",COUNTIFS($I$4:changes[[#This Row],[Name]],changes[[#This Row],[Name]], $E$4:changes[[#This Row],[Type of change]], "Edit")),B560)</f>
        <v>1</v>
      </c>
      <c r="C561" s="16">
        <v>44609</v>
      </c>
      <c r="D561" s="10" t="s">
        <v>2452</v>
      </c>
      <c r="E561" s="10" t="s">
        <v>10</v>
      </c>
      <c r="F561" s="10" t="s">
        <v>9</v>
      </c>
      <c r="G561" s="10" t="s">
        <v>821</v>
      </c>
      <c r="H561" s="10" t="s">
        <v>55</v>
      </c>
      <c r="I561" s="10" t="s">
        <v>759</v>
      </c>
      <c r="J561" s="10"/>
      <c r="K561" s="2"/>
      <c r="M561" s="2"/>
    </row>
    <row r="562" spans="1:13">
      <c r="A562" t="s">
        <v>28</v>
      </c>
      <c r="B562">
        <f ca="1">IF(OR(changes[[#This Row],[Type]]="Checklist",changes[[#This Row],[Type]]="checklist-flat"),1+IF(changes[[#This Row],[Type of change]] = "Edit",COUNTIFS($I$4:changes[[#This Row],[Name]],changes[[#This Row],[Name]], $E$4:changes[[#This Row],[Type of change]], "Edit")),B561)</f>
        <v>1</v>
      </c>
      <c r="C562" s="16">
        <v>44609</v>
      </c>
      <c r="D562" s="10" t="s">
        <v>2452</v>
      </c>
      <c r="E562" s="10" t="s">
        <v>10</v>
      </c>
      <c r="F562" s="10" t="s">
        <v>9</v>
      </c>
      <c r="G562" s="10" t="s">
        <v>821</v>
      </c>
      <c r="H562" s="10" t="s">
        <v>55</v>
      </c>
      <c r="I562" s="10" t="s">
        <v>760</v>
      </c>
      <c r="J562" s="10"/>
      <c r="K562" s="2"/>
      <c r="M562" s="2"/>
    </row>
    <row r="563" spans="1:13">
      <c r="A563" t="s">
        <v>28</v>
      </c>
      <c r="B563">
        <f ca="1">IF(OR(changes[[#This Row],[Type]]="Checklist",changes[[#This Row],[Type]]="checklist-flat"),1+IF(changes[[#This Row],[Type of change]] = "Edit",COUNTIFS($I$4:changes[[#This Row],[Name]],changes[[#This Row],[Name]], $E$4:changes[[#This Row],[Type of change]], "Edit")),B562)</f>
        <v>1</v>
      </c>
      <c r="C563" s="16">
        <v>44609</v>
      </c>
      <c r="D563" s="10" t="s">
        <v>2452</v>
      </c>
      <c r="E563" s="10" t="s">
        <v>10</v>
      </c>
      <c r="F563" s="10" t="s">
        <v>9</v>
      </c>
      <c r="G563" s="10" t="s">
        <v>821</v>
      </c>
      <c r="H563" s="10" t="s">
        <v>55</v>
      </c>
      <c r="I563" s="10" t="s">
        <v>761</v>
      </c>
      <c r="J563" s="10"/>
      <c r="K563" s="2"/>
      <c r="M563" s="2"/>
    </row>
    <row r="564" spans="1:13">
      <c r="A564" t="s">
        <v>28</v>
      </c>
      <c r="B564">
        <f ca="1">IF(OR(changes[[#This Row],[Type]]="Checklist",changes[[#This Row],[Type]]="checklist-flat"),1+IF(changes[[#This Row],[Type of change]] = "Edit",COUNTIFS($I$4:changes[[#This Row],[Name]],changes[[#This Row],[Name]], $E$4:changes[[#This Row],[Type of change]], "Edit")),B563)</f>
        <v>1</v>
      </c>
      <c r="C564" s="16">
        <v>44609</v>
      </c>
      <c r="D564" s="10" t="s">
        <v>2452</v>
      </c>
      <c r="E564" s="10" t="s">
        <v>10</v>
      </c>
      <c r="F564" s="10" t="s">
        <v>9</v>
      </c>
      <c r="G564" s="10" t="s">
        <v>821</v>
      </c>
      <c r="H564" s="10" t="s">
        <v>55</v>
      </c>
      <c r="I564" s="10" t="s">
        <v>2455</v>
      </c>
      <c r="J564" s="10"/>
      <c r="K564" s="2"/>
      <c r="M564" s="2"/>
    </row>
    <row r="565" spans="1:13">
      <c r="A565" t="s">
        <v>28</v>
      </c>
      <c r="B565">
        <f ca="1">IF(OR(changes[[#This Row],[Type]]="Checklist",changes[[#This Row],[Type]]="checklist-flat"),1+IF(changes[[#This Row],[Type of change]] = "Edit",COUNTIFS($I$4:changes[[#This Row],[Name]],changes[[#This Row],[Name]], $E$4:changes[[#This Row],[Type of change]], "Edit")),B564)</f>
        <v>1</v>
      </c>
      <c r="C565" s="16">
        <v>44609</v>
      </c>
      <c r="D565" s="10" t="s">
        <v>2452</v>
      </c>
      <c r="E565" s="10" t="s">
        <v>10</v>
      </c>
      <c r="F565" s="10" t="s">
        <v>9</v>
      </c>
      <c r="G565" s="10" t="s">
        <v>821</v>
      </c>
      <c r="H565" s="10" t="s">
        <v>55</v>
      </c>
      <c r="I565" s="10" t="s">
        <v>763</v>
      </c>
      <c r="J565" s="10"/>
      <c r="K565" s="2"/>
      <c r="M565" s="2"/>
    </row>
    <row r="566" spans="1:13">
      <c r="A566" t="s">
        <v>11</v>
      </c>
      <c r="B566">
        <f ca="1">IF(OR(changes[[#This Row],[Type]]="Checklist",changes[[#This Row],[Type]]="checklist-flat"),1+IF(changes[[#This Row],[Type of change]] = "Edit",COUNTIFS($I$4:changes[[#This Row],[Name]],changes[[#This Row],[Name]], $E$4:changes[[#This Row],[Type of change]], "Edit")),B565)</f>
        <v>1</v>
      </c>
      <c r="C566" s="16">
        <v>44609</v>
      </c>
      <c r="D566" s="10" t="s">
        <v>2452</v>
      </c>
      <c r="E566" s="10" t="s">
        <v>2396</v>
      </c>
      <c r="F566" s="10" t="s">
        <v>9</v>
      </c>
      <c r="G566" s="10" t="s">
        <v>2447</v>
      </c>
      <c r="H566" s="10" t="s">
        <v>478</v>
      </c>
      <c r="I566" s="10" t="s">
        <v>2447</v>
      </c>
      <c r="J566" s="10"/>
      <c r="K566" s="2"/>
      <c r="M566" s="2" t="s">
        <v>2468</v>
      </c>
    </row>
    <row r="567" spans="1:13">
      <c r="A567" t="s">
        <v>11</v>
      </c>
      <c r="B567">
        <f ca="1">IF(OR(changes[[#This Row],[Type]]="Checklist",changes[[#This Row],[Type]]="checklist-flat"),1+IF(changes[[#This Row],[Type of change]] = "Edit",COUNTIFS($I$4:changes[[#This Row],[Name]],changes[[#This Row],[Name]], $E$4:changes[[#This Row],[Type of change]], "Edit")),B566)</f>
        <v>1</v>
      </c>
      <c r="C567" s="16">
        <v>44609</v>
      </c>
      <c r="D567" s="10" t="s">
        <v>2452</v>
      </c>
      <c r="E567" s="10" t="s">
        <v>2396</v>
      </c>
      <c r="F567" s="10" t="s">
        <v>9</v>
      </c>
      <c r="G567" s="10" t="s">
        <v>2447</v>
      </c>
      <c r="H567" s="10" t="s">
        <v>55</v>
      </c>
      <c r="I567" s="10" t="s">
        <v>62</v>
      </c>
      <c r="J567" s="10"/>
      <c r="K567" s="2"/>
      <c r="M567" s="2"/>
    </row>
    <row r="568" spans="1:13">
      <c r="A568" t="s">
        <v>11</v>
      </c>
      <c r="B568">
        <f ca="1">IF(OR(changes[[#This Row],[Type]]="Checklist",changes[[#This Row],[Type]]="checklist-flat"),1+IF(changes[[#This Row],[Type of change]] = "Edit",COUNTIFS($I$4:changes[[#This Row],[Name]],changes[[#This Row],[Name]], $E$4:changes[[#This Row],[Type of change]], "Edit")),B567)</f>
        <v>1</v>
      </c>
      <c r="C568" s="16">
        <v>44609</v>
      </c>
      <c r="D568" s="10" t="s">
        <v>2452</v>
      </c>
      <c r="E568" s="10" t="s">
        <v>2396</v>
      </c>
      <c r="F568" s="10" t="s">
        <v>9</v>
      </c>
      <c r="G568" s="10" t="s">
        <v>2447</v>
      </c>
      <c r="H568" s="10" t="s">
        <v>55</v>
      </c>
      <c r="I568" s="10" t="s">
        <v>63</v>
      </c>
      <c r="J568" s="10"/>
      <c r="K568" s="2"/>
      <c r="M568" s="2"/>
    </row>
    <row r="569" spans="1:13">
      <c r="A569" t="s">
        <v>11</v>
      </c>
      <c r="B569">
        <f ca="1">IF(OR(changes[[#This Row],[Type]]="Checklist",changes[[#This Row],[Type]]="checklist-flat"),1+IF(changes[[#This Row],[Type of change]] = "Edit",COUNTIFS($I$4:changes[[#This Row],[Name]],changes[[#This Row],[Name]], $E$4:changes[[#This Row],[Type of change]], "Edit")),B568)</f>
        <v>1</v>
      </c>
      <c r="C569" s="16">
        <v>44609</v>
      </c>
      <c r="D569" s="10" t="s">
        <v>2452</v>
      </c>
      <c r="E569" s="10" t="s">
        <v>2396</v>
      </c>
      <c r="F569" s="10" t="s">
        <v>9</v>
      </c>
      <c r="G569" s="10" t="s">
        <v>2447</v>
      </c>
      <c r="H569" s="10" t="s">
        <v>994</v>
      </c>
      <c r="I569" s="10" t="s">
        <v>2449</v>
      </c>
      <c r="J569" s="10"/>
      <c r="K569" s="2"/>
      <c r="M569" s="2"/>
    </row>
    <row r="570" spans="1:13">
      <c r="A570" t="s">
        <v>11</v>
      </c>
      <c r="B570">
        <f ca="1">IF(OR(changes[[#This Row],[Type]]="Checklist",changes[[#This Row],[Type]]="checklist-flat"),1+IF(changes[[#This Row],[Type of change]] = "Edit",COUNTIFS($I$4:changes[[#This Row],[Name]],changes[[#This Row],[Name]], $E$4:changes[[#This Row],[Type of change]], "Edit")),B569)</f>
        <v>1</v>
      </c>
      <c r="C570" s="16">
        <v>44609</v>
      </c>
      <c r="D570" s="10" t="s">
        <v>2452</v>
      </c>
      <c r="E570" s="10" t="s">
        <v>2396</v>
      </c>
      <c r="F570" s="10" t="s">
        <v>9</v>
      </c>
      <c r="G570" s="10" t="s">
        <v>2447</v>
      </c>
      <c r="H570" s="10" t="s">
        <v>55</v>
      </c>
      <c r="I570" s="10" t="s">
        <v>2469</v>
      </c>
      <c r="J570" s="10"/>
      <c r="K570" s="2"/>
      <c r="M570" s="2"/>
    </row>
    <row r="571" spans="1:13">
      <c r="A571" t="s">
        <v>28</v>
      </c>
      <c r="B571">
        <f ca="1">IF(OR(changes[[#This Row],[Type]]="Checklist",changes[[#This Row],[Type]]="checklist-flat"),1+IF(changes[[#This Row],[Type of change]] = "Edit",COUNTIFS($I$4:changes[[#This Row],[Name]],changes[[#This Row],[Name]], $E$4:changes[[#This Row],[Type of change]], "Edit")),B570)</f>
        <v>1</v>
      </c>
      <c r="C571" s="16">
        <v>44609</v>
      </c>
      <c r="D571" s="10" t="s">
        <v>2452</v>
      </c>
      <c r="E571" s="10" t="s">
        <v>2396</v>
      </c>
      <c r="F571" s="10" t="s">
        <v>9</v>
      </c>
      <c r="G571" s="10" t="s">
        <v>663</v>
      </c>
      <c r="H571" s="10" t="s">
        <v>478</v>
      </c>
      <c r="I571" s="10" t="s">
        <v>663</v>
      </c>
      <c r="J571" s="10"/>
      <c r="K571" s="2"/>
      <c r="M571" s="2"/>
    </row>
    <row r="572" spans="1:13">
      <c r="A572" t="s">
        <v>28</v>
      </c>
      <c r="B572">
        <f ca="1">IF(OR(changes[[#This Row],[Type]]="Checklist",changes[[#This Row],[Type]]="checklist-flat"),1+IF(changes[[#This Row],[Type of change]] = "Edit",COUNTIFS($I$4:changes[[#This Row],[Name]],changes[[#This Row],[Name]], $E$4:changes[[#This Row],[Type of change]], "Edit")),B571)</f>
        <v>1</v>
      </c>
      <c r="C572" s="16">
        <v>44609</v>
      </c>
      <c r="D572" s="10" t="s">
        <v>2452</v>
      </c>
      <c r="E572" s="10" t="s">
        <v>2396</v>
      </c>
      <c r="F572" s="10" t="s">
        <v>9</v>
      </c>
      <c r="G572" s="10" t="s">
        <v>663</v>
      </c>
      <c r="H572" s="10" t="s">
        <v>55</v>
      </c>
      <c r="I572" s="10" t="s">
        <v>62</v>
      </c>
      <c r="J572" s="10"/>
      <c r="K572" s="2"/>
      <c r="M572" s="2"/>
    </row>
    <row r="573" spans="1:13">
      <c r="A573" t="s">
        <v>28</v>
      </c>
      <c r="B573">
        <f ca="1">IF(OR(changes[[#This Row],[Type]]="Checklist",changes[[#This Row],[Type]]="checklist-flat"),1+IF(changes[[#This Row],[Type of change]] = "Edit",COUNTIFS($I$4:changes[[#This Row],[Name]],changes[[#This Row],[Name]], $E$4:changes[[#This Row],[Type of change]], "Edit")),B572)</f>
        <v>1</v>
      </c>
      <c r="C573" s="16">
        <v>44609</v>
      </c>
      <c r="D573" s="10" t="s">
        <v>2452</v>
      </c>
      <c r="E573" s="10" t="s">
        <v>2396</v>
      </c>
      <c r="F573" s="10" t="s">
        <v>9</v>
      </c>
      <c r="G573" s="10" t="s">
        <v>663</v>
      </c>
      <c r="H573" s="10" t="s">
        <v>55</v>
      </c>
      <c r="I573" s="10" t="s">
        <v>63</v>
      </c>
      <c r="K573" s="2"/>
      <c r="M573" s="2"/>
    </row>
    <row r="574" spans="1:13">
      <c r="A574" t="s">
        <v>28</v>
      </c>
      <c r="B574">
        <f ca="1">IF(OR(changes[[#This Row],[Type]]="Checklist",changes[[#This Row],[Type]]="checklist-flat"),1+IF(changes[[#This Row],[Type of change]] = "Edit",COUNTIFS($I$4:changes[[#This Row],[Name]],changes[[#This Row],[Name]], $E$4:changes[[#This Row],[Type of change]], "Edit")),B573)</f>
        <v>1</v>
      </c>
      <c r="C574" s="16">
        <v>44609</v>
      </c>
      <c r="D574" s="10" t="s">
        <v>2452</v>
      </c>
      <c r="E574" s="10" t="s">
        <v>2396</v>
      </c>
      <c r="F574" s="10" t="s">
        <v>9</v>
      </c>
      <c r="G574" s="10" t="s">
        <v>663</v>
      </c>
      <c r="H574" s="10" t="s">
        <v>994</v>
      </c>
      <c r="I574" s="10" t="s">
        <v>2449</v>
      </c>
      <c r="K574" s="2"/>
      <c r="M574" s="2"/>
    </row>
    <row r="575" spans="1:13">
      <c r="A575" t="s">
        <v>28</v>
      </c>
      <c r="B575">
        <f ca="1">IF(OR(changes[[#This Row],[Type]]="Checklist",changes[[#This Row],[Type]]="checklist-flat"),1+IF(changes[[#This Row],[Type of change]] = "Edit",COUNTIFS($I$4:changes[[#This Row],[Name]],changes[[#This Row],[Name]], $E$4:changes[[#This Row],[Type of change]], "Edit")),B574)</f>
        <v>1</v>
      </c>
      <c r="C575" s="16">
        <v>44609</v>
      </c>
      <c r="D575" s="10" t="s">
        <v>2452</v>
      </c>
      <c r="E575" s="10" t="s">
        <v>2396</v>
      </c>
      <c r="F575" s="10" t="s">
        <v>9</v>
      </c>
      <c r="G575" s="10" t="s">
        <v>663</v>
      </c>
      <c r="H575" s="10" t="s">
        <v>55</v>
      </c>
      <c r="I575" s="10" t="s">
        <v>2469</v>
      </c>
      <c r="K575" s="2"/>
      <c r="M575" s="2"/>
    </row>
    <row r="576" spans="1:13">
      <c r="A576" t="s">
        <v>28</v>
      </c>
      <c r="B576">
        <f ca="1">IF(OR(changes[[#This Row],[Type]]="Checklist",changes[[#This Row],[Type]]="checklist-flat"),1+IF(changes[[#This Row],[Type of change]] = "Edit",COUNTIFS($I$4:changes[[#This Row],[Name]],changes[[#This Row],[Name]], $E$4:changes[[#This Row],[Type of change]], "Edit")),B575)</f>
        <v>1</v>
      </c>
      <c r="C576" s="16">
        <v>44609</v>
      </c>
      <c r="D576" s="10" t="s">
        <v>2452</v>
      </c>
      <c r="E576" s="10" t="s">
        <v>2396</v>
      </c>
      <c r="F576" s="10" t="s">
        <v>9</v>
      </c>
      <c r="G576" s="10" t="s">
        <v>2470</v>
      </c>
      <c r="H576" s="10" t="s">
        <v>478</v>
      </c>
      <c r="I576" s="10" t="s">
        <v>2470</v>
      </c>
      <c r="K576" s="2"/>
      <c r="M576" s="2"/>
    </row>
    <row r="577" spans="1:13">
      <c r="A577" t="s">
        <v>28</v>
      </c>
      <c r="B577">
        <f ca="1">IF(OR(changes[[#This Row],[Type]]="Checklist",changes[[#This Row],[Type]]="checklist-flat"),1+IF(changes[[#This Row],[Type of change]] = "Edit",COUNTIFS($I$4:changes[[#This Row],[Name]],changes[[#This Row],[Name]], $E$4:changes[[#This Row],[Type of change]], "Edit")),B576)</f>
        <v>1</v>
      </c>
      <c r="C577" s="16">
        <v>44609</v>
      </c>
      <c r="D577" s="10" t="s">
        <v>2452</v>
      </c>
      <c r="E577" s="10" t="s">
        <v>2396</v>
      </c>
      <c r="F577" s="10" t="s">
        <v>9</v>
      </c>
      <c r="G577" s="10" t="s">
        <v>2470</v>
      </c>
      <c r="H577" s="10" t="s">
        <v>55</v>
      </c>
      <c r="I577" s="10" t="s">
        <v>62</v>
      </c>
      <c r="K577" s="2"/>
      <c r="M577" s="2"/>
    </row>
    <row r="578" spans="1:13">
      <c r="A578" t="s">
        <v>28</v>
      </c>
      <c r="B578">
        <f ca="1">IF(OR(changes[[#This Row],[Type]]="Checklist",changes[[#This Row],[Type]]="checklist-flat"),1+IF(changes[[#This Row],[Type of change]] = "Edit",COUNTIFS($I$4:changes[[#This Row],[Name]],changes[[#This Row],[Name]], $E$4:changes[[#This Row],[Type of change]], "Edit")),B577)</f>
        <v>1</v>
      </c>
      <c r="C578" s="16">
        <v>44609</v>
      </c>
      <c r="D578" s="10" t="s">
        <v>2452</v>
      </c>
      <c r="E578" s="10" t="s">
        <v>2396</v>
      </c>
      <c r="F578" s="10" t="s">
        <v>9</v>
      </c>
      <c r="G578" s="10" t="s">
        <v>2470</v>
      </c>
      <c r="H578" s="10" t="s">
        <v>55</v>
      </c>
      <c r="I578" s="10" t="s">
        <v>63</v>
      </c>
      <c r="K578" s="2"/>
      <c r="M578" s="2"/>
    </row>
    <row r="579" spans="1:13">
      <c r="A579" t="s">
        <v>28</v>
      </c>
      <c r="B579">
        <f ca="1">IF(OR(changes[[#This Row],[Type]]="Checklist",changes[[#This Row],[Type]]="checklist-flat"),1+IF(changes[[#This Row],[Type of change]] = "Edit",COUNTIFS($I$4:changes[[#This Row],[Name]],changes[[#This Row],[Name]], $E$4:changes[[#This Row],[Type of change]], "Edit")),B578)</f>
        <v>1</v>
      </c>
      <c r="C579" s="16">
        <v>44609</v>
      </c>
      <c r="D579" s="10" t="s">
        <v>2452</v>
      </c>
      <c r="E579" s="10" t="s">
        <v>2396</v>
      </c>
      <c r="F579" s="10" t="s">
        <v>9</v>
      </c>
      <c r="G579" s="10" t="s">
        <v>2470</v>
      </c>
      <c r="H579" s="10" t="s">
        <v>994</v>
      </c>
      <c r="I579" s="10" t="s">
        <v>2449</v>
      </c>
      <c r="K579" s="2"/>
      <c r="M579" s="2"/>
    </row>
    <row r="580" spans="1:13">
      <c r="A580" t="s">
        <v>28</v>
      </c>
      <c r="B580">
        <f ca="1">IF(OR(changes[[#This Row],[Type]]="Checklist",changes[[#This Row],[Type]]="checklist-flat"),1+IF(changes[[#This Row],[Type of change]] = "Edit",COUNTIFS($I$4:changes[[#This Row],[Name]],changes[[#This Row],[Name]], $E$4:changes[[#This Row],[Type of change]], "Edit")),B579)</f>
        <v>1</v>
      </c>
      <c r="C580" s="16">
        <v>44609</v>
      </c>
      <c r="D580" s="10" t="s">
        <v>2452</v>
      </c>
      <c r="E580" s="10" t="s">
        <v>2396</v>
      </c>
      <c r="F580" s="10" t="s">
        <v>9</v>
      </c>
      <c r="G580" s="10" t="s">
        <v>2470</v>
      </c>
      <c r="H580" s="10" t="s">
        <v>55</v>
      </c>
      <c r="I580" s="10" t="s">
        <v>647</v>
      </c>
      <c r="K580" s="2"/>
      <c r="M580" s="2"/>
    </row>
    <row r="581" spans="1:13">
      <c r="A581" t="s">
        <v>28</v>
      </c>
      <c r="B581">
        <f ca="1">IF(OR(changes[[#This Row],[Type]]="Checklist",changes[[#This Row],[Type]]="checklist-flat"),1+IF(changes[[#This Row],[Type of change]] = "Edit",COUNTIFS($I$4:changes[[#This Row],[Name]],changes[[#This Row],[Name]], $E$4:changes[[#This Row],[Type of change]], "Edit")),B580)</f>
        <v>1</v>
      </c>
      <c r="C581" s="16">
        <v>44609</v>
      </c>
      <c r="D581" s="10" t="s">
        <v>2452</v>
      </c>
      <c r="E581" s="10" t="s">
        <v>2396</v>
      </c>
      <c r="F581" s="10" t="s">
        <v>9</v>
      </c>
      <c r="G581" s="10" t="s">
        <v>616</v>
      </c>
      <c r="H581" s="10" t="s">
        <v>478</v>
      </c>
      <c r="I581" s="10" t="s">
        <v>616</v>
      </c>
      <c r="K581" s="2"/>
      <c r="M581" s="2"/>
    </row>
    <row r="582" spans="1:13">
      <c r="A582" t="s">
        <v>28</v>
      </c>
      <c r="B582">
        <f ca="1">IF(OR(changes[[#This Row],[Type]]="Checklist",changes[[#This Row],[Type]]="checklist-flat"),1+IF(changes[[#This Row],[Type of change]] = "Edit",COUNTIFS($I$4:changes[[#This Row],[Name]],changes[[#This Row],[Name]], $E$4:changes[[#This Row],[Type of change]], "Edit")),B581)</f>
        <v>1</v>
      </c>
      <c r="C582" s="16">
        <v>44609</v>
      </c>
      <c r="D582" s="10" t="s">
        <v>2452</v>
      </c>
      <c r="E582" s="10" t="s">
        <v>2396</v>
      </c>
      <c r="F582" s="10" t="s">
        <v>9</v>
      </c>
      <c r="G582" s="10" t="s">
        <v>616</v>
      </c>
      <c r="H582" s="10" t="s">
        <v>55</v>
      </c>
      <c r="I582" s="10" t="s">
        <v>62</v>
      </c>
      <c r="K582" s="2"/>
      <c r="M582" s="2"/>
    </row>
    <row r="583" spans="1:13">
      <c r="A583" t="s">
        <v>28</v>
      </c>
      <c r="B583">
        <f ca="1">IF(OR(changes[[#This Row],[Type]]="Checklist",changes[[#This Row],[Type]]="checklist-flat"),1+IF(changes[[#This Row],[Type of change]] = "Edit",COUNTIFS($I$4:changes[[#This Row],[Name]],changes[[#This Row],[Name]], $E$4:changes[[#This Row],[Type of change]], "Edit")),B582)</f>
        <v>1</v>
      </c>
      <c r="C583" s="16">
        <v>44609</v>
      </c>
      <c r="D583" s="10" t="s">
        <v>2452</v>
      </c>
      <c r="E583" s="10" t="s">
        <v>2396</v>
      </c>
      <c r="F583" s="10" t="s">
        <v>9</v>
      </c>
      <c r="G583" s="10" t="s">
        <v>616</v>
      </c>
      <c r="H583" s="10" t="s">
        <v>55</v>
      </c>
      <c r="I583" s="10" t="s">
        <v>63</v>
      </c>
      <c r="K583" s="2"/>
      <c r="M583" s="2"/>
    </row>
    <row r="584" spans="1:13">
      <c r="A584" t="s">
        <v>28</v>
      </c>
      <c r="B584">
        <f ca="1">IF(OR(changes[[#This Row],[Type]]="Checklist",changes[[#This Row],[Type]]="checklist-flat"),1+IF(changes[[#This Row],[Type of change]] = "Edit",COUNTIFS($I$4:changes[[#This Row],[Name]],changes[[#This Row],[Name]], $E$4:changes[[#This Row],[Type of change]], "Edit")),B583)</f>
        <v>1</v>
      </c>
      <c r="C584" s="16">
        <v>44609</v>
      </c>
      <c r="D584" s="10" t="s">
        <v>2452</v>
      </c>
      <c r="E584" s="10" t="s">
        <v>2396</v>
      </c>
      <c r="F584" s="10" t="s">
        <v>9</v>
      </c>
      <c r="G584" s="10" t="s">
        <v>616</v>
      </c>
      <c r="H584" s="10" t="s">
        <v>994</v>
      </c>
      <c r="I584" s="10" t="s">
        <v>2449</v>
      </c>
      <c r="K584" s="2"/>
      <c r="M584" s="2"/>
    </row>
    <row r="585" spans="1:13">
      <c r="A585" t="s">
        <v>28</v>
      </c>
      <c r="B585">
        <f ca="1">IF(OR(changes[[#This Row],[Type]]="Checklist",changes[[#This Row],[Type]]="checklist-flat"),1+IF(changes[[#This Row],[Type of change]] = "Edit",COUNTIFS($I$4:changes[[#This Row],[Name]],changes[[#This Row],[Name]], $E$4:changes[[#This Row],[Type of change]], "Edit")),B584)</f>
        <v>1</v>
      </c>
      <c r="C585" s="16">
        <v>44609</v>
      </c>
      <c r="D585" s="10" t="s">
        <v>2452</v>
      </c>
      <c r="E585" s="10" t="s">
        <v>2396</v>
      </c>
      <c r="F585" s="10" t="s">
        <v>9</v>
      </c>
      <c r="G585" s="10" t="s">
        <v>616</v>
      </c>
      <c r="H585" s="10" t="s">
        <v>55</v>
      </c>
      <c r="I585" s="10" t="s">
        <v>647</v>
      </c>
      <c r="K585" s="2"/>
      <c r="M585" s="2"/>
    </row>
    <row r="586" spans="1:13">
      <c r="A586" t="s">
        <v>28</v>
      </c>
      <c r="B586">
        <f ca="1">IF(OR(changes[[#This Row],[Type]]="Checklist",changes[[#This Row],[Type]]="checklist-flat"),1+IF(changes[[#This Row],[Type of change]] = "Edit",COUNTIFS($I$4:changes[[#This Row],[Name]],changes[[#This Row],[Name]], $E$4:changes[[#This Row],[Type of change]], "Edit")),B585)</f>
        <v>1</v>
      </c>
      <c r="C586" s="16">
        <v>44609</v>
      </c>
      <c r="D586" s="10" t="s">
        <v>2452</v>
      </c>
      <c r="E586" s="10" t="s">
        <v>2396</v>
      </c>
      <c r="F586" s="10" t="s">
        <v>9</v>
      </c>
      <c r="G586" s="10" t="s">
        <v>665</v>
      </c>
      <c r="H586" s="10" t="s">
        <v>478</v>
      </c>
      <c r="I586" s="10" t="s">
        <v>665</v>
      </c>
      <c r="K586" s="2"/>
      <c r="M586" s="2" t="s">
        <v>2462</v>
      </c>
    </row>
    <row r="587" spans="1:13">
      <c r="A587" t="s">
        <v>28</v>
      </c>
      <c r="B587">
        <f ca="1">IF(OR(changes[[#This Row],[Type]]="Checklist",changes[[#This Row],[Type]]="checklist-flat"),1+IF(changes[[#This Row],[Type of change]] = "Edit",COUNTIFS($I$4:changes[[#This Row],[Name]],changes[[#This Row],[Name]], $E$4:changes[[#This Row],[Type of change]], "Edit")),B586)</f>
        <v>1</v>
      </c>
      <c r="C587" s="16">
        <v>44609</v>
      </c>
      <c r="D587" s="10" t="s">
        <v>2452</v>
      </c>
      <c r="E587" s="10" t="s">
        <v>2396</v>
      </c>
      <c r="F587" s="10" t="s">
        <v>9</v>
      </c>
      <c r="G587" s="10" t="s">
        <v>665</v>
      </c>
      <c r="H587" s="10" t="s">
        <v>55</v>
      </c>
      <c r="I587" s="10" t="s">
        <v>62</v>
      </c>
      <c r="K587" s="2"/>
      <c r="M587" s="2"/>
    </row>
    <row r="588" spans="1:13">
      <c r="A588" t="s">
        <v>28</v>
      </c>
      <c r="B588">
        <f ca="1">IF(OR(changes[[#This Row],[Type]]="Checklist",changes[[#This Row],[Type]]="checklist-flat"),1+IF(changes[[#This Row],[Type of change]] = "Edit",COUNTIFS($I$4:changes[[#This Row],[Name]],changes[[#This Row],[Name]], $E$4:changes[[#This Row],[Type of change]], "Edit")),B587)</f>
        <v>1</v>
      </c>
      <c r="C588" s="16">
        <v>44609</v>
      </c>
      <c r="D588" s="10" t="s">
        <v>2452</v>
      </c>
      <c r="E588" s="10" t="s">
        <v>2396</v>
      </c>
      <c r="F588" s="10" t="s">
        <v>9</v>
      </c>
      <c r="G588" s="10" t="s">
        <v>665</v>
      </c>
      <c r="H588" s="10" t="s">
        <v>55</v>
      </c>
      <c r="I588" s="10" t="s">
        <v>63</v>
      </c>
      <c r="K588" s="2"/>
      <c r="M588" s="2"/>
    </row>
    <row r="589" spans="1:13">
      <c r="A589" t="s">
        <v>28</v>
      </c>
      <c r="B589">
        <f ca="1">IF(OR(changes[[#This Row],[Type]]="Checklist",changes[[#This Row],[Type]]="checklist-flat"),1+IF(changes[[#This Row],[Type of change]] = "Edit",COUNTIFS($I$4:changes[[#This Row],[Name]],changes[[#This Row],[Name]], $E$4:changes[[#This Row],[Type of change]], "Edit")),B588)</f>
        <v>1</v>
      </c>
      <c r="C589" s="16">
        <v>44609</v>
      </c>
      <c r="D589" s="10" t="s">
        <v>2452</v>
      </c>
      <c r="E589" s="10" t="s">
        <v>2396</v>
      </c>
      <c r="F589" s="10" t="s">
        <v>9</v>
      </c>
      <c r="G589" s="10" t="s">
        <v>665</v>
      </c>
      <c r="H589" s="10" t="s">
        <v>994</v>
      </c>
      <c r="I589" s="10" t="s">
        <v>2449</v>
      </c>
      <c r="K589" s="2"/>
      <c r="M589" s="2"/>
    </row>
    <row r="590" spans="1:13">
      <c r="A590" t="s">
        <v>28</v>
      </c>
      <c r="B590">
        <f ca="1">IF(OR(changes[[#This Row],[Type]]="Checklist",changes[[#This Row],[Type]]="checklist-flat"),1+IF(changes[[#This Row],[Type of change]] = "Edit",COUNTIFS($I$4:changes[[#This Row],[Name]],changes[[#This Row],[Name]], $E$4:changes[[#This Row],[Type of change]], "Edit")),B589)</f>
        <v>1</v>
      </c>
      <c r="C590" s="16">
        <v>44609</v>
      </c>
      <c r="D590" s="10" t="s">
        <v>2452</v>
      </c>
      <c r="E590" s="10" t="s">
        <v>2396</v>
      </c>
      <c r="F590" s="10" t="s">
        <v>9</v>
      </c>
      <c r="G590" s="10" t="s">
        <v>665</v>
      </c>
      <c r="H590" s="10" t="s">
        <v>55</v>
      </c>
      <c r="I590" s="10" t="s">
        <v>647</v>
      </c>
      <c r="K590" s="2"/>
      <c r="M590" s="2"/>
    </row>
    <row r="591" spans="1:13">
      <c r="A591" t="s">
        <v>28</v>
      </c>
      <c r="B591">
        <f ca="1">IF(OR(changes[[#This Row],[Type]]="Checklist",changes[[#This Row],[Type]]="checklist-flat"),1+IF(changes[[#This Row],[Type of change]] = "Edit",COUNTIFS($I$4:changes[[#This Row],[Name]],changes[[#This Row],[Name]], $E$4:changes[[#This Row],[Type of change]], "Edit")),B590)</f>
        <v>1</v>
      </c>
      <c r="C591" s="16">
        <v>44609</v>
      </c>
      <c r="D591" s="10" t="s">
        <v>2452</v>
      </c>
      <c r="E591" s="10" t="s">
        <v>2396</v>
      </c>
      <c r="F591" s="10" t="s">
        <v>9</v>
      </c>
      <c r="G591" s="10" t="s">
        <v>652</v>
      </c>
      <c r="H591" s="10" t="s">
        <v>478</v>
      </c>
      <c r="I591" s="10" t="s">
        <v>652</v>
      </c>
      <c r="K591" s="2"/>
      <c r="M591" s="2"/>
    </row>
    <row r="592" spans="1:13">
      <c r="A592" t="s">
        <v>28</v>
      </c>
      <c r="B592">
        <f ca="1">IF(OR(changes[[#This Row],[Type]]="Checklist",changes[[#This Row],[Type]]="checklist-flat"),1+IF(changes[[#This Row],[Type of change]] = "Edit",COUNTIFS($I$4:changes[[#This Row],[Name]],changes[[#This Row],[Name]], $E$4:changes[[#This Row],[Type of change]], "Edit")),B591)</f>
        <v>1</v>
      </c>
      <c r="C592" s="16">
        <v>44609</v>
      </c>
      <c r="D592" s="10" t="s">
        <v>2452</v>
      </c>
      <c r="E592" s="10" t="s">
        <v>2396</v>
      </c>
      <c r="F592" s="10" t="s">
        <v>9</v>
      </c>
      <c r="G592" s="10" t="s">
        <v>652</v>
      </c>
      <c r="H592" s="10" t="s">
        <v>55</v>
      </c>
      <c r="I592" s="10" t="s">
        <v>62</v>
      </c>
      <c r="K592" s="2"/>
      <c r="M592" s="2"/>
    </row>
    <row r="593" spans="1:13">
      <c r="A593" t="s">
        <v>28</v>
      </c>
      <c r="B593">
        <f ca="1">IF(OR(changes[[#This Row],[Type]]="Checklist",changes[[#This Row],[Type]]="checklist-flat"),1+IF(changes[[#This Row],[Type of change]] = "Edit",COUNTIFS($I$4:changes[[#This Row],[Name]],changes[[#This Row],[Name]], $E$4:changes[[#This Row],[Type of change]], "Edit")),B592)</f>
        <v>1</v>
      </c>
      <c r="C593" s="16">
        <v>44609</v>
      </c>
      <c r="D593" s="10" t="s">
        <v>2452</v>
      </c>
      <c r="E593" s="10" t="s">
        <v>2396</v>
      </c>
      <c r="F593" s="10" t="s">
        <v>9</v>
      </c>
      <c r="G593" s="10" t="s">
        <v>652</v>
      </c>
      <c r="H593" s="10" t="s">
        <v>55</v>
      </c>
      <c r="I593" s="10" t="s">
        <v>63</v>
      </c>
      <c r="K593" s="2"/>
      <c r="M593" s="2"/>
    </row>
    <row r="594" spans="1:13">
      <c r="A594" t="s">
        <v>28</v>
      </c>
      <c r="B594">
        <f ca="1">IF(OR(changes[[#This Row],[Type]]="Checklist",changes[[#This Row],[Type]]="checklist-flat"),1+IF(changes[[#This Row],[Type of change]] = "Edit",COUNTIFS($I$4:changes[[#This Row],[Name]],changes[[#This Row],[Name]], $E$4:changes[[#This Row],[Type of change]], "Edit")),B593)</f>
        <v>1</v>
      </c>
      <c r="C594" s="16">
        <v>44609</v>
      </c>
      <c r="D594" s="10" t="s">
        <v>2452</v>
      </c>
      <c r="E594" s="10" t="s">
        <v>2396</v>
      </c>
      <c r="F594" s="10" t="s">
        <v>9</v>
      </c>
      <c r="G594" s="10" t="s">
        <v>652</v>
      </c>
      <c r="H594" s="10" t="s">
        <v>994</v>
      </c>
      <c r="I594" s="10" t="s">
        <v>2449</v>
      </c>
      <c r="K594" s="2"/>
      <c r="M594" s="2"/>
    </row>
    <row r="595" spans="1:13">
      <c r="A595" t="s">
        <v>28</v>
      </c>
      <c r="B595">
        <f ca="1">IF(OR(changes[[#This Row],[Type]]="Checklist",changes[[#This Row],[Type]]="checklist-flat"),1+IF(changes[[#This Row],[Type of change]] = "Edit",COUNTIFS($I$4:changes[[#This Row],[Name]],changes[[#This Row],[Name]], $E$4:changes[[#This Row],[Type of change]], "Edit")),B594)</f>
        <v>1</v>
      </c>
      <c r="C595" s="16">
        <v>44609</v>
      </c>
      <c r="D595" s="10" t="s">
        <v>2452</v>
      </c>
      <c r="E595" s="10" t="s">
        <v>2396</v>
      </c>
      <c r="F595" s="10" t="s">
        <v>9</v>
      </c>
      <c r="G595" s="10" t="s">
        <v>652</v>
      </c>
      <c r="H595" s="10" t="s">
        <v>55</v>
      </c>
      <c r="I595" s="10" t="s">
        <v>647</v>
      </c>
      <c r="K595" s="2"/>
      <c r="M595" s="2"/>
    </row>
    <row r="596" spans="1:13">
      <c r="A596" t="s">
        <v>28</v>
      </c>
      <c r="B596">
        <f ca="1">IF(OR(changes[[#This Row],[Type]]="Checklist",changes[[#This Row],[Type]]="checklist-flat"),1+IF(changes[[#This Row],[Type of change]] = "Edit",COUNTIFS($I$4:changes[[#This Row],[Name]],changes[[#This Row],[Name]], $E$4:changes[[#This Row],[Type of change]], "Edit")),B595)</f>
        <v>1</v>
      </c>
      <c r="C596" s="16">
        <v>44609</v>
      </c>
      <c r="D596" s="10" t="s">
        <v>2452</v>
      </c>
      <c r="E596" s="10" t="s">
        <v>2396</v>
      </c>
      <c r="F596" s="10" t="s">
        <v>9</v>
      </c>
      <c r="G596" s="10" t="s">
        <v>2471</v>
      </c>
      <c r="H596" s="10" t="s">
        <v>478</v>
      </c>
      <c r="I596" s="10" t="s">
        <v>2471</v>
      </c>
      <c r="K596" s="2"/>
      <c r="M596" s="2" t="s">
        <v>2472</v>
      </c>
    </row>
    <row r="597" spans="1:13">
      <c r="A597" t="s">
        <v>28</v>
      </c>
      <c r="B597">
        <f ca="1">IF(OR(changes[[#This Row],[Type]]="Checklist",changes[[#This Row],[Type]]="checklist-flat"),1+IF(changes[[#This Row],[Type of change]] = "Edit",COUNTIFS($I$4:changes[[#This Row],[Name]],changes[[#This Row],[Name]], $E$4:changes[[#This Row],[Type of change]], "Edit")),B596)</f>
        <v>1</v>
      </c>
      <c r="C597" s="16">
        <v>44609</v>
      </c>
      <c r="D597" s="10" t="s">
        <v>2452</v>
      </c>
      <c r="E597" s="10" t="s">
        <v>2396</v>
      </c>
      <c r="F597" s="10" t="s">
        <v>9</v>
      </c>
      <c r="G597" s="10" t="s">
        <v>2471</v>
      </c>
      <c r="H597" s="10" t="s">
        <v>55</v>
      </c>
      <c r="I597" s="10" t="s">
        <v>62</v>
      </c>
      <c r="K597" s="2"/>
      <c r="M597" s="2"/>
    </row>
    <row r="598" spans="1:13">
      <c r="A598" t="s">
        <v>28</v>
      </c>
      <c r="B598">
        <f ca="1">IF(OR(changes[[#This Row],[Type]]="Checklist",changes[[#This Row],[Type]]="checklist-flat"),1+IF(changes[[#This Row],[Type of change]] = "Edit",COUNTIFS($I$4:changes[[#This Row],[Name]],changes[[#This Row],[Name]], $E$4:changes[[#This Row],[Type of change]], "Edit")),B597)</f>
        <v>1</v>
      </c>
      <c r="C598" s="16">
        <v>44609</v>
      </c>
      <c r="D598" s="10" t="s">
        <v>2452</v>
      </c>
      <c r="E598" s="10" t="s">
        <v>2396</v>
      </c>
      <c r="F598" s="10" t="s">
        <v>9</v>
      </c>
      <c r="G598" s="10" t="s">
        <v>2471</v>
      </c>
      <c r="H598" s="10" t="s">
        <v>55</v>
      </c>
      <c r="I598" s="10" t="s">
        <v>63</v>
      </c>
      <c r="K598" s="2"/>
      <c r="M598" s="2"/>
    </row>
    <row r="599" spans="1:13">
      <c r="A599" t="s">
        <v>28</v>
      </c>
      <c r="B599">
        <f ca="1">IF(OR(changes[[#This Row],[Type]]="Checklist",changes[[#This Row],[Type]]="checklist-flat"),1+IF(changes[[#This Row],[Type of change]] = "Edit",COUNTIFS($I$4:changes[[#This Row],[Name]],changes[[#This Row],[Name]], $E$4:changes[[#This Row],[Type of change]], "Edit")),B598)</f>
        <v>1</v>
      </c>
      <c r="C599" s="16">
        <v>44609</v>
      </c>
      <c r="D599" s="10" t="s">
        <v>2452</v>
      </c>
      <c r="E599" s="10" t="s">
        <v>2396</v>
      </c>
      <c r="F599" s="10" t="s">
        <v>9</v>
      </c>
      <c r="G599" s="10" t="s">
        <v>2471</v>
      </c>
      <c r="H599" s="10" t="s">
        <v>994</v>
      </c>
      <c r="I599" s="10" t="s">
        <v>2449</v>
      </c>
      <c r="K599" s="2"/>
      <c r="M599" s="2"/>
    </row>
    <row r="600" spans="1:13">
      <c r="A600" t="s">
        <v>28</v>
      </c>
      <c r="B600">
        <f ca="1">IF(OR(changes[[#This Row],[Type]]="Checklist",changes[[#This Row],[Type]]="checklist-flat"),1+IF(changes[[#This Row],[Type of change]] = "Edit",COUNTIFS($I$4:changes[[#This Row],[Name]],changes[[#This Row],[Name]], $E$4:changes[[#This Row],[Type of change]], "Edit")),B599)</f>
        <v>1</v>
      </c>
      <c r="C600" s="16">
        <v>44609</v>
      </c>
      <c r="D600" s="10" t="s">
        <v>2452</v>
      </c>
      <c r="E600" s="10" t="s">
        <v>2396</v>
      </c>
      <c r="F600" s="10" t="s">
        <v>9</v>
      </c>
      <c r="G600" s="10" t="s">
        <v>2471</v>
      </c>
      <c r="H600" s="10" t="s">
        <v>55</v>
      </c>
      <c r="I600" s="10" t="s">
        <v>647</v>
      </c>
      <c r="K600" s="2"/>
      <c r="M600" s="2"/>
    </row>
    <row r="601" spans="1:13">
      <c r="A601" t="s">
        <v>28</v>
      </c>
      <c r="B601">
        <f ca="1">IF(OR(changes[[#This Row],[Type]]="Checklist",changes[[#This Row],[Type]]="checklist-flat"),1+IF(changes[[#This Row],[Type of change]] = "Edit",COUNTIFS($I$4:changes[[#This Row],[Name]],changes[[#This Row],[Name]], $E$4:changes[[#This Row],[Type of change]], "Edit")),B600)</f>
        <v>1</v>
      </c>
      <c r="C601" s="16">
        <v>44609</v>
      </c>
      <c r="D601" s="10" t="s">
        <v>2452</v>
      </c>
      <c r="E601" s="10" t="s">
        <v>2396</v>
      </c>
      <c r="F601" s="10" t="s">
        <v>9</v>
      </c>
      <c r="G601" s="10" t="s">
        <v>2473</v>
      </c>
      <c r="H601" s="10" t="s">
        <v>478</v>
      </c>
      <c r="I601" s="10" t="s">
        <v>2473</v>
      </c>
      <c r="K601" s="2"/>
      <c r="M601" s="2" t="s">
        <v>2472</v>
      </c>
    </row>
    <row r="602" spans="1:13">
      <c r="A602" t="s">
        <v>28</v>
      </c>
      <c r="B602">
        <f ca="1">IF(OR(changes[[#This Row],[Type]]="Checklist",changes[[#This Row],[Type]]="checklist-flat"),1+IF(changes[[#This Row],[Type of change]] = "Edit",COUNTIFS($I$4:changes[[#This Row],[Name]],changes[[#This Row],[Name]], $E$4:changes[[#This Row],[Type of change]], "Edit")),B601)</f>
        <v>1</v>
      </c>
      <c r="C602" s="16">
        <v>44609</v>
      </c>
      <c r="D602" s="10" t="s">
        <v>2452</v>
      </c>
      <c r="E602" s="10" t="s">
        <v>2396</v>
      </c>
      <c r="F602" s="10" t="s">
        <v>9</v>
      </c>
      <c r="G602" s="10" t="s">
        <v>2473</v>
      </c>
      <c r="H602" s="10" t="s">
        <v>55</v>
      </c>
      <c r="I602" s="10" t="s">
        <v>62</v>
      </c>
      <c r="K602" s="2"/>
      <c r="M602" s="2"/>
    </row>
    <row r="603" spans="1:13">
      <c r="A603" t="s">
        <v>28</v>
      </c>
      <c r="B603">
        <f ca="1">IF(OR(changes[[#This Row],[Type]]="Checklist",changes[[#This Row],[Type]]="checklist-flat"),1+IF(changes[[#This Row],[Type of change]] = "Edit",COUNTIFS($I$4:changes[[#This Row],[Name]],changes[[#This Row],[Name]], $E$4:changes[[#This Row],[Type of change]], "Edit")),B602)</f>
        <v>1</v>
      </c>
      <c r="C603" s="16">
        <v>44609</v>
      </c>
      <c r="D603" s="10" t="s">
        <v>2452</v>
      </c>
      <c r="E603" s="10" t="s">
        <v>2396</v>
      </c>
      <c r="F603" s="10" t="s">
        <v>9</v>
      </c>
      <c r="G603" s="10" t="s">
        <v>2473</v>
      </c>
      <c r="H603" s="10" t="s">
        <v>55</v>
      </c>
      <c r="I603" s="10" t="s">
        <v>63</v>
      </c>
      <c r="K603" s="2"/>
      <c r="M603" s="2"/>
    </row>
    <row r="604" spans="1:13">
      <c r="A604" t="s">
        <v>28</v>
      </c>
      <c r="B604">
        <f ca="1">IF(OR(changes[[#This Row],[Type]]="Checklist",changes[[#This Row],[Type]]="checklist-flat"),1+IF(changes[[#This Row],[Type of change]] = "Edit",COUNTIFS($I$4:changes[[#This Row],[Name]],changes[[#This Row],[Name]], $E$4:changes[[#This Row],[Type of change]], "Edit")),B603)</f>
        <v>1</v>
      </c>
      <c r="C604" s="16">
        <v>44609</v>
      </c>
      <c r="D604" s="10" t="s">
        <v>2452</v>
      </c>
      <c r="E604" s="10" t="s">
        <v>2396</v>
      </c>
      <c r="F604" s="10" t="s">
        <v>9</v>
      </c>
      <c r="G604" s="10" t="s">
        <v>2473</v>
      </c>
      <c r="H604" s="10" t="s">
        <v>994</v>
      </c>
      <c r="I604" s="10" t="s">
        <v>2449</v>
      </c>
      <c r="K604" s="2"/>
      <c r="M604" s="2"/>
    </row>
    <row r="605" spans="1:13">
      <c r="A605" t="s">
        <v>28</v>
      </c>
      <c r="B605">
        <f ca="1">IF(OR(changes[[#This Row],[Type]]="Checklist",changes[[#This Row],[Type]]="checklist-flat"),1+IF(changes[[#This Row],[Type of change]] = "Edit",COUNTIFS($I$4:changes[[#This Row],[Name]],changes[[#This Row],[Name]], $E$4:changes[[#This Row],[Type of change]], "Edit")),B604)</f>
        <v>1</v>
      </c>
      <c r="C605" s="16">
        <v>44609</v>
      </c>
      <c r="D605" s="10" t="s">
        <v>2452</v>
      </c>
      <c r="E605" s="10" t="s">
        <v>2396</v>
      </c>
      <c r="F605" s="10" t="s">
        <v>9</v>
      </c>
      <c r="G605" s="10" t="s">
        <v>2473</v>
      </c>
      <c r="H605" s="10" t="s">
        <v>55</v>
      </c>
      <c r="I605" s="10" t="s">
        <v>649</v>
      </c>
      <c r="K605" s="2"/>
      <c r="M605" s="2"/>
    </row>
    <row r="606" spans="1:13">
      <c r="A606" t="s">
        <v>28</v>
      </c>
      <c r="B606">
        <f ca="1">IF(OR(changes[[#This Row],[Type]]="Checklist",changes[[#This Row],[Type]]="checklist-flat"),1+IF(changes[[#This Row],[Type of change]] = "Edit",COUNTIFS($I$4:changes[[#This Row],[Name]],changes[[#This Row],[Name]], $E$4:changes[[#This Row],[Type of change]], "Edit")),B605)</f>
        <v>1</v>
      </c>
      <c r="C606" s="16">
        <v>44610</v>
      </c>
      <c r="D606" s="10" t="s">
        <v>2427</v>
      </c>
      <c r="E606" s="10" t="s">
        <v>2396</v>
      </c>
      <c r="F606" s="10" t="s">
        <v>9</v>
      </c>
      <c r="G606" s="10" t="s">
        <v>2474</v>
      </c>
      <c r="H606" s="10" t="s">
        <v>478</v>
      </c>
      <c r="I606" s="10" t="s">
        <v>2474</v>
      </c>
      <c r="K606" s="2"/>
      <c r="M606" s="2" t="s">
        <v>2475</v>
      </c>
    </row>
    <row r="607" spans="1:13">
      <c r="A607" t="s">
        <v>28</v>
      </c>
      <c r="B607">
        <f ca="1">IF(OR(changes[[#This Row],[Type]]="Checklist",changes[[#This Row],[Type]]="checklist-flat"),1+IF(changes[[#This Row],[Type of change]] = "Edit",COUNTIFS($I$4:changes[[#This Row],[Name]],changes[[#This Row],[Name]], $E$4:changes[[#This Row],[Type of change]], "Edit")),B606)</f>
        <v>1</v>
      </c>
      <c r="C607" s="16">
        <v>44610</v>
      </c>
      <c r="D607" s="10" t="s">
        <v>2427</v>
      </c>
      <c r="E607" s="10" t="s">
        <v>2396</v>
      </c>
      <c r="F607" s="10" t="s">
        <v>9</v>
      </c>
      <c r="G607" s="10" t="s">
        <v>2474</v>
      </c>
      <c r="H607" s="10" t="s">
        <v>479</v>
      </c>
      <c r="I607" s="10" t="s">
        <v>1176</v>
      </c>
      <c r="K607" s="2"/>
      <c r="M607" s="2"/>
    </row>
    <row r="608" spans="1:13">
      <c r="A608" t="s">
        <v>28</v>
      </c>
      <c r="B608">
        <f ca="1">IF(OR(changes[[#This Row],[Type]]="Checklist",changes[[#This Row],[Type]]="checklist-flat"),1+IF(changes[[#This Row],[Type of change]] = "Edit",COUNTIFS($I$4:changes[[#This Row],[Name]],changes[[#This Row],[Name]], $E$4:changes[[#This Row],[Type of change]], "Edit")),B607)</f>
        <v>1</v>
      </c>
      <c r="C608" s="16">
        <v>44610</v>
      </c>
      <c r="D608" s="10" t="s">
        <v>2427</v>
      </c>
      <c r="E608" s="10" t="s">
        <v>2396</v>
      </c>
      <c r="F608" s="10" t="s">
        <v>9</v>
      </c>
      <c r="G608" s="10" t="s">
        <v>2474</v>
      </c>
      <c r="H608" s="10" t="s">
        <v>55</v>
      </c>
      <c r="I608" s="10" t="s">
        <v>1177</v>
      </c>
      <c r="K608" s="2"/>
      <c r="M608" s="2"/>
    </row>
    <row r="609" spans="1:13">
      <c r="A609" t="s">
        <v>28</v>
      </c>
      <c r="B609">
        <f ca="1">IF(OR(changes[[#This Row],[Type]]="Checklist",changes[[#This Row],[Type]]="checklist-flat"),1+IF(changes[[#This Row],[Type of change]] = "Edit",COUNTIFS($I$4:changes[[#This Row],[Name]],changes[[#This Row],[Name]], $E$4:changes[[#This Row],[Type of change]], "Edit")),B608)</f>
        <v>1</v>
      </c>
      <c r="C609" s="16">
        <v>44610</v>
      </c>
      <c r="D609" s="10" t="s">
        <v>2427</v>
      </c>
      <c r="E609" s="10" t="s">
        <v>2396</v>
      </c>
      <c r="F609" s="10" t="s">
        <v>9</v>
      </c>
      <c r="G609" s="10" t="s">
        <v>2474</v>
      </c>
      <c r="H609" s="10" t="s">
        <v>55</v>
      </c>
      <c r="I609" s="10" t="s">
        <v>1178</v>
      </c>
      <c r="K609" s="2"/>
      <c r="M609" s="2"/>
    </row>
    <row r="610" spans="1:13">
      <c r="A610" t="s">
        <v>28</v>
      </c>
      <c r="B610">
        <f ca="1">IF(OR(changes[[#This Row],[Type]]="Checklist",changes[[#This Row],[Type]]="checklist-flat"),1+IF(changes[[#This Row],[Type of change]] = "Edit",COUNTIFS($I$4:changes[[#This Row],[Name]],changes[[#This Row],[Name]], $E$4:changes[[#This Row],[Type of change]], "Edit")),B609)</f>
        <v>1</v>
      </c>
      <c r="C610" s="16">
        <v>44610</v>
      </c>
      <c r="D610" s="10" t="s">
        <v>2427</v>
      </c>
      <c r="E610" s="10" t="s">
        <v>2396</v>
      </c>
      <c r="F610" s="10" t="s">
        <v>9</v>
      </c>
      <c r="G610" s="10" t="s">
        <v>2474</v>
      </c>
      <c r="H610" s="10" t="s">
        <v>269</v>
      </c>
      <c r="I610" s="10" t="s">
        <v>1179</v>
      </c>
      <c r="K610" s="2"/>
      <c r="M610" s="2"/>
    </row>
    <row r="611" spans="1:13">
      <c r="A611" t="s">
        <v>28</v>
      </c>
      <c r="B611">
        <f ca="1">IF(OR(changes[[#This Row],[Type]]="Checklist",changes[[#This Row],[Type]]="checklist-flat"),1+IF(changes[[#This Row],[Type of change]] = "Edit",COUNTIFS($I$4:changes[[#This Row],[Name]],changes[[#This Row],[Name]], $E$4:changes[[#This Row],[Type of change]], "Edit")),B610)</f>
        <v>1</v>
      </c>
      <c r="C611" s="16">
        <v>44610</v>
      </c>
      <c r="D611" s="10" t="s">
        <v>2427</v>
      </c>
      <c r="E611" s="10" t="s">
        <v>2396</v>
      </c>
      <c r="F611" s="10" t="s">
        <v>9</v>
      </c>
      <c r="G611" s="10" t="s">
        <v>2474</v>
      </c>
      <c r="H611" s="10" t="s">
        <v>479</v>
      </c>
      <c r="I611" s="10" t="s">
        <v>2476</v>
      </c>
      <c r="K611" s="2"/>
      <c r="M611" s="2"/>
    </row>
    <row r="612" spans="1:13">
      <c r="A612" t="s">
        <v>28</v>
      </c>
      <c r="B612">
        <f ca="1">IF(OR(changes[[#This Row],[Type]]="Checklist",changes[[#This Row],[Type]]="checklist-flat"),1+IF(changes[[#This Row],[Type of change]] = "Edit",COUNTIFS($I$4:changes[[#This Row],[Name]],changes[[#This Row],[Name]], $E$4:changes[[#This Row],[Type of change]], "Edit")),B611)</f>
        <v>1</v>
      </c>
      <c r="C612" s="16">
        <v>44610</v>
      </c>
      <c r="D612" s="10" t="s">
        <v>2427</v>
      </c>
      <c r="E612" s="10" t="s">
        <v>2396</v>
      </c>
      <c r="F612" s="10" t="s">
        <v>9</v>
      </c>
      <c r="G612" s="10" t="s">
        <v>2474</v>
      </c>
      <c r="H612" s="10" t="s">
        <v>269</v>
      </c>
      <c r="I612" s="10" t="s">
        <v>1180</v>
      </c>
      <c r="K612" s="2"/>
      <c r="M612" s="2"/>
    </row>
    <row r="613" spans="1:13">
      <c r="A613" t="s">
        <v>28</v>
      </c>
      <c r="B613">
        <f ca="1">IF(OR(changes[[#This Row],[Type]]="Checklist",changes[[#This Row],[Type]]="checklist-flat"),1+IF(changes[[#This Row],[Type of change]] = "Edit",COUNTIFS($I$4:changes[[#This Row],[Name]],changes[[#This Row],[Name]], $E$4:changes[[#This Row],[Type of change]], "Edit")),B612)</f>
        <v>1</v>
      </c>
      <c r="C613" s="16">
        <v>44610</v>
      </c>
      <c r="D613" s="10" t="s">
        <v>2427</v>
      </c>
      <c r="E613" s="10" t="s">
        <v>2396</v>
      </c>
      <c r="F613" s="10" t="s">
        <v>9</v>
      </c>
      <c r="G613" s="10" t="s">
        <v>2474</v>
      </c>
      <c r="H613" s="10" t="s">
        <v>269</v>
      </c>
      <c r="I613" s="10" t="s">
        <v>1181</v>
      </c>
      <c r="K613" s="2"/>
      <c r="M613" s="2"/>
    </row>
    <row r="614" spans="1:13">
      <c r="A614" t="s">
        <v>28</v>
      </c>
      <c r="B614">
        <f ca="1">IF(OR(changes[[#This Row],[Type]]="Checklist",changes[[#This Row],[Type]]="checklist-flat"),1+IF(changes[[#This Row],[Type of change]] = "Edit",COUNTIFS($I$4:changes[[#This Row],[Name]],changes[[#This Row],[Name]], $E$4:changes[[#This Row],[Type of change]], "Edit")),B613)</f>
        <v>1</v>
      </c>
      <c r="C614" s="16">
        <v>44610</v>
      </c>
      <c r="D614" s="10" t="s">
        <v>2427</v>
      </c>
      <c r="E614" s="10" t="s">
        <v>2396</v>
      </c>
      <c r="F614" s="10" t="s">
        <v>9</v>
      </c>
      <c r="G614" s="10" t="s">
        <v>2474</v>
      </c>
      <c r="H614" s="10" t="s">
        <v>269</v>
      </c>
      <c r="I614" s="10" t="s">
        <v>1182</v>
      </c>
      <c r="K614" s="2"/>
      <c r="M614" s="2"/>
    </row>
    <row r="615" spans="1:13">
      <c r="A615" t="s">
        <v>28</v>
      </c>
      <c r="B615">
        <f ca="1">IF(OR(changes[[#This Row],[Type]]="Checklist",changes[[#This Row],[Type]]="checklist-flat"),1+IF(changes[[#This Row],[Type of change]] = "Edit",COUNTIFS($I$4:changes[[#This Row],[Name]],changes[[#This Row],[Name]], $E$4:changes[[#This Row],[Type of change]], "Edit")),B614)</f>
        <v>1</v>
      </c>
      <c r="C615" s="16">
        <v>44610</v>
      </c>
      <c r="D615" s="10" t="s">
        <v>2427</v>
      </c>
      <c r="E615" s="10" t="s">
        <v>2396</v>
      </c>
      <c r="F615" s="10" t="s">
        <v>9</v>
      </c>
      <c r="G615" s="10" t="s">
        <v>2474</v>
      </c>
      <c r="H615" s="10" t="s">
        <v>269</v>
      </c>
      <c r="I615" s="10" t="s">
        <v>1183</v>
      </c>
      <c r="K615" s="2"/>
      <c r="M615" s="2"/>
    </row>
    <row r="616" spans="1:13">
      <c r="A616" t="s">
        <v>28</v>
      </c>
      <c r="B616">
        <f ca="1">IF(OR(changes[[#This Row],[Type]]="Checklist",changes[[#This Row],[Type]]="checklist-flat"),1+IF(changes[[#This Row],[Type of change]] = "Edit",COUNTIFS($I$4:changes[[#This Row],[Name]],changes[[#This Row],[Name]], $E$4:changes[[#This Row],[Type of change]], "Edit")),B615)</f>
        <v>1</v>
      </c>
      <c r="C616" s="16">
        <v>44610</v>
      </c>
      <c r="D616" s="10" t="s">
        <v>2427</v>
      </c>
      <c r="E616" s="10" t="s">
        <v>2396</v>
      </c>
      <c r="F616" s="10" t="s">
        <v>9</v>
      </c>
      <c r="G616" s="10" t="s">
        <v>2474</v>
      </c>
      <c r="H616" s="10" t="s">
        <v>269</v>
      </c>
      <c r="I616" s="10" t="s">
        <v>2477</v>
      </c>
      <c r="K616" s="2"/>
      <c r="M616" s="2"/>
    </row>
    <row r="617" spans="1:13">
      <c r="A617" t="s">
        <v>28</v>
      </c>
      <c r="B617">
        <f ca="1">IF(OR(changes[[#This Row],[Type]]="Checklist",changes[[#This Row],[Type]]="checklist-flat"),1+IF(changes[[#This Row],[Type of change]] = "Edit",COUNTIFS($I$4:changes[[#This Row],[Name]],changes[[#This Row],[Name]], $E$4:changes[[#This Row],[Type of change]], "Edit")),B616)</f>
        <v>1</v>
      </c>
      <c r="C617" s="16">
        <v>44610</v>
      </c>
      <c r="D617" s="10" t="s">
        <v>2427</v>
      </c>
      <c r="E617" s="10" t="s">
        <v>2396</v>
      </c>
      <c r="F617" s="10" t="s">
        <v>9</v>
      </c>
      <c r="G617" s="10" t="s">
        <v>2474</v>
      </c>
      <c r="H617" s="10" t="s">
        <v>269</v>
      </c>
      <c r="I617" s="10" t="s">
        <v>2478</v>
      </c>
      <c r="K617" s="2"/>
      <c r="M617" s="2"/>
    </row>
    <row r="618" spans="1:13">
      <c r="A618" t="s">
        <v>28</v>
      </c>
      <c r="B618">
        <f ca="1">IF(OR(changes[[#This Row],[Type]]="Checklist",changes[[#This Row],[Type]]="checklist-flat"),1+IF(changes[[#This Row],[Type of change]] = "Edit",COUNTIFS($I$4:changes[[#This Row],[Name]],changes[[#This Row],[Name]], $E$4:changes[[#This Row],[Type of change]], "Edit")),B617)</f>
        <v>1</v>
      </c>
      <c r="C618" s="16">
        <v>44610</v>
      </c>
      <c r="D618" s="10" t="s">
        <v>2427</v>
      </c>
      <c r="E618" s="10" t="s">
        <v>2396</v>
      </c>
      <c r="F618" s="10" t="s">
        <v>9</v>
      </c>
      <c r="G618" s="10" t="s">
        <v>2474</v>
      </c>
      <c r="H618" s="10" t="s">
        <v>269</v>
      </c>
      <c r="I618" s="10" t="s">
        <v>1200</v>
      </c>
      <c r="K618" s="2"/>
      <c r="M618" s="2"/>
    </row>
    <row r="619" spans="1:13">
      <c r="A619" t="s">
        <v>28</v>
      </c>
      <c r="B619">
        <f ca="1">IF(OR(changes[[#This Row],[Type]]="Checklist",changes[[#This Row],[Type]]="checklist-flat"),1+IF(changes[[#This Row],[Type of change]] = "Edit",COUNTIFS($I$4:changes[[#This Row],[Name]],changes[[#This Row],[Name]], $E$4:changes[[#This Row],[Type of change]], "Edit")),B618)</f>
        <v>1</v>
      </c>
      <c r="C619" s="16">
        <v>44610</v>
      </c>
      <c r="D619" s="10" t="s">
        <v>2427</v>
      </c>
      <c r="E619" s="10" t="s">
        <v>2396</v>
      </c>
      <c r="F619" s="10" t="s">
        <v>9</v>
      </c>
      <c r="G619" s="10" t="s">
        <v>2474</v>
      </c>
      <c r="H619" s="10" t="s">
        <v>269</v>
      </c>
      <c r="I619" s="10" t="s">
        <v>2479</v>
      </c>
      <c r="K619" s="2"/>
      <c r="M619" s="2"/>
    </row>
    <row r="620" spans="1:13">
      <c r="A620" t="s">
        <v>28</v>
      </c>
      <c r="B620">
        <f ca="1">IF(OR(changes[[#This Row],[Type]]="Checklist",changes[[#This Row],[Type]]="checklist-flat"),1+IF(changes[[#This Row],[Type of change]] = "Edit",COUNTIFS($I$4:changes[[#This Row],[Name]],changes[[#This Row],[Name]], $E$4:changes[[#This Row],[Type of change]], "Edit")),B619)</f>
        <v>1</v>
      </c>
      <c r="C620" s="16">
        <v>44610</v>
      </c>
      <c r="D620" s="10" t="s">
        <v>2427</v>
      </c>
      <c r="E620" s="10" t="s">
        <v>2396</v>
      </c>
      <c r="F620" s="10" t="s">
        <v>9</v>
      </c>
      <c r="G620" s="10" t="s">
        <v>2474</v>
      </c>
      <c r="H620" s="10" t="s">
        <v>269</v>
      </c>
      <c r="I620" s="10" t="s">
        <v>1202</v>
      </c>
      <c r="K620" s="2"/>
      <c r="M620" s="2"/>
    </row>
    <row r="621" spans="1:13">
      <c r="A621" t="s">
        <v>28</v>
      </c>
      <c r="B621">
        <f ca="1">IF(OR(changes[[#This Row],[Type]]="Checklist",changes[[#This Row],[Type]]="checklist-flat"),1+IF(changes[[#This Row],[Type of change]] = "Edit",COUNTIFS($I$4:changes[[#This Row],[Name]],changes[[#This Row],[Name]], $E$4:changes[[#This Row],[Type of change]], "Edit")),B620)</f>
        <v>1</v>
      </c>
      <c r="C621" s="16">
        <v>44610</v>
      </c>
      <c r="D621" s="10" t="s">
        <v>2427</v>
      </c>
      <c r="E621" s="10" t="s">
        <v>2396</v>
      </c>
      <c r="F621" s="10" t="s">
        <v>9</v>
      </c>
      <c r="G621" s="10" t="s">
        <v>2474</v>
      </c>
      <c r="H621" s="10" t="s">
        <v>269</v>
      </c>
      <c r="I621" s="10" t="s">
        <v>2480</v>
      </c>
      <c r="K621" s="2"/>
      <c r="M621" s="2"/>
    </row>
    <row r="622" spans="1:13">
      <c r="A622" t="s">
        <v>28</v>
      </c>
      <c r="B622">
        <f ca="1">IF(OR(changes[[#This Row],[Type]]="Checklist",changes[[#This Row],[Type]]="checklist-flat"),1+IF(changes[[#This Row],[Type of change]] = "Edit",COUNTIFS($I$4:changes[[#This Row],[Name]],changes[[#This Row],[Name]], $E$4:changes[[#This Row],[Type of change]], "Edit")),B621)</f>
        <v>1</v>
      </c>
      <c r="C622" s="16">
        <v>44610</v>
      </c>
      <c r="D622" s="10" t="s">
        <v>2427</v>
      </c>
      <c r="E622" s="10" t="s">
        <v>2396</v>
      </c>
      <c r="F622" s="10" t="s">
        <v>9</v>
      </c>
      <c r="G622" s="10" t="s">
        <v>2474</v>
      </c>
      <c r="H622" s="10" t="s">
        <v>269</v>
      </c>
      <c r="I622" s="10" t="s">
        <v>1204</v>
      </c>
      <c r="K622" s="2"/>
      <c r="M622" s="2"/>
    </row>
    <row r="623" spans="1:13">
      <c r="A623" t="s">
        <v>28</v>
      </c>
      <c r="B623">
        <f ca="1">IF(OR(changes[[#This Row],[Type]]="Checklist",changes[[#This Row],[Type]]="checklist-flat"),1+IF(changes[[#This Row],[Type of change]] = "Edit",COUNTIFS($I$4:changes[[#This Row],[Name]],changes[[#This Row],[Name]], $E$4:changes[[#This Row],[Type of change]], "Edit")),B622)</f>
        <v>1</v>
      </c>
      <c r="C623" s="16">
        <v>44610</v>
      </c>
      <c r="D623" s="10" t="s">
        <v>2427</v>
      </c>
      <c r="E623" s="10" t="s">
        <v>2396</v>
      </c>
      <c r="F623" s="10" t="s">
        <v>9</v>
      </c>
      <c r="G623" s="10" t="s">
        <v>2474</v>
      </c>
      <c r="H623" s="10" t="s">
        <v>269</v>
      </c>
      <c r="I623" s="10" t="s">
        <v>1205</v>
      </c>
      <c r="K623" s="2"/>
      <c r="M623" s="2"/>
    </row>
    <row r="624" spans="1:13">
      <c r="A624" t="s">
        <v>28</v>
      </c>
      <c r="B624">
        <f ca="1">IF(OR(changes[[#This Row],[Type]]="Checklist",changes[[#This Row],[Type]]="checklist-flat"),1+IF(changes[[#This Row],[Type of change]] = "Edit",COUNTIFS($I$4:changes[[#This Row],[Name]],changes[[#This Row],[Name]], $E$4:changes[[#This Row],[Type of change]], "Edit")),B623)</f>
        <v>1</v>
      </c>
      <c r="C624" s="16">
        <v>44610</v>
      </c>
      <c r="D624" s="10" t="s">
        <v>2427</v>
      </c>
      <c r="E624" s="10" t="s">
        <v>2396</v>
      </c>
      <c r="F624" s="10" t="s">
        <v>9</v>
      </c>
      <c r="G624" s="10" t="s">
        <v>2474</v>
      </c>
      <c r="H624" s="10" t="s">
        <v>64</v>
      </c>
      <c r="I624" s="10" t="s">
        <v>1142</v>
      </c>
      <c r="K624" s="2"/>
      <c r="M624" s="2"/>
    </row>
    <row r="625" spans="1:13">
      <c r="A625" t="s">
        <v>28</v>
      </c>
      <c r="B625">
        <f ca="1">IF(OR(changes[[#This Row],[Type]]="Checklist",changes[[#This Row],[Type]]="checklist-flat"),1+IF(changes[[#This Row],[Type of change]] = "Edit",COUNTIFS($I$4:changes[[#This Row],[Name]],changes[[#This Row],[Name]], $E$4:changes[[#This Row],[Type of change]], "Edit")),B624)</f>
        <v>1</v>
      </c>
      <c r="C625" s="16">
        <v>44613</v>
      </c>
      <c r="D625" s="10" t="s">
        <v>2427</v>
      </c>
      <c r="E625" s="10" t="s">
        <v>2396</v>
      </c>
      <c r="F625" s="10" t="s">
        <v>9</v>
      </c>
      <c r="G625" s="10" t="s">
        <v>764</v>
      </c>
      <c r="H625" s="10" t="s">
        <v>478</v>
      </c>
      <c r="I625" s="10" t="s">
        <v>764</v>
      </c>
      <c r="K625" s="2"/>
      <c r="M625" s="2"/>
    </row>
    <row r="626" spans="1:13">
      <c r="A626" t="s">
        <v>28</v>
      </c>
      <c r="B626">
        <f ca="1">IF(OR(changes[[#This Row],[Type]]="Checklist",changes[[#This Row],[Type]]="checklist-flat"),1+IF(changes[[#This Row],[Type of change]] = "Edit",COUNTIFS($I$4:changes[[#This Row],[Name]],changes[[#This Row],[Name]], $E$4:changes[[#This Row],[Type of change]], "Edit")),B625)</f>
        <v>1</v>
      </c>
      <c r="C626" s="16">
        <v>44613</v>
      </c>
      <c r="D626" s="10" t="s">
        <v>2427</v>
      </c>
      <c r="E626" s="10" t="s">
        <v>2396</v>
      </c>
      <c r="F626" s="10" t="s">
        <v>9</v>
      </c>
      <c r="G626" s="10" t="s">
        <v>764</v>
      </c>
      <c r="H626" s="10" t="s">
        <v>55</v>
      </c>
      <c r="I626" s="10" t="s">
        <v>765</v>
      </c>
      <c r="K626" s="2"/>
      <c r="M626" s="2"/>
    </row>
    <row r="627" spans="1:13">
      <c r="A627" t="s">
        <v>28</v>
      </c>
      <c r="B627">
        <f ca="1">IF(OR(changes[[#This Row],[Type]]="Checklist",changes[[#This Row],[Type]]="checklist-flat"),1+IF(changes[[#This Row],[Type of change]] = "Edit",COUNTIFS($I$4:changes[[#This Row],[Name]],changes[[#This Row],[Name]], $E$4:changes[[#This Row],[Type of change]], "Edit")),B626)</f>
        <v>1</v>
      </c>
      <c r="C627" s="16">
        <v>44613</v>
      </c>
      <c r="D627" s="10" t="s">
        <v>2427</v>
      </c>
      <c r="E627" s="10" t="s">
        <v>2396</v>
      </c>
      <c r="F627" s="10" t="s">
        <v>9</v>
      </c>
      <c r="G627" s="10" t="s">
        <v>764</v>
      </c>
      <c r="H627" s="10" t="s">
        <v>420</v>
      </c>
      <c r="I627" s="10" t="s">
        <v>766</v>
      </c>
      <c r="K627" s="2"/>
      <c r="M627" s="2"/>
    </row>
    <row r="628" spans="1:13">
      <c r="A628" t="s">
        <v>28</v>
      </c>
      <c r="B628">
        <f ca="1">IF(OR(changes[[#This Row],[Type]]="Checklist",changes[[#This Row],[Type]]="checklist-flat"),1+IF(changes[[#This Row],[Type of change]] = "Edit",COUNTIFS($I$4:changes[[#This Row],[Name]],changes[[#This Row],[Name]], $E$4:changes[[#This Row],[Type of change]], "Edit")),B627)</f>
        <v>1</v>
      </c>
      <c r="C628" s="16">
        <v>44613</v>
      </c>
      <c r="D628" s="10" t="s">
        <v>2427</v>
      </c>
      <c r="E628" s="10" t="s">
        <v>2396</v>
      </c>
      <c r="F628" s="10" t="s">
        <v>9</v>
      </c>
      <c r="G628" s="10" t="s">
        <v>764</v>
      </c>
      <c r="H628" s="10" t="s">
        <v>55</v>
      </c>
      <c r="I628" s="10" t="s">
        <v>767</v>
      </c>
      <c r="K628" s="2"/>
      <c r="M628" s="2"/>
    </row>
    <row r="629" spans="1:13">
      <c r="A629" t="s">
        <v>28</v>
      </c>
      <c r="B629">
        <f ca="1">IF(OR(changes[[#This Row],[Type]]="Checklist",changes[[#This Row],[Type]]="checklist-flat"),1+IF(changes[[#This Row],[Type of change]] = "Edit",COUNTIFS($I$4:changes[[#This Row],[Name]],changes[[#This Row],[Name]], $E$4:changes[[#This Row],[Type of change]], "Edit")),B628)</f>
        <v>1</v>
      </c>
      <c r="C629" s="16">
        <v>44613</v>
      </c>
      <c r="D629" s="10" t="s">
        <v>2427</v>
      </c>
      <c r="E629" s="10" t="s">
        <v>2396</v>
      </c>
      <c r="F629" s="10" t="s">
        <v>9</v>
      </c>
      <c r="G629" s="10" t="s">
        <v>764</v>
      </c>
      <c r="H629" s="10" t="s">
        <v>55</v>
      </c>
      <c r="I629" s="10" t="s">
        <v>768</v>
      </c>
      <c r="K629" s="2"/>
      <c r="M629" s="2"/>
    </row>
    <row r="630" spans="1:13">
      <c r="A630" t="s">
        <v>28</v>
      </c>
      <c r="B630">
        <f ca="1">IF(OR(changes[[#This Row],[Type]]="Checklist",changes[[#This Row],[Type]]="checklist-flat"),1+IF(changes[[#This Row],[Type of change]] = "Edit",COUNTIFS($I$4:changes[[#This Row],[Name]],changes[[#This Row],[Name]], $E$4:changes[[#This Row],[Type of change]], "Edit")),B629)</f>
        <v>1</v>
      </c>
      <c r="C630" s="16">
        <v>44613</v>
      </c>
      <c r="D630" s="10" t="s">
        <v>2427</v>
      </c>
      <c r="E630" s="10" t="s">
        <v>2396</v>
      </c>
      <c r="F630" s="10" t="s">
        <v>9</v>
      </c>
      <c r="G630" s="10" t="s">
        <v>764</v>
      </c>
      <c r="H630" s="10" t="s">
        <v>55</v>
      </c>
      <c r="I630" s="10" t="s">
        <v>769</v>
      </c>
      <c r="K630" s="2"/>
      <c r="M630" s="2"/>
    </row>
    <row r="631" spans="1:13">
      <c r="A631" t="s">
        <v>28</v>
      </c>
      <c r="B631">
        <f ca="1">IF(OR(changes[[#This Row],[Type]]="Checklist",changes[[#This Row],[Type]]="checklist-flat"),1+IF(changes[[#This Row],[Type of change]] = "Edit",COUNTIFS($I$4:changes[[#This Row],[Name]],changes[[#This Row],[Name]], $E$4:changes[[#This Row],[Type of change]], "Edit")),B630)</f>
        <v>1</v>
      </c>
      <c r="C631" s="16">
        <v>44613</v>
      </c>
      <c r="D631" s="10" t="s">
        <v>2427</v>
      </c>
      <c r="E631" s="10" t="s">
        <v>2396</v>
      </c>
      <c r="F631" s="10" t="s">
        <v>9</v>
      </c>
      <c r="G631" s="10" t="s">
        <v>764</v>
      </c>
      <c r="H631" s="10" t="s">
        <v>55</v>
      </c>
      <c r="I631" s="10" t="s">
        <v>770</v>
      </c>
      <c r="K631" s="2"/>
      <c r="M631" s="2"/>
    </row>
    <row r="632" spans="1:13">
      <c r="A632" t="s">
        <v>28</v>
      </c>
      <c r="B632">
        <f ca="1">IF(OR(changes[[#This Row],[Type]]="Checklist",changes[[#This Row],[Type]]="checklist-flat"),1+IF(changes[[#This Row],[Type of change]] = "Edit",COUNTIFS($I$4:changes[[#This Row],[Name]],changes[[#This Row],[Name]], $E$4:changes[[#This Row],[Type of change]], "Edit")),B631)</f>
        <v>1</v>
      </c>
      <c r="C632" s="16">
        <v>44613</v>
      </c>
      <c r="D632" s="10" t="s">
        <v>2427</v>
      </c>
      <c r="E632" s="10" t="s">
        <v>2396</v>
      </c>
      <c r="F632" s="10" t="s">
        <v>9</v>
      </c>
      <c r="G632" s="10" t="s">
        <v>764</v>
      </c>
      <c r="H632" s="10" t="s">
        <v>55</v>
      </c>
      <c r="I632" s="10" t="s">
        <v>771</v>
      </c>
      <c r="K632" s="2"/>
      <c r="M632" s="2"/>
    </row>
    <row r="633" spans="1:13">
      <c r="A633" t="s">
        <v>28</v>
      </c>
      <c r="B633">
        <f ca="1">IF(OR(changes[[#This Row],[Type]]="Checklist",changes[[#This Row],[Type]]="checklist-flat"),1+IF(changes[[#This Row],[Type of change]] = "Edit",COUNTIFS($I$4:changes[[#This Row],[Name]],changes[[#This Row],[Name]], $E$4:changes[[#This Row],[Type of change]], "Edit")),B632)</f>
        <v>1</v>
      </c>
      <c r="C633" s="16">
        <v>44613</v>
      </c>
      <c r="D633" s="10" t="s">
        <v>2427</v>
      </c>
      <c r="E633" s="10" t="s">
        <v>2396</v>
      </c>
      <c r="F633" s="10" t="s">
        <v>9</v>
      </c>
      <c r="G633" s="10" t="s">
        <v>764</v>
      </c>
      <c r="H633" s="10" t="s">
        <v>64</v>
      </c>
      <c r="I633" s="10" t="s">
        <v>772</v>
      </c>
      <c r="K633" s="2"/>
      <c r="M633" s="2"/>
    </row>
    <row r="634" spans="1:13">
      <c r="A634" t="s">
        <v>28</v>
      </c>
      <c r="B634">
        <f ca="1">IF(OR(changes[[#This Row],[Type]]="Checklist",changes[[#This Row],[Type]]="checklist-flat"),1+IF(changes[[#This Row],[Type of change]] = "Edit",COUNTIFS($I$4:changes[[#This Row],[Name]],changes[[#This Row],[Name]], $E$4:changes[[#This Row],[Type of change]], "Edit")),B633)</f>
        <v>1</v>
      </c>
      <c r="C634" s="16">
        <v>44613</v>
      </c>
      <c r="D634" s="10" t="s">
        <v>2427</v>
      </c>
      <c r="E634" s="10" t="s">
        <v>2396</v>
      </c>
      <c r="F634" s="10" t="s">
        <v>9</v>
      </c>
      <c r="G634" s="10" t="s">
        <v>2481</v>
      </c>
      <c r="H634" s="10" t="s">
        <v>478</v>
      </c>
      <c r="I634" s="10" t="s">
        <v>2481</v>
      </c>
      <c r="K634" s="2"/>
      <c r="M634" s="2"/>
    </row>
    <row r="635" spans="1:13">
      <c r="A635" t="s">
        <v>28</v>
      </c>
      <c r="B635">
        <f ca="1">IF(OR(changes[[#This Row],[Type]]="Checklist",changes[[#This Row],[Type]]="checklist-flat"),1+IF(changes[[#This Row],[Type of change]] = "Edit",COUNTIFS($I$4:changes[[#This Row],[Name]],changes[[#This Row],[Name]], $E$4:changes[[#This Row],[Type of change]], "Edit")),B634)</f>
        <v>1</v>
      </c>
      <c r="C635" s="16">
        <v>44613</v>
      </c>
      <c r="D635" s="10" t="s">
        <v>2427</v>
      </c>
      <c r="E635" s="10" t="s">
        <v>2396</v>
      </c>
      <c r="F635" s="10" t="s">
        <v>9</v>
      </c>
      <c r="G635" s="10" t="s">
        <v>2481</v>
      </c>
      <c r="H635" s="10" t="s">
        <v>55</v>
      </c>
      <c r="I635" s="10" t="s">
        <v>1103</v>
      </c>
      <c r="K635" s="2"/>
      <c r="M635" s="2"/>
    </row>
    <row r="636" spans="1:13">
      <c r="A636" t="s">
        <v>28</v>
      </c>
      <c r="B636">
        <f ca="1">IF(OR(changes[[#This Row],[Type]]="Checklist",changes[[#This Row],[Type]]="checklist-flat"),1+IF(changes[[#This Row],[Type of change]] = "Edit",COUNTIFS($I$4:changes[[#This Row],[Name]],changes[[#This Row],[Name]], $E$4:changes[[#This Row],[Type of change]], "Edit")),B635)</f>
        <v>1</v>
      </c>
      <c r="C636" s="16">
        <v>44613</v>
      </c>
      <c r="D636" s="10" t="s">
        <v>2427</v>
      </c>
      <c r="E636" s="10" t="s">
        <v>2396</v>
      </c>
      <c r="F636" s="10" t="s">
        <v>9</v>
      </c>
      <c r="G636" s="10" t="s">
        <v>2481</v>
      </c>
      <c r="H636" s="10" t="s">
        <v>55</v>
      </c>
      <c r="I636" s="10" t="s">
        <v>1104</v>
      </c>
      <c r="K636" s="2"/>
      <c r="M636" s="2"/>
    </row>
    <row r="637" spans="1:13">
      <c r="A637" t="s">
        <v>28</v>
      </c>
      <c r="B637">
        <f ca="1">IF(OR(changes[[#This Row],[Type]]="Checklist",changes[[#This Row],[Type]]="checklist-flat"),1+IF(changes[[#This Row],[Type of change]] = "Edit",COUNTIFS($I$4:changes[[#This Row],[Name]],changes[[#This Row],[Name]], $E$4:changes[[#This Row],[Type of change]], "Edit")),B636)</f>
        <v>1</v>
      </c>
      <c r="C637" s="16">
        <v>44613</v>
      </c>
      <c r="D637" s="10" t="s">
        <v>2427</v>
      </c>
      <c r="E637" s="10" t="s">
        <v>2396</v>
      </c>
      <c r="F637" s="10" t="s">
        <v>9</v>
      </c>
      <c r="G637" s="10" t="s">
        <v>2481</v>
      </c>
      <c r="H637" s="10" t="s">
        <v>64</v>
      </c>
      <c r="I637" s="10" t="s">
        <v>1105</v>
      </c>
      <c r="K637" s="2"/>
      <c r="M637" s="2"/>
    </row>
    <row r="638" spans="1:13">
      <c r="A638" t="s">
        <v>11</v>
      </c>
      <c r="B638">
        <f ca="1">IF(OR(changes[[#This Row],[Type]]="Checklist",changes[[#This Row],[Type]]="checklist-flat"),1+IF(changes[[#This Row],[Type of change]] = "Edit",COUNTIFS($I$4:changes[[#This Row],[Name]],changes[[#This Row],[Name]], $E$4:changes[[#This Row],[Type of change]], "Edit")),B637)</f>
        <v>1</v>
      </c>
      <c r="C638" s="16">
        <v>44613</v>
      </c>
      <c r="D638" s="10" t="s">
        <v>2427</v>
      </c>
      <c r="E638" s="10" t="s">
        <v>2396</v>
      </c>
      <c r="F638" s="10" t="s">
        <v>9</v>
      </c>
      <c r="G638" s="10" t="s">
        <v>2482</v>
      </c>
      <c r="H638" s="10" t="s">
        <v>478</v>
      </c>
      <c r="I638" s="10" t="s">
        <v>2482</v>
      </c>
      <c r="K638" s="2"/>
      <c r="M638" s="2" t="s">
        <v>2483</v>
      </c>
    </row>
    <row r="639" spans="1:13">
      <c r="A639" t="s">
        <v>11</v>
      </c>
      <c r="B639">
        <f ca="1">IF(OR(changes[[#This Row],[Type]]="Checklist",changes[[#This Row],[Type]]="checklist-flat"),1+IF(changes[[#This Row],[Type of change]] = "Edit",COUNTIFS($I$4:changes[[#This Row],[Name]],changes[[#This Row],[Name]], $E$4:changes[[#This Row],[Type of change]], "Edit")),B638)</f>
        <v>1</v>
      </c>
      <c r="C639" s="16">
        <v>44613</v>
      </c>
      <c r="D639" s="10" t="s">
        <v>2427</v>
      </c>
      <c r="E639" s="10" t="s">
        <v>2396</v>
      </c>
      <c r="F639" s="10" t="s">
        <v>9</v>
      </c>
      <c r="G639" s="10" t="s">
        <v>2482</v>
      </c>
      <c r="H639" s="10" t="s">
        <v>55</v>
      </c>
      <c r="I639" s="10" t="s">
        <v>1103</v>
      </c>
      <c r="K639" s="2"/>
      <c r="M639" s="2"/>
    </row>
    <row r="640" spans="1:13">
      <c r="A640" t="s">
        <v>11</v>
      </c>
      <c r="B640">
        <f ca="1">IF(OR(changes[[#This Row],[Type]]="Checklist",changes[[#This Row],[Type]]="checklist-flat"),1+IF(changes[[#This Row],[Type of change]] = "Edit",COUNTIFS($I$4:changes[[#This Row],[Name]],changes[[#This Row],[Name]], $E$4:changes[[#This Row],[Type of change]], "Edit")),B639)</f>
        <v>1</v>
      </c>
      <c r="C640" s="16">
        <v>44613</v>
      </c>
      <c r="D640" s="10" t="s">
        <v>2427</v>
      </c>
      <c r="E640" s="10" t="s">
        <v>2396</v>
      </c>
      <c r="F640" s="10" t="s">
        <v>9</v>
      </c>
      <c r="G640" s="10" t="s">
        <v>2482</v>
      </c>
      <c r="H640" s="10" t="s">
        <v>55</v>
      </c>
      <c r="I640" s="10" t="s">
        <v>2484</v>
      </c>
      <c r="K640" s="2"/>
      <c r="M640" s="2"/>
    </row>
    <row r="641" spans="1:13">
      <c r="A641" t="s">
        <v>11</v>
      </c>
      <c r="B641">
        <f ca="1">IF(OR(changes[[#This Row],[Type]]="Checklist",changes[[#This Row],[Type]]="checklist-flat"),1+IF(changes[[#This Row],[Type of change]] = "Edit",COUNTIFS($I$4:changes[[#This Row],[Name]],changes[[#This Row],[Name]], $E$4:changes[[#This Row],[Type of change]], "Edit")),B640)</f>
        <v>1</v>
      </c>
      <c r="C641" s="16">
        <v>44613</v>
      </c>
      <c r="D641" s="10" t="s">
        <v>2427</v>
      </c>
      <c r="E641" s="10" t="s">
        <v>2396</v>
      </c>
      <c r="F641" s="10" t="s">
        <v>9</v>
      </c>
      <c r="G641" s="10" t="s">
        <v>2482</v>
      </c>
      <c r="H641" s="10" t="s">
        <v>55</v>
      </c>
      <c r="I641" s="10" t="s">
        <v>2485</v>
      </c>
      <c r="K641" s="2"/>
      <c r="M641" s="2"/>
    </row>
    <row r="642" spans="1:13">
      <c r="A642" t="s">
        <v>11</v>
      </c>
      <c r="B642">
        <f ca="1">IF(OR(changes[[#This Row],[Type]]="Checklist",changes[[#This Row],[Type]]="checklist-flat"),1+IF(changes[[#This Row],[Type of change]] = "Edit",COUNTIFS($I$4:changes[[#This Row],[Name]],changes[[#This Row],[Name]], $E$4:changes[[#This Row],[Type of change]], "Edit")),B641)</f>
        <v>1</v>
      </c>
      <c r="C642" s="16">
        <v>44613</v>
      </c>
      <c r="D642" s="10" t="s">
        <v>2427</v>
      </c>
      <c r="E642" s="10" t="s">
        <v>2396</v>
      </c>
      <c r="F642" s="10" t="s">
        <v>9</v>
      </c>
      <c r="G642" s="10" t="s">
        <v>2482</v>
      </c>
      <c r="H642" s="10" t="s">
        <v>55</v>
      </c>
      <c r="I642" s="10" t="s">
        <v>2486</v>
      </c>
      <c r="K642" s="2"/>
      <c r="M642" s="2"/>
    </row>
    <row r="643" spans="1:13">
      <c r="A643" t="s">
        <v>11</v>
      </c>
      <c r="B643">
        <f ca="1">IF(OR(changes[[#This Row],[Type]]="Checklist",changes[[#This Row],[Type]]="checklist-flat"),1+IF(changes[[#This Row],[Type of change]] = "Edit",COUNTIFS($I$4:changes[[#This Row],[Name]],changes[[#This Row],[Name]], $E$4:changes[[#This Row],[Type of change]], "Edit")),B642)</f>
        <v>1</v>
      </c>
      <c r="C643" s="16">
        <v>44613</v>
      </c>
      <c r="D643" s="10" t="s">
        <v>2427</v>
      </c>
      <c r="E643" s="10" t="s">
        <v>2396</v>
      </c>
      <c r="F643" s="10" t="s">
        <v>9</v>
      </c>
      <c r="G643" s="10" t="s">
        <v>2482</v>
      </c>
      <c r="H643" s="10" t="s">
        <v>55</v>
      </c>
      <c r="I643" s="10" t="s">
        <v>2487</v>
      </c>
      <c r="K643" s="2"/>
      <c r="M643" s="2"/>
    </row>
    <row r="644" spans="1:13">
      <c r="A644" t="s">
        <v>11</v>
      </c>
      <c r="B644">
        <f ca="1">IF(OR(changes[[#This Row],[Type]]="Checklist",changes[[#This Row],[Type]]="checklist-flat"),1+IF(changes[[#This Row],[Type of change]] = "Edit",COUNTIFS($I$4:changes[[#This Row],[Name]],changes[[#This Row],[Name]], $E$4:changes[[#This Row],[Type of change]], "Edit")),B643)</f>
        <v>1</v>
      </c>
      <c r="C644" s="16">
        <v>44613</v>
      </c>
      <c r="D644" s="10" t="s">
        <v>2427</v>
      </c>
      <c r="E644" s="10" t="s">
        <v>2396</v>
      </c>
      <c r="F644" s="10" t="s">
        <v>9</v>
      </c>
      <c r="G644" s="10" t="s">
        <v>2482</v>
      </c>
      <c r="H644" s="10" t="s">
        <v>64</v>
      </c>
      <c r="I644" s="10" t="s">
        <v>1105</v>
      </c>
      <c r="K644" s="2"/>
      <c r="M644" s="2"/>
    </row>
    <row r="645" spans="1:13">
      <c r="A645" t="s">
        <v>28</v>
      </c>
      <c r="B645">
        <f ca="1">IF(OR(changes[[#This Row],[Type]]="Checklist",changes[[#This Row],[Type]]="checklist-flat"),1+IF(changes[[#This Row],[Type of change]] = "Edit",COUNTIFS($I$4:changes[[#This Row],[Name]],changes[[#This Row],[Name]], $E$4:changes[[#This Row],[Type of change]], "Edit")),B644)</f>
        <v>1</v>
      </c>
      <c r="C645" s="16">
        <v>44613</v>
      </c>
      <c r="D645" s="10" t="s">
        <v>2427</v>
      </c>
      <c r="E645" s="10" t="s">
        <v>2396</v>
      </c>
      <c r="F645" s="10" t="s">
        <v>9</v>
      </c>
      <c r="G645" s="10" t="s">
        <v>2488</v>
      </c>
      <c r="H645" s="10" t="s">
        <v>478</v>
      </c>
      <c r="I645" s="10" t="s">
        <v>2488</v>
      </c>
      <c r="K645" s="2"/>
      <c r="M645" s="2"/>
    </row>
    <row r="646" spans="1:13">
      <c r="A646" t="s">
        <v>28</v>
      </c>
      <c r="B646">
        <f ca="1">IF(OR(changes[[#This Row],[Type]]="Checklist",changes[[#This Row],[Type]]="checklist-flat"),1+IF(changes[[#This Row],[Type of change]] = "Edit",COUNTIFS($I$4:changes[[#This Row],[Name]],changes[[#This Row],[Name]], $E$4:changes[[#This Row],[Type of change]], "Edit")),B645)</f>
        <v>1</v>
      </c>
      <c r="C646" s="16">
        <v>44613</v>
      </c>
      <c r="D646" s="10" t="s">
        <v>2427</v>
      </c>
      <c r="E646" s="10" t="s">
        <v>2396</v>
      </c>
      <c r="F646" s="10" t="s">
        <v>9</v>
      </c>
      <c r="G646" s="10" t="s">
        <v>2488</v>
      </c>
      <c r="H646" s="10" t="s">
        <v>55</v>
      </c>
      <c r="I646" s="10" t="s">
        <v>1107</v>
      </c>
      <c r="K646" s="2"/>
      <c r="M646" s="2"/>
    </row>
    <row r="647" spans="1:13">
      <c r="A647" t="s">
        <v>28</v>
      </c>
      <c r="B647">
        <f ca="1">IF(OR(changes[[#This Row],[Type]]="Checklist",changes[[#This Row],[Type]]="checklist-flat"),1+IF(changes[[#This Row],[Type of change]] = "Edit",COUNTIFS($I$4:changes[[#This Row],[Name]],changes[[#This Row],[Name]], $E$4:changes[[#This Row],[Type of change]], "Edit")),B646)</f>
        <v>1</v>
      </c>
      <c r="C647" s="16">
        <v>44613</v>
      </c>
      <c r="D647" s="10" t="s">
        <v>2427</v>
      </c>
      <c r="E647" s="10" t="s">
        <v>2396</v>
      </c>
      <c r="F647" s="10" t="s">
        <v>9</v>
      </c>
      <c r="G647" s="10" t="s">
        <v>2488</v>
      </c>
      <c r="H647" s="10" t="s">
        <v>55</v>
      </c>
      <c r="I647" s="10" t="s">
        <v>1108</v>
      </c>
      <c r="K647" s="2"/>
      <c r="M647" s="2"/>
    </row>
    <row r="648" spans="1:13" ht="15" customHeight="1">
      <c r="A648" t="s">
        <v>28</v>
      </c>
      <c r="B648">
        <f ca="1">IF(OR(changes[[#This Row],[Type]]="Checklist",changes[[#This Row],[Type]]="checklist-flat"),1+IF(changes[[#This Row],[Type of change]] = "Edit",COUNTIFS($I$4:changes[[#This Row],[Name]],changes[[#This Row],[Name]], $E$4:changes[[#This Row],[Type of change]], "Edit")),B647)</f>
        <v>1</v>
      </c>
      <c r="C648" s="16">
        <v>44613</v>
      </c>
      <c r="D648" s="10" t="s">
        <v>2427</v>
      </c>
      <c r="E648" s="10" t="s">
        <v>2396</v>
      </c>
      <c r="F648" s="10" t="s">
        <v>9</v>
      </c>
      <c r="G648" s="10" t="s">
        <v>2488</v>
      </c>
      <c r="H648" s="10" t="s">
        <v>64</v>
      </c>
      <c r="I648" s="10" t="s">
        <v>1105</v>
      </c>
      <c r="K648" s="2"/>
      <c r="M648" s="2"/>
    </row>
    <row r="649" spans="1:13">
      <c r="A649" t="s">
        <v>28</v>
      </c>
      <c r="B649">
        <f ca="1">IF(OR(changes[[#This Row],[Type]]="Checklist",changes[[#This Row],[Type]]="checklist-flat"),1+IF(changes[[#This Row],[Type of change]] = "Edit",COUNTIFS($I$4:changes[[#This Row],[Name]],changes[[#This Row],[Name]], $E$4:changes[[#This Row],[Type of change]], "Edit")),B648)</f>
        <v>1</v>
      </c>
      <c r="C649" s="16">
        <v>44614</v>
      </c>
      <c r="D649" s="10" t="s">
        <v>2424</v>
      </c>
      <c r="E649" s="10" t="s">
        <v>2396</v>
      </c>
      <c r="F649" s="10" t="s">
        <v>52</v>
      </c>
      <c r="G649" s="10" t="s">
        <v>386</v>
      </c>
      <c r="H649" s="10" t="s">
        <v>478</v>
      </c>
      <c r="I649" s="10" t="s">
        <v>386</v>
      </c>
      <c r="K649" s="2"/>
      <c r="M649" t="s">
        <v>2489</v>
      </c>
    </row>
    <row r="650" spans="1:13">
      <c r="A650" t="s">
        <v>28</v>
      </c>
      <c r="B650">
        <f ca="1">IF(OR(changes[[#This Row],[Type]]="Checklist",changes[[#This Row],[Type]]="checklist-flat"),1+IF(changes[[#This Row],[Type of change]] = "Edit",COUNTIFS($I$4:changes[[#This Row],[Name]],changes[[#This Row],[Name]], $E$4:changes[[#This Row],[Type of change]], "Edit")),B649)</f>
        <v>1</v>
      </c>
      <c r="C650" s="16">
        <v>44614</v>
      </c>
      <c r="D650" s="10" t="s">
        <v>2424</v>
      </c>
      <c r="E650" s="10" t="s">
        <v>2396</v>
      </c>
      <c r="F650" s="10" t="s">
        <v>52</v>
      </c>
      <c r="G650" s="10" t="s">
        <v>386</v>
      </c>
      <c r="H650" s="10" t="s">
        <v>269</v>
      </c>
      <c r="I650" s="10" t="s">
        <v>387</v>
      </c>
      <c r="K650" s="2"/>
      <c r="M650" s="2"/>
    </row>
    <row r="651" spans="1:13">
      <c r="A651" t="s">
        <v>28</v>
      </c>
      <c r="B651">
        <f ca="1">IF(OR(changes[[#This Row],[Type]]="Checklist",changes[[#This Row],[Type]]="checklist-flat"),1+IF(changes[[#This Row],[Type of change]] = "Edit",COUNTIFS($I$4:changes[[#This Row],[Name]],changes[[#This Row],[Name]], $E$4:changes[[#This Row],[Type of change]], "Edit")),B650)</f>
        <v>1</v>
      </c>
      <c r="C651" s="16">
        <v>44614</v>
      </c>
      <c r="D651" s="10" t="s">
        <v>2424</v>
      </c>
      <c r="E651" s="10" t="s">
        <v>2396</v>
      </c>
      <c r="F651" s="10" t="s">
        <v>52</v>
      </c>
      <c r="G651" s="10" t="s">
        <v>386</v>
      </c>
      <c r="H651" s="10" t="s">
        <v>269</v>
      </c>
      <c r="I651" s="10" t="s">
        <v>388</v>
      </c>
      <c r="K651" s="2"/>
      <c r="M651" s="2"/>
    </row>
    <row r="652" spans="1:13">
      <c r="A652" t="s">
        <v>28</v>
      </c>
      <c r="B652">
        <f ca="1">IF(OR(changes[[#This Row],[Type]]="Checklist",changes[[#This Row],[Type]]="checklist-flat"),1+IF(changes[[#This Row],[Type of change]] = "Edit",COUNTIFS($I$4:changes[[#This Row],[Name]],changes[[#This Row],[Name]], $E$4:changes[[#This Row],[Type of change]], "Edit")),B651)</f>
        <v>1</v>
      </c>
      <c r="C652" s="16">
        <v>44614</v>
      </c>
      <c r="D652" s="10" t="s">
        <v>2424</v>
      </c>
      <c r="E652" s="10" t="s">
        <v>2396</v>
      </c>
      <c r="F652" s="10" t="s">
        <v>52</v>
      </c>
      <c r="G652" s="10" t="s">
        <v>386</v>
      </c>
      <c r="H652" s="10" t="s">
        <v>269</v>
      </c>
      <c r="I652" s="10" t="s">
        <v>389</v>
      </c>
      <c r="K652" s="2"/>
      <c r="M652" s="2"/>
    </row>
    <row r="653" spans="1:13">
      <c r="A653" t="s">
        <v>28</v>
      </c>
      <c r="B653">
        <f ca="1">IF(OR(changes[[#This Row],[Type]]="Checklist",changes[[#This Row],[Type]]="checklist-flat"),1+IF(changes[[#This Row],[Type of change]] = "Edit",COUNTIFS($I$4:changes[[#This Row],[Name]],changes[[#This Row],[Name]], $E$4:changes[[#This Row],[Type of change]], "Edit")),B652)</f>
        <v>1</v>
      </c>
      <c r="C653" s="16">
        <v>44614</v>
      </c>
      <c r="D653" s="10" t="s">
        <v>2424</v>
      </c>
      <c r="E653" s="10" t="s">
        <v>2396</v>
      </c>
      <c r="F653" s="10" t="s">
        <v>52</v>
      </c>
      <c r="G653" s="10" t="s">
        <v>386</v>
      </c>
      <c r="H653" s="10" t="s">
        <v>269</v>
      </c>
      <c r="I653" s="10" t="s">
        <v>390</v>
      </c>
      <c r="K653" s="2"/>
      <c r="M653" s="2"/>
    </row>
    <row r="654" spans="1:13">
      <c r="A654" t="s">
        <v>28</v>
      </c>
      <c r="B654">
        <f ca="1">IF(OR(changes[[#This Row],[Type]]="Checklist",changes[[#This Row],[Type]]="checklist-flat"),1+IF(changes[[#This Row],[Type of change]] = "Edit",COUNTIFS($I$4:changes[[#This Row],[Name]],changes[[#This Row],[Name]], $E$4:changes[[#This Row],[Type of change]], "Edit")),B653)</f>
        <v>1</v>
      </c>
      <c r="C654" s="16">
        <v>44614</v>
      </c>
      <c r="D654" s="10" t="s">
        <v>2424</v>
      </c>
      <c r="E654" s="10" t="s">
        <v>2396</v>
      </c>
      <c r="F654" s="10" t="s">
        <v>52</v>
      </c>
      <c r="G654" s="10" t="s">
        <v>386</v>
      </c>
      <c r="H654" s="10" t="s">
        <v>269</v>
      </c>
      <c r="I654" s="10" t="s">
        <v>391</v>
      </c>
      <c r="K654" s="2"/>
      <c r="M654" s="2"/>
    </row>
    <row r="655" spans="1:13">
      <c r="A655" t="s">
        <v>28</v>
      </c>
      <c r="B655">
        <f ca="1">IF(OR(changes[[#This Row],[Type]]="Checklist",changes[[#This Row],[Type]]="checklist-flat"),1+IF(changes[[#This Row],[Type of change]] = "Edit",COUNTIFS($I$4:changes[[#This Row],[Name]],changes[[#This Row],[Name]], $E$4:changes[[#This Row],[Type of change]], "Edit")),B654)</f>
        <v>1</v>
      </c>
      <c r="C655" s="16">
        <v>44614</v>
      </c>
      <c r="D655" s="10" t="s">
        <v>2490</v>
      </c>
      <c r="E655" s="10" t="s">
        <v>2396</v>
      </c>
      <c r="F655" s="10" t="s">
        <v>9</v>
      </c>
      <c r="G655" s="10" t="s">
        <v>2491</v>
      </c>
      <c r="H655" s="10" t="s">
        <v>478</v>
      </c>
      <c r="I655" s="10" t="s">
        <v>2491</v>
      </c>
      <c r="K655" s="2"/>
      <c r="M655" s="2"/>
    </row>
    <row r="656" spans="1:13">
      <c r="A656" t="s">
        <v>28</v>
      </c>
      <c r="B656">
        <f ca="1">IF(OR(changes[[#This Row],[Type]]="Checklist",changes[[#This Row],[Type]]="checklist-flat"),1+IF(changes[[#This Row],[Type of change]] = "Edit",COUNTIFS($I$4:changes[[#This Row],[Name]],changes[[#This Row],[Name]], $E$4:changes[[#This Row],[Type of change]], "Edit")),B655)</f>
        <v>1</v>
      </c>
      <c r="C656" s="16">
        <v>44614</v>
      </c>
      <c r="D656" s="10" t="s">
        <v>2490</v>
      </c>
      <c r="E656" s="10" t="s">
        <v>2396</v>
      </c>
      <c r="F656" s="10" t="s">
        <v>9</v>
      </c>
      <c r="G656" s="10" t="s">
        <v>2491</v>
      </c>
      <c r="H656" s="10" t="s">
        <v>479</v>
      </c>
      <c r="I656" s="10" t="s">
        <v>1336</v>
      </c>
      <c r="K656" s="2"/>
      <c r="M656" s="2"/>
    </row>
    <row r="657" spans="1:13">
      <c r="A657" t="s">
        <v>28</v>
      </c>
      <c r="B657">
        <f ca="1">IF(OR(changes[[#This Row],[Type]]="Checklist",changes[[#This Row],[Type]]="checklist-flat"),1+IF(changes[[#This Row],[Type of change]] = "Edit",COUNTIFS($I$4:changes[[#This Row],[Name]],changes[[#This Row],[Name]], $E$4:changes[[#This Row],[Type of change]], "Edit")),B656)</f>
        <v>1</v>
      </c>
      <c r="C657" s="16">
        <v>44614</v>
      </c>
      <c r="D657" s="10" t="s">
        <v>2490</v>
      </c>
      <c r="E657" s="10" t="s">
        <v>2396</v>
      </c>
      <c r="F657" s="10" t="s">
        <v>9</v>
      </c>
      <c r="G657" s="10" t="s">
        <v>2491</v>
      </c>
      <c r="H657" s="10" t="s">
        <v>55</v>
      </c>
      <c r="I657" s="10" t="s">
        <v>1337</v>
      </c>
      <c r="K657" s="2"/>
      <c r="M657" s="2"/>
    </row>
    <row r="658" spans="1:13">
      <c r="A658" t="s">
        <v>28</v>
      </c>
      <c r="B658">
        <f ca="1">IF(OR(changes[[#This Row],[Type]]="Checklist",changes[[#This Row],[Type]]="checklist-flat"),1+IF(changes[[#This Row],[Type of change]] = "Edit",COUNTIFS($I$4:changes[[#This Row],[Name]],changes[[#This Row],[Name]], $E$4:changes[[#This Row],[Type of change]], "Edit")),B657)</f>
        <v>1</v>
      </c>
      <c r="C658" s="16">
        <v>44614</v>
      </c>
      <c r="D658" s="10" t="s">
        <v>2490</v>
      </c>
      <c r="E658" s="10" t="s">
        <v>2396</v>
      </c>
      <c r="F658" s="10" t="s">
        <v>9</v>
      </c>
      <c r="G658" s="10" t="s">
        <v>2491</v>
      </c>
      <c r="H658" s="10" t="s">
        <v>55</v>
      </c>
      <c r="I658" s="10" t="s">
        <v>1338</v>
      </c>
      <c r="K658" s="2"/>
      <c r="M658" s="2"/>
    </row>
    <row r="659" spans="1:13">
      <c r="A659" t="s">
        <v>28</v>
      </c>
      <c r="B659">
        <f ca="1">IF(OR(changes[[#This Row],[Type]]="Checklist",changes[[#This Row],[Type]]="checklist-flat"),1+IF(changes[[#This Row],[Type of change]] = "Edit",COUNTIFS($I$4:changes[[#This Row],[Name]],changes[[#This Row],[Name]], $E$4:changes[[#This Row],[Type of change]], "Edit")),B658)</f>
        <v>1</v>
      </c>
      <c r="C659" s="16">
        <v>44614</v>
      </c>
      <c r="D659" s="10" t="s">
        <v>2490</v>
      </c>
      <c r="E659" s="10" t="s">
        <v>2396</v>
      </c>
      <c r="F659" s="10" t="s">
        <v>9</v>
      </c>
      <c r="G659" s="10" t="s">
        <v>2491</v>
      </c>
      <c r="H659" s="10" t="s">
        <v>479</v>
      </c>
      <c r="I659" s="10" t="s">
        <v>1339</v>
      </c>
      <c r="K659" s="2"/>
      <c r="M659" s="2"/>
    </row>
    <row r="660" spans="1:13">
      <c r="A660" t="s">
        <v>28</v>
      </c>
      <c r="B660">
        <f ca="1">IF(OR(changes[[#This Row],[Type]]="Checklist",changes[[#This Row],[Type]]="checklist-flat"),1+IF(changes[[#This Row],[Type of change]] = "Edit",COUNTIFS($I$4:changes[[#This Row],[Name]],changes[[#This Row],[Name]], $E$4:changes[[#This Row],[Type of change]], "Edit")),B659)</f>
        <v>1</v>
      </c>
      <c r="C660" s="16">
        <v>44614</v>
      </c>
      <c r="D660" s="10" t="s">
        <v>2490</v>
      </c>
      <c r="E660" s="10" t="s">
        <v>2396</v>
      </c>
      <c r="F660" s="10" t="s">
        <v>9</v>
      </c>
      <c r="G660" s="10" t="s">
        <v>2491</v>
      </c>
      <c r="H660" s="10" t="s">
        <v>55</v>
      </c>
      <c r="I660" s="10" t="s">
        <v>1340</v>
      </c>
      <c r="K660" s="2"/>
      <c r="M660" s="2"/>
    </row>
    <row r="661" spans="1:13">
      <c r="A661" t="s">
        <v>28</v>
      </c>
      <c r="B661">
        <f ca="1">IF(OR(changes[[#This Row],[Type]]="Checklist",changes[[#This Row],[Type]]="checklist-flat"),1+IF(changes[[#This Row],[Type of change]] = "Edit",COUNTIFS($I$4:changes[[#This Row],[Name]],changes[[#This Row],[Name]], $E$4:changes[[#This Row],[Type of change]], "Edit")),B660)</f>
        <v>1</v>
      </c>
      <c r="C661" s="16">
        <v>44614</v>
      </c>
      <c r="D661" s="10" t="s">
        <v>2490</v>
      </c>
      <c r="E661" s="10" t="s">
        <v>2396</v>
      </c>
      <c r="F661" s="10" t="s">
        <v>9</v>
      </c>
      <c r="G661" s="10" t="s">
        <v>2491</v>
      </c>
      <c r="H661" s="10" t="s">
        <v>55</v>
      </c>
      <c r="I661" s="10" t="s">
        <v>1337</v>
      </c>
      <c r="K661" s="2"/>
      <c r="M661" s="2"/>
    </row>
    <row r="662" spans="1:13">
      <c r="A662" t="s">
        <v>28</v>
      </c>
      <c r="B662">
        <f ca="1">IF(OR(changes[[#This Row],[Type]]="Checklist",changes[[#This Row],[Type]]="checklist-flat"),1+IF(changes[[#This Row],[Type of change]] = "Edit",COUNTIFS($I$4:changes[[#This Row],[Name]],changes[[#This Row],[Name]], $E$4:changes[[#This Row],[Type of change]], "Edit")),B661)</f>
        <v>1</v>
      </c>
      <c r="C662" s="16">
        <v>44614</v>
      </c>
      <c r="D662" s="10" t="s">
        <v>2490</v>
      </c>
      <c r="E662" s="10" t="s">
        <v>2396</v>
      </c>
      <c r="F662" s="10" t="s">
        <v>9</v>
      </c>
      <c r="G662" s="10" t="s">
        <v>2491</v>
      </c>
      <c r="H662" s="10" t="s">
        <v>55</v>
      </c>
      <c r="I662" s="10" t="s">
        <v>1341</v>
      </c>
      <c r="K662" s="2"/>
      <c r="M662" s="2"/>
    </row>
    <row r="663" spans="1:13">
      <c r="A663" t="s">
        <v>28</v>
      </c>
      <c r="B663">
        <f ca="1">IF(OR(changes[[#This Row],[Type]]="Checklist",changes[[#This Row],[Type]]="checklist-flat"),1+IF(changes[[#This Row],[Type of change]] = "Edit",COUNTIFS($I$4:changes[[#This Row],[Name]],changes[[#This Row],[Name]], $E$4:changes[[#This Row],[Type of change]], "Edit")),B662)</f>
        <v>1</v>
      </c>
      <c r="C663" s="16">
        <v>44614</v>
      </c>
      <c r="D663" s="10" t="s">
        <v>2490</v>
      </c>
      <c r="E663" s="10" t="s">
        <v>2396</v>
      </c>
      <c r="F663" s="10" t="s">
        <v>9</v>
      </c>
      <c r="G663" s="10" t="s">
        <v>2491</v>
      </c>
      <c r="H663" s="10" t="s">
        <v>55</v>
      </c>
      <c r="I663" s="10" t="s">
        <v>1342</v>
      </c>
      <c r="K663" s="2"/>
      <c r="M663" s="2"/>
    </row>
    <row r="664" spans="1:13">
      <c r="A664" t="s">
        <v>28</v>
      </c>
      <c r="B664">
        <f ca="1">IF(OR(changes[[#This Row],[Type]]="Checklist",changes[[#This Row],[Type]]="checklist-flat"),1+IF(changes[[#This Row],[Type of change]] = "Edit",COUNTIFS($I$4:changes[[#This Row],[Name]],changes[[#This Row],[Name]], $E$4:changes[[#This Row],[Type of change]], "Edit")),B663)</f>
        <v>1</v>
      </c>
      <c r="C664" s="16">
        <v>44614</v>
      </c>
      <c r="D664" s="10" t="s">
        <v>2490</v>
      </c>
      <c r="E664" s="10" t="s">
        <v>2396</v>
      </c>
      <c r="F664" s="10" t="s">
        <v>9</v>
      </c>
      <c r="G664" s="10" t="s">
        <v>2491</v>
      </c>
      <c r="H664" s="10" t="s">
        <v>55</v>
      </c>
      <c r="I664" s="10" t="s">
        <v>1343</v>
      </c>
      <c r="K664" s="2"/>
      <c r="M664" s="2"/>
    </row>
    <row r="665" spans="1:13">
      <c r="A665" t="s">
        <v>28</v>
      </c>
      <c r="B665">
        <f ca="1">IF(OR(changes[[#This Row],[Type]]="Checklist",changes[[#This Row],[Type]]="checklist-flat"),1+IF(changes[[#This Row],[Type of change]] = "Edit",COUNTIFS($I$4:changes[[#This Row],[Name]],changes[[#This Row],[Name]], $E$4:changes[[#This Row],[Type of change]], "Edit")),B664)</f>
        <v>1</v>
      </c>
      <c r="C665" s="16">
        <v>44614</v>
      </c>
      <c r="D665" s="10" t="s">
        <v>2490</v>
      </c>
      <c r="E665" s="10" t="s">
        <v>2396</v>
      </c>
      <c r="F665" s="10" t="s">
        <v>9</v>
      </c>
      <c r="G665" s="10" t="s">
        <v>2491</v>
      </c>
      <c r="H665" s="10" t="s">
        <v>55</v>
      </c>
      <c r="I665" s="10" t="s">
        <v>1344</v>
      </c>
      <c r="K665" s="2"/>
      <c r="M665" s="2"/>
    </row>
    <row r="666" spans="1:13">
      <c r="A666" t="s">
        <v>28</v>
      </c>
      <c r="B666">
        <f ca="1">IF(OR(changes[[#This Row],[Type]]="Checklist",changes[[#This Row],[Type]]="checklist-flat"),1+IF(changes[[#This Row],[Type of change]] = "Edit",COUNTIFS($I$4:changes[[#This Row],[Name]],changes[[#This Row],[Name]], $E$4:changes[[#This Row],[Type of change]], "Edit")),B665)</f>
        <v>1</v>
      </c>
      <c r="C666" s="16">
        <v>44614</v>
      </c>
      <c r="D666" s="10" t="s">
        <v>2490</v>
      </c>
      <c r="E666" s="10" t="s">
        <v>2396</v>
      </c>
      <c r="F666" s="10" t="s">
        <v>9</v>
      </c>
      <c r="G666" s="10" t="s">
        <v>2491</v>
      </c>
      <c r="H666" s="10" t="s">
        <v>55</v>
      </c>
      <c r="I666" s="10" t="s">
        <v>1345</v>
      </c>
      <c r="K666" s="2"/>
      <c r="M666" s="2"/>
    </row>
    <row r="667" spans="1:13">
      <c r="A667" t="s">
        <v>28</v>
      </c>
      <c r="B667">
        <f ca="1">IF(OR(changes[[#This Row],[Type]]="Checklist",changes[[#This Row],[Type]]="checklist-flat"),1+IF(changes[[#This Row],[Type of change]] = "Edit",COUNTIFS($I$4:changes[[#This Row],[Name]],changes[[#This Row],[Name]], $E$4:changes[[#This Row],[Type of change]], "Edit")),B666)</f>
        <v>1</v>
      </c>
      <c r="C667" s="16">
        <v>44614</v>
      </c>
      <c r="D667" s="10" t="s">
        <v>2490</v>
      </c>
      <c r="E667" s="10" t="s">
        <v>2396</v>
      </c>
      <c r="F667" s="10" t="s">
        <v>9</v>
      </c>
      <c r="G667" s="10" t="s">
        <v>2491</v>
      </c>
      <c r="H667" s="10" t="s">
        <v>55</v>
      </c>
      <c r="I667" s="10" t="s">
        <v>1346</v>
      </c>
      <c r="K667" s="2"/>
      <c r="M667" s="2"/>
    </row>
    <row r="668" spans="1:13">
      <c r="A668" t="s">
        <v>28</v>
      </c>
      <c r="B668">
        <f ca="1">IF(OR(changes[[#This Row],[Type]]="Checklist",changes[[#This Row],[Type]]="checklist-flat"),1+IF(changes[[#This Row],[Type of change]] = "Edit",COUNTIFS($I$4:changes[[#This Row],[Name]],changes[[#This Row],[Name]], $E$4:changes[[#This Row],[Type of change]], "Edit")),B667)</f>
        <v>1</v>
      </c>
      <c r="C668" s="16">
        <v>44614</v>
      </c>
      <c r="D668" s="10" t="s">
        <v>2490</v>
      </c>
      <c r="E668" s="10" t="s">
        <v>2396</v>
      </c>
      <c r="F668" s="10" t="s">
        <v>9</v>
      </c>
      <c r="G668" s="10" t="s">
        <v>2491</v>
      </c>
      <c r="H668" s="10" t="s">
        <v>479</v>
      </c>
      <c r="I668" s="10" t="s">
        <v>1347</v>
      </c>
      <c r="K668" s="2"/>
      <c r="M668" s="2"/>
    </row>
    <row r="669" spans="1:13">
      <c r="A669" t="s">
        <v>28</v>
      </c>
      <c r="B669">
        <f ca="1">IF(OR(changes[[#This Row],[Type]]="Checklist",changes[[#This Row],[Type]]="checklist-flat"),1+IF(changes[[#This Row],[Type of change]] = "Edit",COUNTIFS($I$4:changes[[#This Row],[Name]],changes[[#This Row],[Name]], $E$4:changes[[#This Row],[Type of change]], "Edit")),B668)</f>
        <v>1</v>
      </c>
      <c r="C669" s="16">
        <v>44614</v>
      </c>
      <c r="D669" s="10" t="s">
        <v>2490</v>
      </c>
      <c r="E669" s="10" t="s">
        <v>2396</v>
      </c>
      <c r="F669" s="10" t="s">
        <v>9</v>
      </c>
      <c r="G669" s="10" t="s">
        <v>2491</v>
      </c>
      <c r="H669" s="10" t="s">
        <v>55</v>
      </c>
      <c r="I669" s="10" t="s">
        <v>1348</v>
      </c>
      <c r="K669" s="2"/>
      <c r="M669" s="2"/>
    </row>
    <row r="670" spans="1:13">
      <c r="A670" t="s">
        <v>28</v>
      </c>
      <c r="B670">
        <f ca="1">IF(OR(changes[[#This Row],[Type]]="Checklist",changes[[#This Row],[Type]]="checklist-flat"),1+IF(changes[[#This Row],[Type of change]] = "Edit",COUNTIFS($I$4:changes[[#This Row],[Name]],changes[[#This Row],[Name]], $E$4:changes[[#This Row],[Type of change]], "Edit")),B669)</f>
        <v>1</v>
      </c>
      <c r="C670" s="16">
        <v>44614</v>
      </c>
      <c r="D670" s="10" t="s">
        <v>2490</v>
      </c>
      <c r="E670" s="10" t="s">
        <v>2396</v>
      </c>
      <c r="F670" s="10" t="s">
        <v>9</v>
      </c>
      <c r="G670" s="10" t="s">
        <v>2491</v>
      </c>
      <c r="H670" s="10" t="s">
        <v>55</v>
      </c>
      <c r="I670" s="10" t="s">
        <v>1349</v>
      </c>
      <c r="K670" s="2"/>
      <c r="M670" s="2"/>
    </row>
    <row r="671" spans="1:13">
      <c r="A671" t="s">
        <v>28</v>
      </c>
      <c r="B671">
        <f ca="1">IF(OR(changes[[#This Row],[Type]]="Checklist",changes[[#This Row],[Type]]="checklist-flat"),1+IF(changes[[#This Row],[Type of change]] = "Edit",COUNTIFS($I$4:changes[[#This Row],[Name]],changes[[#This Row],[Name]], $E$4:changes[[#This Row],[Type of change]], "Edit")),B670)</f>
        <v>1</v>
      </c>
      <c r="C671" s="16">
        <v>44614</v>
      </c>
      <c r="D671" s="10" t="s">
        <v>2490</v>
      </c>
      <c r="E671" s="10" t="s">
        <v>2396</v>
      </c>
      <c r="F671" s="10" t="s">
        <v>9</v>
      </c>
      <c r="G671" s="10" t="s">
        <v>2491</v>
      </c>
      <c r="H671" s="10" t="s">
        <v>479</v>
      </c>
      <c r="I671" s="10" t="s">
        <v>1350</v>
      </c>
      <c r="K671" s="2"/>
      <c r="M671" s="2"/>
    </row>
    <row r="672" spans="1:13">
      <c r="A672" t="s">
        <v>28</v>
      </c>
      <c r="B672">
        <f ca="1">IF(OR(changes[[#This Row],[Type]]="Checklist",changes[[#This Row],[Type]]="checklist-flat"),1+IF(changes[[#This Row],[Type of change]] = "Edit",COUNTIFS($I$4:changes[[#This Row],[Name]],changes[[#This Row],[Name]], $E$4:changes[[#This Row],[Type of change]], "Edit")),B671)</f>
        <v>1</v>
      </c>
      <c r="C672" s="16">
        <v>44614</v>
      </c>
      <c r="D672" s="10" t="s">
        <v>2490</v>
      </c>
      <c r="E672" s="10" t="s">
        <v>2396</v>
      </c>
      <c r="F672" s="10" t="s">
        <v>9</v>
      </c>
      <c r="G672" s="10" t="s">
        <v>2491</v>
      </c>
      <c r="H672" s="10" t="s">
        <v>55</v>
      </c>
      <c r="I672" s="10" t="s">
        <v>1351</v>
      </c>
      <c r="K672" s="2"/>
      <c r="M672" s="2"/>
    </row>
    <row r="673" spans="1:13">
      <c r="A673" t="s">
        <v>11</v>
      </c>
      <c r="B673">
        <f ca="1">IF(OR(changes[[#This Row],[Type]]="Checklist",changes[[#This Row],[Type]]="checklist-flat"),1+IF(changes[[#This Row],[Type of change]] = "Edit",COUNTIFS($I$4:changes[[#This Row],[Name]],changes[[#This Row],[Name]], $E$4:changes[[#This Row],[Type of change]], "Edit")),B672)</f>
        <v>1</v>
      </c>
      <c r="C673" s="16">
        <v>44615</v>
      </c>
      <c r="D673" s="1" t="s">
        <v>2424</v>
      </c>
      <c r="E673" t="s">
        <v>2396</v>
      </c>
      <c r="F673" s="10" t="s">
        <v>9</v>
      </c>
      <c r="G673" t="s">
        <v>2492</v>
      </c>
      <c r="H673" t="s">
        <v>478</v>
      </c>
      <c r="I673" t="s">
        <v>2493</v>
      </c>
      <c r="K673" s="2"/>
      <c r="M673" t="s">
        <v>2494</v>
      </c>
    </row>
    <row r="674" spans="1:13">
      <c r="A674" t="s">
        <v>11</v>
      </c>
      <c r="B674">
        <f ca="1">IF(OR(changes[[#This Row],[Type]]="Checklist",changes[[#This Row],[Type]]="checklist-flat"),1+IF(changes[[#This Row],[Type of change]] = "Edit",COUNTIFS($I$4:changes[[#This Row],[Name]],changes[[#This Row],[Name]], $E$4:changes[[#This Row],[Type of change]], "Edit")),B673)</f>
        <v>1</v>
      </c>
      <c r="C674" s="16">
        <v>44615</v>
      </c>
      <c r="D674" s="1" t="s">
        <v>2424</v>
      </c>
      <c r="E674" t="s">
        <v>2396</v>
      </c>
      <c r="F674" s="10" t="s">
        <v>9</v>
      </c>
      <c r="G674" t="s">
        <v>2492</v>
      </c>
      <c r="H674" t="s">
        <v>479</v>
      </c>
      <c r="I674" t="s">
        <v>2495</v>
      </c>
      <c r="K674" s="2"/>
    </row>
    <row r="675" spans="1:13">
      <c r="A675" t="s">
        <v>11</v>
      </c>
      <c r="B675">
        <f ca="1">IF(OR(changes[[#This Row],[Type]]="Checklist",changes[[#This Row],[Type]]="checklist-flat"),1+IF(changes[[#This Row],[Type of change]] = "Edit",COUNTIFS($I$4:changes[[#This Row],[Name]],changes[[#This Row],[Name]], $E$4:changes[[#This Row],[Type of change]], "Edit")),B674)</f>
        <v>1</v>
      </c>
      <c r="C675" s="16">
        <v>44615</v>
      </c>
      <c r="D675" s="1" t="s">
        <v>2424</v>
      </c>
      <c r="E675" t="s">
        <v>2396</v>
      </c>
      <c r="F675" s="10" t="s">
        <v>9</v>
      </c>
      <c r="G675" t="s">
        <v>2492</v>
      </c>
      <c r="H675" t="s">
        <v>55</v>
      </c>
      <c r="I675" t="s">
        <v>2010</v>
      </c>
      <c r="K675" s="2"/>
    </row>
    <row r="676" spans="1:13">
      <c r="A676" t="s">
        <v>11</v>
      </c>
      <c r="B676">
        <f ca="1">IF(OR(changes[[#This Row],[Type]]="Checklist",changes[[#This Row],[Type]]="checklist-flat"),1+IF(changes[[#This Row],[Type of change]] = "Edit",COUNTIFS($I$4:changes[[#This Row],[Name]],changes[[#This Row],[Name]], $E$4:changes[[#This Row],[Type of change]], "Edit")),B675)</f>
        <v>1</v>
      </c>
      <c r="C676" s="16">
        <v>44615</v>
      </c>
      <c r="D676" s="1" t="s">
        <v>2424</v>
      </c>
      <c r="E676" t="s">
        <v>2396</v>
      </c>
      <c r="F676" s="10" t="s">
        <v>9</v>
      </c>
      <c r="G676" t="s">
        <v>2492</v>
      </c>
      <c r="H676" t="s">
        <v>55</v>
      </c>
      <c r="I676" t="s">
        <v>2496</v>
      </c>
      <c r="K676" s="2"/>
    </row>
    <row r="677" spans="1:13">
      <c r="A677" t="s">
        <v>11</v>
      </c>
      <c r="B677">
        <f ca="1">IF(OR(changes[[#This Row],[Type]]="Checklist",changes[[#This Row],[Type]]="checklist-flat"),1+IF(changes[[#This Row],[Type of change]] = "Edit",COUNTIFS($I$4:changes[[#This Row],[Name]],changes[[#This Row],[Name]], $E$4:changes[[#This Row],[Type of change]], "Edit")),B676)</f>
        <v>1</v>
      </c>
      <c r="C677" s="16">
        <v>44615</v>
      </c>
      <c r="D677" s="1" t="s">
        <v>2424</v>
      </c>
      <c r="E677" t="s">
        <v>2396</v>
      </c>
      <c r="F677" s="10" t="s">
        <v>9</v>
      </c>
      <c r="G677" t="s">
        <v>2492</v>
      </c>
      <c r="H677" t="s">
        <v>994</v>
      </c>
      <c r="I677" t="s">
        <v>65</v>
      </c>
      <c r="K677" s="2"/>
    </row>
    <row r="678" spans="1:13">
      <c r="A678" t="s">
        <v>11</v>
      </c>
      <c r="B678">
        <f ca="1">IF(OR(changes[[#This Row],[Type]]="Checklist",changes[[#This Row],[Type]]="checklist-flat"),1+IF(changes[[#This Row],[Type of change]] = "Edit",COUNTIFS($I$4:changes[[#This Row],[Name]],changes[[#This Row],[Name]], $E$4:changes[[#This Row],[Type of change]], "Edit")),B677)</f>
        <v>1</v>
      </c>
      <c r="C678" s="16">
        <v>44615</v>
      </c>
      <c r="D678" s="1" t="s">
        <v>2424</v>
      </c>
      <c r="E678" t="s">
        <v>2396</v>
      </c>
      <c r="F678" s="10" t="s">
        <v>9</v>
      </c>
      <c r="G678" t="s">
        <v>2492</v>
      </c>
      <c r="H678" t="s">
        <v>479</v>
      </c>
      <c r="I678" t="s">
        <v>2497</v>
      </c>
      <c r="K678" s="2"/>
    </row>
    <row r="679" spans="1:13">
      <c r="A679" t="s">
        <v>11</v>
      </c>
      <c r="B679">
        <f ca="1">IF(OR(changes[[#This Row],[Type]]="Checklist",changes[[#This Row],[Type]]="checklist-flat"),1+IF(changes[[#This Row],[Type of change]] = "Edit",COUNTIFS($I$4:changes[[#This Row],[Name]],changes[[#This Row],[Name]], $E$4:changes[[#This Row],[Type of change]], "Edit")),B678)</f>
        <v>1</v>
      </c>
      <c r="C679" s="16">
        <v>44615</v>
      </c>
      <c r="D679" s="1" t="s">
        <v>2424</v>
      </c>
      <c r="E679" t="s">
        <v>2396</v>
      </c>
      <c r="F679" s="10" t="s">
        <v>9</v>
      </c>
      <c r="G679" t="s">
        <v>2492</v>
      </c>
      <c r="H679" t="s">
        <v>55</v>
      </c>
      <c r="I679" t="s">
        <v>1312</v>
      </c>
      <c r="K679" s="2"/>
    </row>
    <row r="680" spans="1:13">
      <c r="A680" t="s">
        <v>11</v>
      </c>
      <c r="B680">
        <f ca="1">IF(OR(changes[[#This Row],[Type]]="Checklist",changes[[#This Row],[Type]]="checklist-flat"),1+IF(changes[[#This Row],[Type of change]] = "Edit",COUNTIFS($I$4:changes[[#This Row],[Name]],changes[[#This Row],[Name]], $E$4:changes[[#This Row],[Type of change]], "Edit")),B679)</f>
        <v>1</v>
      </c>
      <c r="C680" s="16">
        <v>44615</v>
      </c>
      <c r="D680" s="1" t="s">
        <v>2424</v>
      </c>
      <c r="E680" t="s">
        <v>2396</v>
      </c>
      <c r="F680" s="10" t="s">
        <v>9</v>
      </c>
      <c r="G680" t="s">
        <v>2492</v>
      </c>
      <c r="H680" t="s">
        <v>55</v>
      </c>
      <c r="I680" t="s">
        <v>1313</v>
      </c>
      <c r="K680" s="2"/>
    </row>
    <row r="681" spans="1:13">
      <c r="A681" t="s">
        <v>11</v>
      </c>
      <c r="B681">
        <f ca="1">IF(OR(changes[[#This Row],[Type]]="Checklist",changes[[#This Row],[Type]]="checklist-flat"),1+IF(changes[[#This Row],[Type of change]] = "Edit",COUNTIFS($I$4:changes[[#This Row],[Name]],changes[[#This Row],[Name]], $E$4:changes[[#This Row],[Type of change]], "Edit")),B680)</f>
        <v>1</v>
      </c>
      <c r="C681" s="16">
        <v>44615</v>
      </c>
      <c r="D681" s="1" t="s">
        <v>2424</v>
      </c>
      <c r="E681" t="s">
        <v>2396</v>
      </c>
      <c r="F681" s="10" t="s">
        <v>9</v>
      </c>
      <c r="G681" t="s">
        <v>2492</v>
      </c>
      <c r="H681" t="s">
        <v>55</v>
      </c>
      <c r="I681" t="s">
        <v>1316</v>
      </c>
      <c r="K681" s="2"/>
    </row>
    <row r="682" spans="1:13">
      <c r="A682" t="s">
        <v>11</v>
      </c>
      <c r="B682">
        <f ca="1">IF(OR(changes[[#This Row],[Type]]="Checklist",changes[[#This Row],[Type]]="checklist-flat"),1+IF(changes[[#This Row],[Type of change]] = "Edit",COUNTIFS($I$4:changes[[#This Row],[Name]],changes[[#This Row],[Name]], $E$4:changes[[#This Row],[Type of change]], "Edit")),B681)</f>
        <v>1</v>
      </c>
      <c r="C682" s="16">
        <v>44615</v>
      </c>
      <c r="D682" s="1" t="s">
        <v>2424</v>
      </c>
      <c r="E682" t="s">
        <v>2396</v>
      </c>
      <c r="F682" s="10" t="s">
        <v>9</v>
      </c>
      <c r="G682" t="s">
        <v>2492</v>
      </c>
      <c r="H682" t="s">
        <v>55</v>
      </c>
      <c r="I682" t="s">
        <v>2498</v>
      </c>
      <c r="K682" s="2"/>
    </row>
    <row r="683" spans="1:13">
      <c r="A683" t="s">
        <v>11</v>
      </c>
      <c r="B683">
        <f ca="1">IF(OR(changes[[#This Row],[Type]]="Checklist",changes[[#This Row],[Type]]="checklist-flat"),1+IF(changes[[#This Row],[Type of change]] = "Edit",COUNTIFS($I$4:changes[[#This Row],[Name]],changes[[#This Row],[Name]], $E$4:changes[[#This Row],[Type of change]], "Edit")),B682)</f>
        <v>1</v>
      </c>
      <c r="C683" s="16">
        <v>44615</v>
      </c>
      <c r="D683" s="1" t="s">
        <v>2424</v>
      </c>
      <c r="E683" t="s">
        <v>2396</v>
      </c>
      <c r="F683" s="10" t="s">
        <v>9</v>
      </c>
      <c r="G683" t="s">
        <v>2492</v>
      </c>
      <c r="H683" t="s">
        <v>55</v>
      </c>
      <c r="I683" t="s">
        <v>1317</v>
      </c>
      <c r="K683" s="2"/>
    </row>
    <row r="684" spans="1:13">
      <c r="A684" t="s">
        <v>11</v>
      </c>
      <c r="B684">
        <f ca="1">IF(OR(changes[[#This Row],[Type]]="Checklist",changes[[#This Row],[Type]]="checklist-flat"),1+IF(changes[[#This Row],[Type of change]] = "Edit",COUNTIFS($I$4:changes[[#This Row],[Name]],changes[[#This Row],[Name]], $E$4:changes[[#This Row],[Type of change]], "Edit")),B683)</f>
        <v>1</v>
      </c>
      <c r="C684" s="16">
        <v>44615</v>
      </c>
      <c r="D684" s="1" t="s">
        <v>2424</v>
      </c>
      <c r="E684" t="s">
        <v>2396</v>
      </c>
      <c r="F684" s="10" t="s">
        <v>9</v>
      </c>
      <c r="G684" t="s">
        <v>2492</v>
      </c>
      <c r="H684" t="s">
        <v>55</v>
      </c>
      <c r="I684" t="s">
        <v>1318</v>
      </c>
      <c r="K684" s="2"/>
    </row>
    <row r="685" spans="1:13">
      <c r="A685" t="s">
        <v>11</v>
      </c>
      <c r="B685">
        <f ca="1">IF(OR(changes[[#This Row],[Type]]="Checklist",changes[[#This Row],[Type]]="checklist-flat"),1+IF(changes[[#This Row],[Type of change]] = "Edit",COUNTIFS($I$4:changes[[#This Row],[Name]],changes[[#This Row],[Name]], $E$4:changes[[#This Row],[Type of change]], "Edit")),B684)</f>
        <v>1</v>
      </c>
      <c r="C685" s="16">
        <v>44615</v>
      </c>
      <c r="D685" s="1" t="s">
        <v>2424</v>
      </c>
      <c r="E685" t="s">
        <v>2396</v>
      </c>
      <c r="F685" s="10" t="s">
        <v>9</v>
      </c>
      <c r="G685" t="s">
        <v>2492</v>
      </c>
      <c r="H685" t="s">
        <v>479</v>
      </c>
      <c r="I685" t="s">
        <v>2499</v>
      </c>
      <c r="K685" s="2"/>
    </row>
    <row r="686" spans="1:13">
      <c r="A686" t="s">
        <v>11</v>
      </c>
      <c r="B686">
        <f ca="1">IF(OR(changes[[#This Row],[Type]]="Checklist",changes[[#This Row],[Type]]="checklist-flat"),1+IF(changes[[#This Row],[Type of change]] = "Edit",COUNTIFS($I$4:changes[[#This Row],[Name]],changes[[#This Row],[Name]], $E$4:changes[[#This Row],[Type of change]], "Edit")),B685)</f>
        <v>1</v>
      </c>
      <c r="C686" s="16">
        <v>44615</v>
      </c>
      <c r="D686" s="1" t="s">
        <v>2424</v>
      </c>
      <c r="E686" t="s">
        <v>2396</v>
      </c>
      <c r="F686" s="10" t="s">
        <v>9</v>
      </c>
      <c r="G686" t="s">
        <v>2492</v>
      </c>
      <c r="H686" t="s">
        <v>55</v>
      </c>
      <c r="I686" t="s">
        <v>2500</v>
      </c>
      <c r="K686" s="2"/>
    </row>
    <row r="687" spans="1:13">
      <c r="A687" t="s">
        <v>11</v>
      </c>
      <c r="B687">
        <f ca="1">IF(OR(changes[[#This Row],[Type]]="Checklist",changes[[#This Row],[Type]]="checklist-flat"),1+IF(changes[[#This Row],[Type of change]] = "Edit",COUNTIFS($I$4:changes[[#This Row],[Name]],changes[[#This Row],[Name]], $E$4:changes[[#This Row],[Type of change]], "Edit")),B686)</f>
        <v>1</v>
      </c>
      <c r="C687" s="16">
        <v>44615</v>
      </c>
      <c r="D687" s="1" t="s">
        <v>2424</v>
      </c>
      <c r="E687" t="s">
        <v>2396</v>
      </c>
      <c r="F687" s="10" t="s">
        <v>9</v>
      </c>
      <c r="G687" t="s">
        <v>2492</v>
      </c>
      <c r="H687" t="s">
        <v>55</v>
      </c>
      <c r="I687" t="s">
        <v>2501</v>
      </c>
      <c r="K687" s="2"/>
    </row>
    <row r="688" spans="1:13">
      <c r="A688" t="s">
        <v>11</v>
      </c>
      <c r="B688">
        <f ca="1">IF(OR(changes[[#This Row],[Type]]="Checklist",changes[[#This Row],[Type]]="checklist-flat"),1+IF(changes[[#This Row],[Type of change]] = "Edit",COUNTIFS($I$4:changes[[#This Row],[Name]],changes[[#This Row],[Name]], $E$4:changes[[#This Row],[Type of change]], "Edit")),B687)</f>
        <v>1</v>
      </c>
      <c r="C688" s="16">
        <v>44615</v>
      </c>
      <c r="D688" s="1" t="s">
        <v>2424</v>
      </c>
      <c r="E688" t="s">
        <v>2396</v>
      </c>
      <c r="F688" s="10" t="s">
        <v>9</v>
      </c>
      <c r="G688" t="s">
        <v>2492</v>
      </c>
      <c r="H688" t="s">
        <v>478</v>
      </c>
      <c r="I688" t="s">
        <v>2492</v>
      </c>
      <c r="K688" s="2"/>
      <c r="M688" t="s">
        <v>2494</v>
      </c>
    </row>
    <row r="689" spans="1:13">
      <c r="A689" t="s">
        <v>11</v>
      </c>
      <c r="B689">
        <f ca="1">IF(OR(changes[[#This Row],[Type]]="Checklist",changes[[#This Row],[Type]]="checklist-flat"),1+IF(changes[[#This Row],[Type of change]] = "Edit",COUNTIFS($I$4:changes[[#This Row],[Name]],changes[[#This Row],[Name]], $E$4:changes[[#This Row],[Type of change]], "Edit")),B688)</f>
        <v>1</v>
      </c>
      <c r="C689" s="16">
        <v>44615</v>
      </c>
      <c r="D689" s="1" t="s">
        <v>2424</v>
      </c>
      <c r="E689" t="s">
        <v>2396</v>
      </c>
      <c r="F689" s="10" t="s">
        <v>9</v>
      </c>
      <c r="G689" t="s">
        <v>2492</v>
      </c>
      <c r="H689" t="s">
        <v>55</v>
      </c>
      <c r="I689" t="s">
        <v>1182</v>
      </c>
      <c r="K689" s="2"/>
    </row>
    <row r="690" spans="1:13">
      <c r="A690" t="s">
        <v>11</v>
      </c>
      <c r="B690">
        <f ca="1">IF(OR(changes[[#This Row],[Type]]="Checklist",changes[[#This Row],[Type]]="checklist-flat"),1+IF(changes[[#This Row],[Type of change]] = "Edit",COUNTIFS($I$4:changes[[#This Row],[Name]],changes[[#This Row],[Name]], $E$4:changes[[#This Row],[Type of change]], "Edit")),B689)</f>
        <v>1</v>
      </c>
      <c r="C690" s="16">
        <v>44615</v>
      </c>
      <c r="D690" s="1" t="s">
        <v>2424</v>
      </c>
      <c r="E690" t="s">
        <v>2396</v>
      </c>
      <c r="F690" s="10" t="s">
        <v>9</v>
      </c>
      <c r="G690" t="s">
        <v>2492</v>
      </c>
      <c r="H690" t="s">
        <v>55</v>
      </c>
      <c r="I690" t="s">
        <v>2502</v>
      </c>
      <c r="K690" s="2"/>
    </row>
    <row r="691" spans="1:13">
      <c r="A691" t="s">
        <v>11</v>
      </c>
      <c r="B691">
        <f ca="1">IF(OR(changes[[#This Row],[Type]]="Checklist",changes[[#This Row],[Type]]="checklist-flat"),1+IF(changes[[#This Row],[Type of change]] = "Edit",COUNTIFS($I$4:changes[[#This Row],[Name]],changes[[#This Row],[Name]], $E$4:changes[[#This Row],[Type of change]], "Edit")),B690)</f>
        <v>1</v>
      </c>
      <c r="C691" s="16">
        <v>44615</v>
      </c>
      <c r="D691" s="1" t="s">
        <v>2424</v>
      </c>
      <c r="E691" t="s">
        <v>2396</v>
      </c>
      <c r="F691" s="10" t="s">
        <v>9</v>
      </c>
      <c r="G691" t="s">
        <v>2503</v>
      </c>
      <c r="H691" t="s">
        <v>47</v>
      </c>
      <c r="I691" t="s">
        <v>2503</v>
      </c>
      <c r="K691" s="2"/>
      <c r="M691" t="s">
        <v>2494</v>
      </c>
    </row>
    <row r="692" spans="1:13">
      <c r="A692" t="s">
        <v>11</v>
      </c>
      <c r="B692">
        <f ca="1">IF(OR(changes[[#This Row],[Type]]="Checklist",changes[[#This Row],[Type]]="checklist-flat"),1+IF(changes[[#This Row],[Type of change]] = "Edit",COUNTIFS($I$4:changes[[#This Row],[Name]],changes[[#This Row],[Name]], $E$4:changes[[#This Row],[Type of change]], "Edit")),B691)</f>
        <v>1</v>
      </c>
      <c r="C692" s="16">
        <v>44615</v>
      </c>
      <c r="D692" s="1" t="s">
        <v>2424</v>
      </c>
      <c r="E692" t="s">
        <v>2396</v>
      </c>
      <c r="F692" s="10" t="s">
        <v>9</v>
      </c>
      <c r="G692" t="s">
        <v>2503</v>
      </c>
      <c r="H692" t="s">
        <v>479</v>
      </c>
      <c r="I692" t="s">
        <v>1402</v>
      </c>
      <c r="K692" s="2"/>
      <c r="M692" s="2"/>
    </row>
    <row r="693" spans="1:13">
      <c r="A693" t="s">
        <v>11</v>
      </c>
      <c r="B693">
        <f ca="1">IF(OR(changes[[#This Row],[Type]]="Checklist",changes[[#This Row],[Type]]="checklist-flat"),1+IF(changes[[#This Row],[Type of change]] = "Edit",COUNTIFS($I$4:changes[[#This Row],[Name]],changes[[#This Row],[Name]], $E$4:changes[[#This Row],[Type of change]], "Edit")),B692)</f>
        <v>1</v>
      </c>
      <c r="C693" s="16">
        <v>44615</v>
      </c>
      <c r="D693" s="1" t="s">
        <v>2424</v>
      </c>
      <c r="E693" t="s">
        <v>2396</v>
      </c>
      <c r="F693" s="10" t="s">
        <v>9</v>
      </c>
      <c r="G693" t="s">
        <v>2503</v>
      </c>
      <c r="H693" t="s">
        <v>55</v>
      </c>
      <c r="I693" t="s">
        <v>2010</v>
      </c>
      <c r="K693" s="2"/>
      <c r="M693" s="2"/>
    </row>
    <row r="694" spans="1:13">
      <c r="A694" t="s">
        <v>11</v>
      </c>
      <c r="B694">
        <f ca="1">IF(OR(changes[[#This Row],[Type]]="Checklist",changes[[#This Row],[Type]]="checklist-flat"),1+IF(changes[[#This Row],[Type of change]] = "Edit",COUNTIFS($I$4:changes[[#This Row],[Name]],changes[[#This Row],[Name]], $E$4:changes[[#This Row],[Type of change]], "Edit")),B693)</f>
        <v>1</v>
      </c>
      <c r="C694" s="16">
        <v>44615</v>
      </c>
      <c r="D694" s="1" t="s">
        <v>2424</v>
      </c>
      <c r="E694" t="s">
        <v>2396</v>
      </c>
      <c r="F694" s="10" t="s">
        <v>9</v>
      </c>
      <c r="G694" t="s">
        <v>2503</v>
      </c>
      <c r="H694" t="s">
        <v>55</v>
      </c>
      <c r="I694" t="s">
        <v>2496</v>
      </c>
      <c r="K694" s="2"/>
      <c r="M694" s="2"/>
    </row>
    <row r="695" spans="1:13">
      <c r="A695" t="s">
        <v>11</v>
      </c>
      <c r="B695">
        <f ca="1">IF(OR(changes[[#This Row],[Type]]="Checklist",changes[[#This Row],[Type]]="checklist-flat"),1+IF(changes[[#This Row],[Type of change]] = "Edit",COUNTIFS($I$4:changes[[#This Row],[Name]],changes[[#This Row],[Name]], $E$4:changes[[#This Row],[Type of change]], "Edit")),B694)</f>
        <v>1</v>
      </c>
      <c r="C695" s="16">
        <v>44615</v>
      </c>
      <c r="D695" s="1" t="s">
        <v>2424</v>
      </c>
      <c r="E695" t="s">
        <v>2396</v>
      </c>
      <c r="F695" s="10" t="s">
        <v>9</v>
      </c>
      <c r="G695" t="s">
        <v>2503</v>
      </c>
      <c r="H695" t="s">
        <v>994</v>
      </c>
      <c r="I695" t="s">
        <v>65</v>
      </c>
      <c r="K695" s="2"/>
      <c r="M695" s="2"/>
    </row>
    <row r="696" spans="1:13">
      <c r="A696" t="s">
        <v>11</v>
      </c>
      <c r="B696">
        <f ca="1">IF(OR(changes[[#This Row],[Type]]="Checklist",changes[[#This Row],[Type]]="checklist-flat"),1+IF(changes[[#This Row],[Type of change]] = "Edit",COUNTIFS($I$4:changes[[#This Row],[Name]],changes[[#This Row],[Name]], $E$4:changes[[#This Row],[Type of change]], "Edit")),B695)</f>
        <v>1</v>
      </c>
      <c r="C696" s="16">
        <v>44615</v>
      </c>
      <c r="D696" s="1" t="s">
        <v>2424</v>
      </c>
      <c r="E696" t="s">
        <v>2396</v>
      </c>
      <c r="F696" s="10" t="s">
        <v>9</v>
      </c>
      <c r="G696" t="s">
        <v>2503</v>
      </c>
      <c r="H696" t="s">
        <v>55</v>
      </c>
      <c r="I696" t="s">
        <v>1305</v>
      </c>
      <c r="K696" s="2"/>
      <c r="M696" s="2"/>
    </row>
    <row r="697" spans="1:13">
      <c r="A697" t="s">
        <v>11</v>
      </c>
      <c r="B697">
        <f ca="1">IF(OR(changes[[#This Row],[Type]]="Checklist",changes[[#This Row],[Type]]="checklist-flat"),1+IF(changes[[#This Row],[Type of change]] = "Edit",COUNTIFS($I$4:changes[[#This Row],[Name]],changes[[#This Row],[Name]], $E$4:changes[[#This Row],[Type of change]], "Edit")),B696)</f>
        <v>1</v>
      </c>
      <c r="C697" s="16">
        <v>44615</v>
      </c>
      <c r="D697" s="1" t="s">
        <v>2424</v>
      </c>
      <c r="E697" t="s">
        <v>2396</v>
      </c>
      <c r="F697" s="10" t="s">
        <v>9</v>
      </c>
      <c r="G697" t="s">
        <v>2503</v>
      </c>
      <c r="H697" t="s">
        <v>55</v>
      </c>
      <c r="I697" t="s">
        <v>2504</v>
      </c>
      <c r="K697" s="2"/>
      <c r="M697" s="2"/>
    </row>
    <row r="698" spans="1:13">
      <c r="A698" t="s">
        <v>11</v>
      </c>
      <c r="B698">
        <f ca="1">IF(OR(changes[[#This Row],[Type]]="Checklist",changes[[#This Row],[Type]]="checklist-flat"),1+IF(changes[[#This Row],[Type of change]] = "Edit",COUNTIFS($I$4:changes[[#This Row],[Name]],changes[[#This Row],[Name]], $E$4:changes[[#This Row],[Type of change]], "Edit")),B697)</f>
        <v>1</v>
      </c>
      <c r="C698" s="16">
        <v>44615</v>
      </c>
      <c r="D698" s="1" t="s">
        <v>2424</v>
      </c>
      <c r="E698" t="s">
        <v>2396</v>
      </c>
      <c r="F698" s="10" t="s">
        <v>9</v>
      </c>
      <c r="G698" t="s">
        <v>2503</v>
      </c>
      <c r="H698" t="s">
        <v>55</v>
      </c>
      <c r="I698" t="s">
        <v>1307</v>
      </c>
      <c r="K698" s="2"/>
      <c r="M698" s="2"/>
    </row>
    <row r="699" spans="1:13">
      <c r="A699" t="s">
        <v>11</v>
      </c>
      <c r="B699">
        <f ca="1">IF(OR(changes[[#This Row],[Type]]="Checklist",changes[[#This Row],[Type]]="checklist-flat"),1+IF(changes[[#This Row],[Type of change]] = "Edit",COUNTIFS($I$4:changes[[#This Row],[Name]],changes[[#This Row],[Name]], $E$4:changes[[#This Row],[Type of change]], "Edit")),B698)</f>
        <v>1</v>
      </c>
      <c r="C699" s="16">
        <v>44615</v>
      </c>
      <c r="D699" s="1" t="s">
        <v>2424</v>
      </c>
      <c r="E699" t="s">
        <v>2396</v>
      </c>
      <c r="F699" s="10" t="s">
        <v>9</v>
      </c>
      <c r="G699" t="s">
        <v>2503</v>
      </c>
      <c r="H699" t="s">
        <v>55</v>
      </c>
      <c r="I699" t="s">
        <v>2505</v>
      </c>
      <c r="K699" s="2"/>
      <c r="M699" s="2"/>
    </row>
    <row r="700" spans="1:13">
      <c r="A700" t="s">
        <v>11</v>
      </c>
      <c r="B700">
        <f ca="1">IF(OR(changes[[#This Row],[Type]]="Checklist",changes[[#This Row],[Type]]="checklist-flat"),1+IF(changes[[#This Row],[Type of change]] = "Edit",COUNTIFS($I$4:changes[[#This Row],[Name]],changes[[#This Row],[Name]], $E$4:changes[[#This Row],[Type of change]], "Edit")),B699)</f>
        <v>1</v>
      </c>
      <c r="C700" s="16">
        <v>44615</v>
      </c>
      <c r="D700" s="1" t="s">
        <v>2424</v>
      </c>
      <c r="E700" t="s">
        <v>2396</v>
      </c>
      <c r="F700" s="10" t="s">
        <v>9</v>
      </c>
      <c r="G700" t="s">
        <v>2503</v>
      </c>
      <c r="H700" t="s">
        <v>55</v>
      </c>
      <c r="I700" t="s">
        <v>2506</v>
      </c>
      <c r="K700" s="2"/>
      <c r="M700" s="2"/>
    </row>
    <row r="701" spans="1:13">
      <c r="A701" t="s">
        <v>11</v>
      </c>
      <c r="B701">
        <f ca="1">IF(OR(changes[[#This Row],[Type]]="Checklist",changes[[#This Row],[Type]]="checklist-flat"),1+IF(changes[[#This Row],[Type of change]] = "Edit",COUNTIFS($I$4:changes[[#This Row],[Name]],changes[[#This Row],[Name]], $E$4:changes[[#This Row],[Type of change]], "Edit")),B700)</f>
        <v>1</v>
      </c>
      <c r="C701" s="16">
        <v>44615</v>
      </c>
      <c r="D701" s="1" t="s">
        <v>2424</v>
      </c>
      <c r="E701" t="s">
        <v>2396</v>
      </c>
      <c r="F701" s="10" t="s">
        <v>9</v>
      </c>
      <c r="G701" t="s">
        <v>2503</v>
      </c>
      <c r="H701" t="s">
        <v>55</v>
      </c>
      <c r="I701" t="s">
        <v>1310</v>
      </c>
      <c r="K701" s="2"/>
      <c r="M701" s="2"/>
    </row>
    <row r="702" spans="1:13">
      <c r="A702" t="s">
        <v>11</v>
      </c>
      <c r="B702">
        <f ca="1">IF(OR(changes[[#This Row],[Type]]="Checklist",changes[[#This Row],[Type]]="checklist-flat"),1+IF(changes[[#This Row],[Type of change]] = "Edit",COUNTIFS($I$4:changes[[#This Row],[Name]],changes[[#This Row],[Name]], $E$4:changes[[#This Row],[Type of change]], "Edit")),B701)</f>
        <v>1</v>
      </c>
      <c r="C702" s="16">
        <v>44615</v>
      </c>
      <c r="D702" s="1" t="s">
        <v>2424</v>
      </c>
      <c r="E702" t="s">
        <v>2396</v>
      </c>
      <c r="F702" s="10" t="s">
        <v>9</v>
      </c>
      <c r="G702" t="s">
        <v>2503</v>
      </c>
      <c r="H702" t="s">
        <v>55</v>
      </c>
      <c r="I702" t="s">
        <v>1311</v>
      </c>
      <c r="K702" s="2"/>
      <c r="M702" s="2"/>
    </row>
    <row r="703" spans="1:13">
      <c r="A703" t="s">
        <v>11</v>
      </c>
      <c r="B703">
        <f ca="1">IF(OR(changes[[#This Row],[Type]]="Checklist",changes[[#This Row],[Type]]="checklist-flat"),1+IF(changes[[#This Row],[Type of change]] = "Edit",COUNTIFS($I$4:changes[[#This Row],[Name]],changes[[#This Row],[Name]], $E$4:changes[[#This Row],[Type of change]], "Edit")),B702)</f>
        <v>1</v>
      </c>
      <c r="C703" s="16">
        <v>44615</v>
      </c>
      <c r="D703" s="1" t="s">
        <v>2424</v>
      </c>
      <c r="E703" t="s">
        <v>2396</v>
      </c>
      <c r="F703" s="10" t="s">
        <v>9</v>
      </c>
      <c r="G703" t="s">
        <v>2503</v>
      </c>
      <c r="H703" t="s">
        <v>55</v>
      </c>
      <c r="I703" t="s">
        <v>1312</v>
      </c>
      <c r="K703" s="2"/>
      <c r="M703" s="2"/>
    </row>
    <row r="704" spans="1:13">
      <c r="A704" t="s">
        <v>11</v>
      </c>
      <c r="B704">
        <f ca="1">IF(OR(changes[[#This Row],[Type]]="Checklist",changes[[#This Row],[Type]]="checklist-flat"),1+IF(changes[[#This Row],[Type of change]] = "Edit",COUNTIFS($I$4:changes[[#This Row],[Name]],changes[[#This Row],[Name]], $E$4:changes[[#This Row],[Type of change]], "Edit")),B703)</f>
        <v>1</v>
      </c>
      <c r="C704" s="16">
        <v>44615</v>
      </c>
      <c r="D704" s="1" t="s">
        <v>2424</v>
      </c>
      <c r="E704" t="s">
        <v>2396</v>
      </c>
      <c r="F704" s="10" t="s">
        <v>9</v>
      </c>
      <c r="G704" t="s">
        <v>2503</v>
      </c>
      <c r="H704" t="s">
        <v>55</v>
      </c>
      <c r="I704" t="s">
        <v>1313</v>
      </c>
      <c r="K704" s="2"/>
      <c r="M704" s="2"/>
    </row>
    <row r="705" spans="1:13">
      <c r="A705" t="s">
        <v>11</v>
      </c>
      <c r="B705">
        <f ca="1">IF(OR(changes[[#This Row],[Type]]="Checklist",changes[[#This Row],[Type]]="checklist-flat"),1+IF(changes[[#This Row],[Type of change]] = "Edit",COUNTIFS($I$4:changes[[#This Row],[Name]],changes[[#This Row],[Name]], $E$4:changes[[#This Row],[Type of change]], "Edit")),B704)</f>
        <v>1</v>
      </c>
      <c r="C705" s="16">
        <v>44615</v>
      </c>
      <c r="D705" s="1" t="s">
        <v>2424</v>
      </c>
      <c r="E705" t="s">
        <v>2396</v>
      </c>
      <c r="F705" s="10" t="s">
        <v>9</v>
      </c>
      <c r="G705" t="s">
        <v>2503</v>
      </c>
      <c r="H705" t="s">
        <v>55</v>
      </c>
      <c r="I705" t="s">
        <v>2507</v>
      </c>
      <c r="K705" s="2"/>
      <c r="M705" s="2"/>
    </row>
    <row r="706" spans="1:13">
      <c r="A706" t="s">
        <v>11</v>
      </c>
      <c r="B706">
        <f ca="1">IF(OR(changes[[#This Row],[Type]]="Checklist",changes[[#This Row],[Type]]="checklist-flat"),1+IF(changes[[#This Row],[Type of change]] = "Edit",COUNTIFS($I$4:changes[[#This Row],[Name]],changes[[#This Row],[Name]], $E$4:changes[[#This Row],[Type of change]], "Edit")),B705)</f>
        <v>1</v>
      </c>
      <c r="C706" s="16">
        <v>44615</v>
      </c>
      <c r="D706" s="1" t="s">
        <v>2424</v>
      </c>
      <c r="E706" t="s">
        <v>2396</v>
      </c>
      <c r="F706" s="10" t="s">
        <v>9</v>
      </c>
      <c r="G706" t="s">
        <v>2503</v>
      </c>
      <c r="H706" t="s">
        <v>55</v>
      </c>
      <c r="I706" t="s">
        <v>2508</v>
      </c>
      <c r="K706" s="2"/>
      <c r="M706" s="2"/>
    </row>
    <row r="707" spans="1:13">
      <c r="A707" t="s">
        <v>11</v>
      </c>
      <c r="B707">
        <f ca="1">IF(OR(changes[[#This Row],[Type]]="Checklist",changes[[#This Row],[Type]]="checklist-flat"),1+IF(changes[[#This Row],[Type of change]] = "Edit",COUNTIFS($I$4:changes[[#This Row],[Name]],changes[[#This Row],[Name]], $E$4:changes[[#This Row],[Type of change]], "Edit")),B706)</f>
        <v>1</v>
      </c>
      <c r="C707" s="16">
        <v>44615</v>
      </c>
      <c r="D707" s="1" t="s">
        <v>2424</v>
      </c>
      <c r="E707" t="s">
        <v>2396</v>
      </c>
      <c r="F707" s="10" t="s">
        <v>9</v>
      </c>
      <c r="G707" t="s">
        <v>2503</v>
      </c>
      <c r="H707" t="s">
        <v>55</v>
      </c>
      <c r="I707" t="s">
        <v>1316</v>
      </c>
      <c r="K707" s="2"/>
      <c r="M707" s="2"/>
    </row>
    <row r="708" spans="1:13">
      <c r="A708" t="s">
        <v>11</v>
      </c>
      <c r="B708">
        <f ca="1">IF(OR(changes[[#This Row],[Type]]="Checklist",changes[[#This Row],[Type]]="checklist-flat"),1+IF(changes[[#This Row],[Type of change]] = "Edit",COUNTIFS($I$4:changes[[#This Row],[Name]],changes[[#This Row],[Name]], $E$4:changes[[#This Row],[Type of change]], "Edit")),B707)</f>
        <v>1</v>
      </c>
      <c r="C708" s="16">
        <v>44615</v>
      </c>
      <c r="D708" s="1" t="s">
        <v>2424</v>
      </c>
      <c r="E708" t="s">
        <v>2396</v>
      </c>
      <c r="F708" s="10" t="s">
        <v>9</v>
      </c>
      <c r="G708" t="s">
        <v>2503</v>
      </c>
      <c r="H708" t="s">
        <v>55</v>
      </c>
      <c r="I708" t="s">
        <v>2498</v>
      </c>
      <c r="K708" s="2"/>
      <c r="M708" s="2"/>
    </row>
    <row r="709" spans="1:13">
      <c r="A709" t="s">
        <v>11</v>
      </c>
      <c r="B709">
        <f ca="1">IF(OR(changes[[#This Row],[Type]]="Checklist",changes[[#This Row],[Type]]="checklist-flat"),1+IF(changes[[#This Row],[Type of change]] = "Edit",COUNTIFS($I$4:changes[[#This Row],[Name]],changes[[#This Row],[Name]], $E$4:changes[[#This Row],[Type of change]], "Edit")),B708)</f>
        <v>1</v>
      </c>
      <c r="C709" s="16">
        <v>44615</v>
      </c>
      <c r="D709" s="1" t="s">
        <v>2424</v>
      </c>
      <c r="E709" t="s">
        <v>2396</v>
      </c>
      <c r="F709" s="10" t="s">
        <v>9</v>
      </c>
      <c r="G709" t="s">
        <v>2503</v>
      </c>
      <c r="H709" t="s">
        <v>55</v>
      </c>
      <c r="I709" t="s">
        <v>1317</v>
      </c>
      <c r="K709" s="2"/>
      <c r="M709" s="2"/>
    </row>
    <row r="710" spans="1:13">
      <c r="A710" t="s">
        <v>11</v>
      </c>
      <c r="B710">
        <f ca="1">IF(OR(changes[[#This Row],[Type]]="Checklist",changes[[#This Row],[Type]]="checklist-flat"),1+IF(changes[[#This Row],[Type of change]] = "Edit",COUNTIFS($I$4:changes[[#This Row],[Name]],changes[[#This Row],[Name]], $E$4:changes[[#This Row],[Type of change]], "Edit")),B709)</f>
        <v>1</v>
      </c>
      <c r="C710" s="16">
        <v>44615</v>
      </c>
      <c r="D710" s="1" t="s">
        <v>2424</v>
      </c>
      <c r="E710" t="s">
        <v>2396</v>
      </c>
      <c r="F710" s="10" t="s">
        <v>9</v>
      </c>
      <c r="G710" t="s">
        <v>2503</v>
      </c>
      <c r="H710" t="s">
        <v>55</v>
      </c>
      <c r="I710" t="s">
        <v>1318</v>
      </c>
      <c r="K710" s="2"/>
      <c r="M710" s="2"/>
    </row>
    <row r="711" spans="1:13">
      <c r="A711" t="s">
        <v>11</v>
      </c>
      <c r="B711">
        <f ca="1">IF(OR(changes[[#This Row],[Type]]="Checklist",changes[[#This Row],[Type]]="checklist-flat"),1+IF(changes[[#This Row],[Type of change]] = "Edit",COUNTIFS($I$4:changes[[#This Row],[Name]],changes[[#This Row],[Name]], $E$4:changes[[#This Row],[Type of change]], "Edit")),B710)</f>
        <v>1</v>
      </c>
      <c r="C711" s="16">
        <v>44615</v>
      </c>
      <c r="D711" s="1" t="s">
        <v>2424</v>
      </c>
      <c r="E711" t="s">
        <v>2396</v>
      </c>
      <c r="F711" s="10" t="s">
        <v>9</v>
      </c>
      <c r="G711" t="s">
        <v>2503</v>
      </c>
      <c r="H711" t="s">
        <v>55</v>
      </c>
      <c r="I711" t="s">
        <v>1319</v>
      </c>
      <c r="K711" s="2"/>
      <c r="M711" s="2"/>
    </row>
    <row r="712" spans="1:13">
      <c r="A712" t="s">
        <v>11</v>
      </c>
      <c r="B712">
        <f ca="1">IF(OR(changes[[#This Row],[Type]]="Checklist",changes[[#This Row],[Type]]="checklist-flat"),1+IF(changes[[#This Row],[Type of change]] = "Edit",COUNTIFS($I$4:changes[[#This Row],[Name]],changes[[#This Row],[Name]], $E$4:changes[[#This Row],[Type of change]], "Edit")),B711)</f>
        <v>1</v>
      </c>
      <c r="C712" s="16">
        <v>44615</v>
      </c>
      <c r="D712" s="1" t="s">
        <v>2424</v>
      </c>
      <c r="E712" t="s">
        <v>2396</v>
      </c>
      <c r="F712" s="10" t="s">
        <v>9</v>
      </c>
      <c r="G712" t="s">
        <v>2503</v>
      </c>
      <c r="H712" t="s">
        <v>55</v>
      </c>
      <c r="I712" t="s">
        <v>2509</v>
      </c>
      <c r="K712" s="2"/>
      <c r="M712" s="2"/>
    </row>
    <row r="713" spans="1:13">
      <c r="A713" t="s">
        <v>11</v>
      </c>
      <c r="B713">
        <f ca="1">IF(OR(changes[[#This Row],[Type]]="Checklist",changes[[#This Row],[Type]]="checklist-flat"),1+IF(changes[[#This Row],[Type of change]] = "Edit",COUNTIFS($I$4:changes[[#This Row],[Name]],changes[[#This Row],[Name]], $E$4:changes[[#This Row],[Type of change]], "Edit")),B712)</f>
        <v>1</v>
      </c>
      <c r="C713" s="16">
        <v>44615</v>
      </c>
      <c r="D713" s="1" t="s">
        <v>2424</v>
      </c>
      <c r="E713" t="s">
        <v>2396</v>
      </c>
      <c r="F713" s="10" t="s">
        <v>9</v>
      </c>
      <c r="G713" t="s">
        <v>2503</v>
      </c>
      <c r="H713" t="s">
        <v>55</v>
      </c>
      <c r="I713" t="s">
        <v>2500</v>
      </c>
      <c r="K713" s="2"/>
      <c r="M713" s="2"/>
    </row>
    <row r="714" spans="1:13">
      <c r="A714" t="s">
        <v>11</v>
      </c>
      <c r="B714">
        <f ca="1">IF(OR(changes[[#This Row],[Type]]="Checklist",changes[[#This Row],[Type]]="checklist-flat"),1+IF(changes[[#This Row],[Type of change]] = "Edit",COUNTIFS($I$4:changes[[#This Row],[Name]],changes[[#This Row],[Name]], $E$4:changes[[#This Row],[Type of change]], "Edit")),B713)</f>
        <v>1</v>
      </c>
      <c r="C714" s="16">
        <v>44615</v>
      </c>
      <c r="D714" s="1" t="s">
        <v>2424</v>
      </c>
      <c r="E714" t="s">
        <v>2396</v>
      </c>
      <c r="F714" s="10" t="s">
        <v>9</v>
      </c>
      <c r="G714" t="s">
        <v>2503</v>
      </c>
      <c r="H714" t="s">
        <v>55</v>
      </c>
      <c r="I714" t="s">
        <v>2501</v>
      </c>
      <c r="K714" s="2"/>
      <c r="M714" s="2"/>
    </row>
    <row r="715" spans="1:13">
      <c r="A715" t="s">
        <v>11</v>
      </c>
      <c r="B715">
        <f ca="1">IF(OR(changes[[#This Row],[Type]]="Checklist",changes[[#This Row],[Type]]="checklist-flat"),1+IF(changes[[#This Row],[Type of change]] = "Edit",COUNTIFS($I$4:changes[[#This Row],[Name]],changes[[#This Row],[Name]], $E$4:changes[[#This Row],[Type of change]], "Edit")),B714)</f>
        <v>1</v>
      </c>
      <c r="C715" s="16">
        <v>44615</v>
      </c>
      <c r="D715" s="1" t="s">
        <v>2424</v>
      </c>
      <c r="E715" t="s">
        <v>2396</v>
      </c>
      <c r="F715" s="10" t="s">
        <v>9</v>
      </c>
      <c r="G715" t="s">
        <v>2503</v>
      </c>
      <c r="H715" t="s">
        <v>479</v>
      </c>
      <c r="I715" t="s">
        <v>1408</v>
      </c>
      <c r="K715" s="2"/>
      <c r="M715" s="2"/>
    </row>
    <row r="716" spans="1:13">
      <c r="A716" t="s">
        <v>11</v>
      </c>
      <c r="B716">
        <f ca="1">IF(OR(changes[[#This Row],[Type]]="Checklist",changes[[#This Row],[Type]]="checklist-flat"),1+IF(changes[[#This Row],[Type of change]] = "Edit",COUNTIFS($I$4:changes[[#This Row],[Name]],changes[[#This Row],[Name]], $E$4:changes[[#This Row],[Type of change]], "Edit")),B715)</f>
        <v>1</v>
      </c>
      <c r="C716" s="16">
        <v>44615</v>
      </c>
      <c r="D716" s="1" t="s">
        <v>2424</v>
      </c>
      <c r="E716" t="s">
        <v>2396</v>
      </c>
      <c r="F716" s="10" t="s">
        <v>9</v>
      </c>
      <c r="G716" t="s">
        <v>2503</v>
      </c>
      <c r="H716" t="s">
        <v>55</v>
      </c>
      <c r="I716" t="s">
        <v>2510</v>
      </c>
      <c r="K716" s="2"/>
      <c r="M716" s="2"/>
    </row>
    <row r="717" spans="1:13">
      <c r="A717" t="s">
        <v>11</v>
      </c>
      <c r="B717">
        <f ca="1">IF(OR(changes[[#This Row],[Type]]="Checklist",changes[[#This Row],[Type]]="checklist-flat"),1+IF(changes[[#This Row],[Type of change]] = "Edit",COUNTIFS($I$4:changes[[#This Row],[Name]],changes[[#This Row],[Name]], $E$4:changes[[#This Row],[Type of change]], "Edit")),B716)</f>
        <v>1</v>
      </c>
      <c r="C717" s="16">
        <v>44615</v>
      </c>
      <c r="D717" s="1" t="s">
        <v>2424</v>
      </c>
      <c r="E717" t="s">
        <v>2396</v>
      </c>
      <c r="F717" s="10" t="s">
        <v>9</v>
      </c>
      <c r="G717" t="s">
        <v>2503</v>
      </c>
      <c r="H717" t="s">
        <v>55</v>
      </c>
      <c r="I717" t="s">
        <v>2511</v>
      </c>
      <c r="K717" s="2"/>
      <c r="M717" s="2"/>
    </row>
    <row r="718" spans="1:13">
      <c r="A718" t="s">
        <v>11</v>
      </c>
      <c r="B718">
        <f ca="1">IF(OR(changes[[#This Row],[Type]]="Checklist",changes[[#This Row],[Type]]="checklist-flat"),1+IF(changes[[#This Row],[Type of change]] = "Edit",COUNTIFS($I$4:changes[[#This Row],[Name]],changes[[#This Row],[Name]], $E$4:changes[[#This Row],[Type of change]], "Edit")),B717)</f>
        <v>1</v>
      </c>
      <c r="C718" s="16">
        <v>44615</v>
      </c>
      <c r="D718" s="1" t="s">
        <v>2424</v>
      </c>
      <c r="E718" t="s">
        <v>2396</v>
      </c>
      <c r="F718" s="10" t="s">
        <v>9</v>
      </c>
      <c r="G718" t="s">
        <v>2503</v>
      </c>
      <c r="H718" t="s">
        <v>55</v>
      </c>
      <c r="I718" t="s">
        <v>1182</v>
      </c>
      <c r="K718" s="2"/>
      <c r="M718" s="2"/>
    </row>
    <row r="719" spans="1:13">
      <c r="A719" t="s">
        <v>11</v>
      </c>
      <c r="B719">
        <f ca="1">IF(OR(changes[[#This Row],[Type]]="Checklist",changes[[#This Row],[Type]]="checklist-flat"),1+IF(changes[[#This Row],[Type of change]] = "Edit",COUNTIFS($I$4:changes[[#This Row],[Name]],changes[[#This Row],[Name]], $E$4:changes[[#This Row],[Type of change]], "Edit")),B718)</f>
        <v>1</v>
      </c>
      <c r="C719" s="16">
        <v>44615</v>
      </c>
      <c r="D719" s="1" t="s">
        <v>2424</v>
      </c>
      <c r="E719" t="s">
        <v>2396</v>
      </c>
      <c r="F719" s="10" t="s">
        <v>9</v>
      </c>
      <c r="G719" t="s">
        <v>2503</v>
      </c>
      <c r="H719" t="s">
        <v>55</v>
      </c>
      <c r="I719" t="s">
        <v>2512</v>
      </c>
      <c r="K719" s="2"/>
      <c r="M719" s="2"/>
    </row>
    <row r="720" spans="1:13">
      <c r="A720" t="s">
        <v>11</v>
      </c>
      <c r="B720">
        <f ca="1">IF(OR(changes[[#This Row],[Type]]="Checklist",changes[[#This Row],[Type]]="checklist-flat"),1+IF(changes[[#This Row],[Type of change]] = "Edit",COUNTIFS($I$4:changes[[#This Row],[Name]],changes[[#This Row],[Name]], $E$4:changes[[#This Row],[Type of change]], "Edit")),B719)</f>
        <v>1</v>
      </c>
      <c r="C720" s="16">
        <v>44615</v>
      </c>
      <c r="D720" s="1" t="s">
        <v>2424</v>
      </c>
      <c r="E720" t="s">
        <v>2396</v>
      </c>
      <c r="F720" s="10" t="s">
        <v>9</v>
      </c>
      <c r="G720" t="s">
        <v>2503</v>
      </c>
      <c r="H720" t="s">
        <v>55</v>
      </c>
      <c r="I720" t="s">
        <v>2513</v>
      </c>
      <c r="K720" s="2"/>
      <c r="M720" s="2"/>
    </row>
    <row r="721" spans="1:13">
      <c r="A721" t="s">
        <v>11</v>
      </c>
      <c r="B721">
        <f ca="1">IF(OR(changes[[#This Row],[Type]]="Checklist",changes[[#This Row],[Type]]="checklist-flat"),1+IF(changes[[#This Row],[Type of change]] = "Edit",COUNTIFS($I$4:changes[[#This Row],[Name]],changes[[#This Row],[Name]], $E$4:changes[[#This Row],[Type of change]], "Edit")),B720)</f>
        <v>1</v>
      </c>
      <c r="C721" s="16">
        <v>44615</v>
      </c>
      <c r="D721" s="1" t="s">
        <v>2424</v>
      </c>
      <c r="E721" t="s">
        <v>2396</v>
      </c>
      <c r="F721" s="10" t="s">
        <v>9</v>
      </c>
      <c r="G721" t="s">
        <v>2503</v>
      </c>
      <c r="H721" t="s">
        <v>55</v>
      </c>
      <c r="I721" t="s">
        <v>2514</v>
      </c>
      <c r="K721" s="2"/>
      <c r="M721" s="2"/>
    </row>
    <row r="722" spans="1:13">
      <c r="A722" t="s">
        <v>11</v>
      </c>
      <c r="B722">
        <f ca="1">IF(OR(changes[[#This Row],[Type]]="Checklist",changes[[#This Row],[Type]]="checklist-flat"),1+IF(changes[[#This Row],[Type of change]] = "Edit",COUNTIFS($I$4:changes[[#This Row],[Name]],changes[[#This Row],[Name]], $E$4:changes[[#This Row],[Type of change]], "Edit")),B721)</f>
        <v>1</v>
      </c>
      <c r="C722" s="16">
        <v>44615</v>
      </c>
      <c r="D722" s="1" t="s">
        <v>2424</v>
      </c>
      <c r="E722" t="s">
        <v>2396</v>
      </c>
      <c r="F722" s="10" t="s">
        <v>9</v>
      </c>
      <c r="G722" t="s">
        <v>2503</v>
      </c>
      <c r="H722" t="s">
        <v>55</v>
      </c>
      <c r="I722" t="s">
        <v>2515</v>
      </c>
      <c r="K722" s="2"/>
      <c r="M722" s="2"/>
    </row>
    <row r="723" spans="1:13">
      <c r="A723" t="s">
        <v>11</v>
      </c>
      <c r="B723">
        <f ca="1">IF(OR(changes[[#This Row],[Type]]="Checklist",changes[[#This Row],[Type]]="checklist-flat"),1+IF(changes[[#This Row],[Type of change]] = "Edit",COUNTIFS($I$4:changes[[#This Row],[Name]],changes[[#This Row],[Name]], $E$4:changes[[#This Row],[Type of change]], "Edit")),B722)</f>
        <v>1</v>
      </c>
      <c r="C723" s="16">
        <v>44615</v>
      </c>
      <c r="D723" s="1" t="s">
        <v>2424</v>
      </c>
      <c r="E723" t="s">
        <v>2396</v>
      </c>
      <c r="F723" s="10" t="s">
        <v>9</v>
      </c>
      <c r="G723" t="s">
        <v>2503</v>
      </c>
      <c r="H723" t="s">
        <v>55</v>
      </c>
      <c r="I723" t="s">
        <v>2516</v>
      </c>
      <c r="K723" s="2"/>
      <c r="M723" s="2"/>
    </row>
    <row r="724" spans="1:13">
      <c r="A724" t="s">
        <v>11</v>
      </c>
      <c r="B724">
        <f ca="1">IF(OR(changes[[#This Row],[Type]]="Checklist",changes[[#This Row],[Type]]="checklist-flat"),1+IF(changes[[#This Row],[Type of change]] = "Edit",COUNTIFS($I$4:changes[[#This Row],[Name]],changes[[#This Row],[Name]], $E$4:changes[[#This Row],[Type of change]], "Edit")),B723)</f>
        <v>1</v>
      </c>
      <c r="C724" s="16">
        <v>44615</v>
      </c>
      <c r="D724" s="1" t="s">
        <v>2424</v>
      </c>
      <c r="E724" t="s">
        <v>2396</v>
      </c>
      <c r="F724" s="10" t="s">
        <v>9</v>
      </c>
      <c r="G724" t="s">
        <v>2503</v>
      </c>
      <c r="H724" t="s">
        <v>55</v>
      </c>
      <c r="I724" t="s">
        <v>2517</v>
      </c>
      <c r="K724" s="2"/>
      <c r="M724" s="2"/>
    </row>
    <row r="725" spans="1:13">
      <c r="A725" t="s">
        <v>11</v>
      </c>
      <c r="B725">
        <f ca="1">IF(OR(changes[[#This Row],[Type]]="Checklist",changes[[#This Row],[Type]]="checklist-flat"),1+IF(changes[[#This Row],[Type of change]] = "Edit",COUNTIFS($I$4:changes[[#This Row],[Name]],changes[[#This Row],[Name]], $E$4:changes[[#This Row],[Type of change]], "Edit")),B724)</f>
        <v>1</v>
      </c>
      <c r="C725" s="16">
        <v>44615</v>
      </c>
      <c r="D725" s="1" t="s">
        <v>2424</v>
      </c>
      <c r="E725" t="s">
        <v>2396</v>
      </c>
      <c r="F725" s="10" t="s">
        <v>9</v>
      </c>
      <c r="G725" t="s">
        <v>2503</v>
      </c>
      <c r="H725" t="s">
        <v>55</v>
      </c>
      <c r="I725" t="s">
        <v>2518</v>
      </c>
      <c r="K725" s="2"/>
      <c r="M725" s="2"/>
    </row>
    <row r="726" spans="1:13">
      <c r="A726" t="s">
        <v>11</v>
      </c>
      <c r="B726">
        <f ca="1">IF(OR(changes[[#This Row],[Type]]="Checklist",changes[[#This Row],[Type]]="checklist-flat"),1+IF(changes[[#This Row],[Type of change]] = "Edit",COUNTIFS($I$4:changes[[#This Row],[Name]],changes[[#This Row],[Name]], $E$4:changes[[#This Row],[Type of change]], "Edit")),B725)</f>
        <v>1</v>
      </c>
      <c r="C726" s="16">
        <v>44615</v>
      </c>
      <c r="D726" s="1" t="s">
        <v>2424</v>
      </c>
      <c r="E726" t="s">
        <v>2396</v>
      </c>
      <c r="F726" s="10" t="s">
        <v>9</v>
      </c>
      <c r="G726" t="s">
        <v>2503</v>
      </c>
      <c r="H726" t="s">
        <v>55</v>
      </c>
      <c r="I726" t="s">
        <v>2519</v>
      </c>
      <c r="K726" s="2"/>
      <c r="M726" s="2"/>
    </row>
    <row r="727" spans="1:13">
      <c r="A727" t="s">
        <v>11</v>
      </c>
      <c r="B727">
        <f ca="1">IF(OR(changes[[#This Row],[Type]]="Checklist",changes[[#This Row],[Type]]="checklist-flat"),1+IF(changes[[#This Row],[Type of change]] = "Edit",COUNTIFS($I$4:changes[[#This Row],[Name]],changes[[#This Row],[Name]], $E$4:changes[[#This Row],[Type of change]], "Edit")),B726)</f>
        <v>1</v>
      </c>
      <c r="C727" s="16">
        <v>44615</v>
      </c>
      <c r="D727" s="1" t="s">
        <v>2424</v>
      </c>
      <c r="E727" t="s">
        <v>2396</v>
      </c>
      <c r="F727" s="10" t="s">
        <v>9</v>
      </c>
      <c r="G727" t="s">
        <v>2503</v>
      </c>
      <c r="H727" t="s">
        <v>55</v>
      </c>
      <c r="I727" t="s">
        <v>2500</v>
      </c>
      <c r="K727" s="2"/>
      <c r="M727" s="2"/>
    </row>
    <row r="728" spans="1:13">
      <c r="A728" t="s">
        <v>11</v>
      </c>
      <c r="B728">
        <f ca="1">IF(OR(changes[[#This Row],[Type]]="Checklist",changes[[#This Row],[Type]]="checklist-flat"),1+IF(changes[[#This Row],[Type of change]] = "Edit",COUNTIFS($I$4:changes[[#This Row],[Name]],changes[[#This Row],[Name]], $E$4:changes[[#This Row],[Type of change]], "Edit")),B727)</f>
        <v>1</v>
      </c>
      <c r="C728" s="16">
        <v>44615</v>
      </c>
      <c r="D728" s="1" t="s">
        <v>2424</v>
      </c>
      <c r="E728" t="s">
        <v>2396</v>
      </c>
      <c r="F728" s="10" t="s">
        <v>9</v>
      </c>
      <c r="G728" t="s">
        <v>2503</v>
      </c>
      <c r="H728" t="s">
        <v>55</v>
      </c>
      <c r="I728" t="s">
        <v>2501</v>
      </c>
      <c r="K728" s="2"/>
      <c r="M728" s="2"/>
    </row>
    <row r="729" spans="1:13">
      <c r="A729" t="s">
        <v>11</v>
      </c>
      <c r="B729">
        <f ca="1">IF(OR(changes[[#This Row],[Type]]="Checklist",changes[[#This Row],[Type]]="checklist-flat"),1+IF(changes[[#This Row],[Type of change]] = "Edit",COUNTIFS($I$4:changes[[#This Row],[Name]],changes[[#This Row],[Name]], $E$4:changes[[#This Row],[Type of change]], "Edit")),B728)</f>
        <v>1</v>
      </c>
      <c r="C729" s="16">
        <v>44621</v>
      </c>
      <c r="D729" s="1" t="s">
        <v>2427</v>
      </c>
      <c r="E729" t="s">
        <v>2396</v>
      </c>
      <c r="F729" s="10" t="s">
        <v>9</v>
      </c>
      <c r="G729" t="s">
        <v>1137</v>
      </c>
      <c r="H729" t="s">
        <v>478</v>
      </c>
      <c r="I729" t="s">
        <v>2520</v>
      </c>
      <c r="K729" s="2"/>
      <c r="M729" s="2" t="s">
        <v>2521</v>
      </c>
    </row>
    <row r="730" spans="1:13">
      <c r="A730" t="s">
        <v>11</v>
      </c>
      <c r="B730">
        <f ca="1">IF(OR(changes[[#This Row],[Type]]="Checklist",changes[[#This Row],[Type]]="checklist-flat"),1+IF(changes[[#This Row],[Type of change]] = "Edit",COUNTIFS($I$4:changes[[#This Row],[Name]],changes[[#This Row],[Name]], $E$4:changes[[#This Row],[Type of change]], "Edit")),B729)</f>
        <v>1</v>
      </c>
      <c r="C730" s="16">
        <v>44621</v>
      </c>
      <c r="D730" s="1" t="s">
        <v>2427</v>
      </c>
      <c r="E730" t="s">
        <v>2396</v>
      </c>
      <c r="F730" s="10" t="s">
        <v>9</v>
      </c>
      <c r="G730" t="s">
        <v>1137</v>
      </c>
      <c r="H730" t="s">
        <v>55</v>
      </c>
      <c r="I730" t="s">
        <v>1138</v>
      </c>
      <c r="K730" s="2"/>
      <c r="M730" s="2"/>
    </row>
    <row r="731" spans="1:13">
      <c r="A731" t="s">
        <v>11</v>
      </c>
      <c r="B731">
        <f ca="1">IF(OR(changes[[#This Row],[Type]]="Checklist",changes[[#This Row],[Type]]="checklist-flat"),1+IF(changes[[#This Row],[Type of change]] = "Edit",COUNTIFS($I$4:changes[[#This Row],[Name]],changes[[#This Row],[Name]], $E$4:changes[[#This Row],[Type of change]], "Edit")),B730)</f>
        <v>1</v>
      </c>
      <c r="C731" s="16">
        <v>44621</v>
      </c>
      <c r="D731" s="1" t="s">
        <v>2427</v>
      </c>
      <c r="E731" t="s">
        <v>2396</v>
      </c>
      <c r="F731" s="10" t="s">
        <v>9</v>
      </c>
      <c r="G731" t="s">
        <v>1137</v>
      </c>
      <c r="H731" t="s">
        <v>55</v>
      </c>
      <c r="I731" t="s">
        <v>1139</v>
      </c>
      <c r="K731" s="2"/>
      <c r="M731" s="2"/>
    </row>
    <row r="732" spans="1:13">
      <c r="A732" t="s">
        <v>11</v>
      </c>
      <c r="B732">
        <f ca="1">IF(OR(changes[[#This Row],[Type]]="Checklist",changes[[#This Row],[Type]]="checklist-flat"),1+IF(changes[[#This Row],[Type of change]] = "Edit",COUNTIFS($I$4:changes[[#This Row],[Name]],changes[[#This Row],[Name]], $E$4:changes[[#This Row],[Type of change]], "Edit")),B731)</f>
        <v>1</v>
      </c>
      <c r="C732" s="16">
        <v>44621</v>
      </c>
      <c r="D732" s="1" t="s">
        <v>2427</v>
      </c>
      <c r="E732" t="s">
        <v>2396</v>
      </c>
      <c r="F732" s="10" t="s">
        <v>9</v>
      </c>
      <c r="G732" t="s">
        <v>1137</v>
      </c>
      <c r="H732" t="s">
        <v>55</v>
      </c>
      <c r="I732" t="s">
        <v>1140</v>
      </c>
      <c r="K732" s="2"/>
      <c r="M732" s="2"/>
    </row>
    <row r="733" spans="1:13">
      <c r="A733" t="s">
        <v>11</v>
      </c>
      <c r="B733">
        <f ca="1">IF(OR(changes[[#This Row],[Type]]="Checklist",changes[[#This Row],[Type]]="checklist-flat"),1+IF(changes[[#This Row],[Type of change]] = "Edit",COUNTIFS($I$4:changes[[#This Row],[Name]],changes[[#This Row],[Name]], $E$4:changes[[#This Row],[Type of change]], "Edit")),B732)</f>
        <v>1</v>
      </c>
      <c r="C733" s="16">
        <v>44621</v>
      </c>
      <c r="D733" s="1" t="s">
        <v>2427</v>
      </c>
      <c r="E733" t="s">
        <v>2396</v>
      </c>
      <c r="F733" s="10" t="s">
        <v>9</v>
      </c>
      <c r="G733" t="s">
        <v>1137</v>
      </c>
      <c r="H733" t="s">
        <v>55</v>
      </c>
      <c r="I733" t="s">
        <v>1141</v>
      </c>
      <c r="K733" s="2"/>
      <c r="M733" s="2"/>
    </row>
    <row r="734" spans="1:13">
      <c r="A734" t="s">
        <v>11</v>
      </c>
      <c r="B734">
        <f ca="1">IF(OR(changes[[#This Row],[Type]]="Checklist",changes[[#This Row],[Type]]="checklist-flat"),1+IF(changes[[#This Row],[Type of change]] = "Edit",COUNTIFS($I$4:changes[[#This Row],[Name]],changes[[#This Row],[Name]], $E$4:changes[[#This Row],[Type of change]], "Edit")),B733)</f>
        <v>1</v>
      </c>
      <c r="C734" s="16">
        <v>44621</v>
      </c>
      <c r="D734" s="1" t="s">
        <v>2427</v>
      </c>
      <c r="E734" t="s">
        <v>2396</v>
      </c>
      <c r="F734" s="10" t="s">
        <v>9</v>
      </c>
      <c r="G734" t="s">
        <v>1137</v>
      </c>
      <c r="H734" t="s">
        <v>64</v>
      </c>
      <c r="I734" t="s">
        <v>1142</v>
      </c>
      <c r="K734" s="2"/>
      <c r="M734" s="2"/>
    </row>
    <row r="735" spans="1:13">
      <c r="A735" t="s">
        <v>11</v>
      </c>
      <c r="B735">
        <f ca="1">IF(OR(changes[[#This Row],[Type]]="Checklist",changes[[#This Row],[Type]]="checklist-flat"),1+IF(changes[[#This Row],[Type of change]] = "Edit",COUNTIFS($I$4:changes[[#This Row],[Name]],changes[[#This Row],[Name]], $E$4:changes[[#This Row],[Type of change]], "Edit")),B734)</f>
        <v>1</v>
      </c>
      <c r="C735" s="16">
        <v>44621</v>
      </c>
      <c r="D735" s="1" t="s">
        <v>2427</v>
      </c>
      <c r="E735" t="s">
        <v>2396</v>
      </c>
      <c r="F735" s="10" t="s">
        <v>9</v>
      </c>
      <c r="G735" t="s">
        <v>1211</v>
      </c>
      <c r="H735" t="s">
        <v>478</v>
      </c>
      <c r="I735" t="s">
        <v>1211</v>
      </c>
      <c r="K735" s="2"/>
      <c r="M735" s="2" t="s">
        <v>2521</v>
      </c>
    </row>
    <row r="736" spans="1:13">
      <c r="A736" t="s">
        <v>11</v>
      </c>
      <c r="B736">
        <f ca="1">IF(OR(changes[[#This Row],[Type]]="Checklist",changes[[#This Row],[Type]]="checklist-flat"),1+IF(changes[[#This Row],[Type of change]] = "Edit",COUNTIFS($I$4:changes[[#This Row],[Name]],changes[[#This Row],[Name]], $E$4:changes[[#This Row],[Type of change]], "Edit")),B735)</f>
        <v>1</v>
      </c>
      <c r="C736" s="16">
        <v>44621</v>
      </c>
      <c r="D736" s="1" t="s">
        <v>2427</v>
      </c>
      <c r="E736" t="s">
        <v>2396</v>
      </c>
      <c r="F736" s="10" t="s">
        <v>9</v>
      </c>
      <c r="G736" t="s">
        <v>1211</v>
      </c>
      <c r="H736" t="s">
        <v>55</v>
      </c>
      <c r="I736" t="s">
        <v>1212</v>
      </c>
      <c r="K736" s="2"/>
      <c r="M736" s="2"/>
    </row>
    <row r="737" spans="1:13">
      <c r="A737" t="s">
        <v>11</v>
      </c>
      <c r="B737">
        <f ca="1">IF(OR(changes[[#This Row],[Type]]="Checklist",changes[[#This Row],[Type]]="checklist-flat"),1+IF(changes[[#This Row],[Type of change]] = "Edit",COUNTIFS($I$4:changes[[#This Row],[Name]],changes[[#This Row],[Name]], $E$4:changes[[#This Row],[Type of change]], "Edit")),B736)</f>
        <v>1</v>
      </c>
      <c r="C737" s="16">
        <v>44621</v>
      </c>
      <c r="D737" s="1" t="s">
        <v>2427</v>
      </c>
      <c r="E737" t="s">
        <v>2396</v>
      </c>
      <c r="F737" s="10" t="s">
        <v>9</v>
      </c>
      <c r="G737" t="s">
        <v>1211</v>
      </c>
      <c r="H737" t="s">
        <v>55</v>
      </c>
      <c r="I737" t="s">
        <v>1213</v>
      </c>
      <c r="K737" s="2"/>
      <c r="M737" s="2"/>
    </row>
    <row r="738" spans="1:13">
      <c r="A738" t="s">
        <v>11</v>
      </c>
      <c r="B738">
        <f ca="1">IF(OR(changes[[#This Row],[Type]]="Checklist",changes[[#This Row],[Type]]="checklist-flat"),1+IF(changes[[#This Row],[Type of change]] = "Edit",COUNTIFS($I$4:changes[[#This Row],[Name]],changes[[#This Row],[Name]], $E$4:changes[[#This Row],[Type of change]], "Edit")),B737)</f>
        <v>1</v>
      </c>
      <c r="C738" s="16">
        <v>44621</v>
      </c>
      <c r="D738" s="1" t="s">
        <v>2427</v>
      </c>
      <c r="E738" t="s">
        <v>2396</v>
      </c>
      <c r="F738" s="10" t="s">
        <v>9</v>
      </c>
      <c r="G738" t="s">
        <v>1211</v>
      </c>
      <c r="H738" t="s">
        <v>55</v>
      </c>
      <c r="I738" t="s">
        <v>1214</v>
      </c>
      <c r="K738" s="2"/>
      <c r="M738" s="2"/>
    </row>
    <row r="739" spans="1:13">
      <c r="A739" t="s">
        <v>11</v>
      </c>
      <c r="B739">
        <f ca="1">IF(OR(changes[[#This Row],[Type]]="Checklist",changes[[#This Row],[Type]]="checklist-flat"),1+IF(changes[[#This Row],[Type of change]] = "Edit",COUNTIFS($I$4:changes[[#This Row],[Name]],changes[[#This Row],[Name]], $E$4:changes[[#This Row],[Type of change]], "Edit")),B738)</f>
        <v>1</v>
      </c>
      <c r="C739" s="16">
        <v>44621</v>
      </c>
      <c r="D739" s="1" t="s">
        <v>2427</v>
      </c>
      <c r="E739" t="s">
        <v>2396</v>
      </c>
      <c r="F739" s="10" t="s">
        <v>9</v>
      </c>
      <c r="G739" t="s">
        <v>1211</v>
      </c>
      <c r="H739" t="s">
        <v>55</v>
      </c>
      <c r="I739" t="s">
        <v>1141</v>
      </c>
      <c r="K739" s="2"/>
      <c r="M739" s="2"/>
    </row>
    <row r="740" spans="1:13">
      <c r="A740" t="s">
        <v>11</v>
      </c>
      <c r="B740">
        <f ca="1">IF(OR(changes[[#This Row],[Type]]="Checklist",changes[[#This Row],[Type]]="checklist-flat"),1+IF(changes[[#This Row],[Type of change]] = "Edit",COUNTIFS($I$4:changes[[#This Row],[Name]],changes[[#This Row],[Name]], $E$4:changes[[#This Row],[Type of change]], "Edit")),B739)</f>
        <v>1</v>
      </c>
      <c r="C740" s="16">
        <v>44621</v>
      </c>
      <c r="D740" s="1" t="s">
        <v>2427</v>
      </c>
      <c r="E740" t="s">
        <v>2396</v>
      </c>
      <c r="F740" s="10" t="s">
        <v>9</v>
      </c>
      <c r="G740" t="s">
        <v>1211</v>
      </c>
      <c r="H740" t="s">
        <v>55</v>
      </c>
      <c r="I740" t="s">
        <v>1215</v>
      </c>
      <c r="K740" s="2"/>
      <c r="M740" s="2"/>
    </row>
    <row r="741" spans="1:13">
      <c r="A741" t="s">
        <v>11</v>
      </c>
      <c r="B741">
        <f ca="1">IF(OR(changes[[#This Row],[Type]]="Checklist",changes[[#This Row],[Type]]="checklist-flat"),1+IF(changes[[#This Row],[Type of change]] = "Edit",COUNTIFS($I$4:changes[[#This Row],[Name]],changes[[#This Row],[Name]], $E$4:changes[[#This Row],[Type of change]], "Edit")),B740)</f>
        <v>1</v>
      </c>
      <c r="C741" s="16">
        <v>44621</v>
      </c>
      <c r="D741" s="1" t="s">
        <v>2427</v>
      </c>
      <c r="E741" t="s">
        <v>2396</v>
      </c>
      <c r="F741" s="10" t="s">
        <v>9</v>
      </c>
      <c r="G741" t="s">
        <v>1211</v>
      </c>
      <c r="H741" t="s">
        <v>64</v>
      </c>
      <c r="I741" t="s">
        <v>1142</v>
      </c>
      <c r="K741" s="2"/>
      <c r="M741" s="2"/>
    </row>
    <row r="742" spans="1:13">
      <c r="A742" t="s">
        <v>28</v>
      </c>
      <c r="B742">
        <f ca="1">IF(OR(changes[[#This Row],[Type]]="Checklist",changes[[#This Row],[Type]]="checklist-flat"),1+IF(changes[[#This Row],[Type of change]] = "Edit",COUNTIFS($I$4:changes[[#This Row],[Name]],changes[[#This Row],[Name]], $E$4:changes[[#This Row],[Type of change]], "Edit")),B741)</f>
        <v>1</v>
      </c>
      <c r="C742" s="16">
        <v>44621</v>
      </c>
      <c r="D742" s="1" t="s">
        <v>2427</v>
      </c>
      <c r="E742" t="s">
        <v>2396</v>
      </c>
      <c r="F742" s="10" t="s">
        <v>9</v>
      </c>
      <c r="G742" t="s">
        <v>2522</v>
      </c>
      <c r="H742" t="s">
        <v>478</v>
      </c>
      <c r="I742" t="s">
        <v>781</v>
      </c>
      <c r="K742" s="2"/>
      <c r="M742" s="2" t="s">
        <v>2523</v>
      </c>
    </row>
    <row r="743" spans="1:13">
      <c r="A743" t="s">
        <v>28</v>
      </c>
      <c r="B743">
        <f ca="1">IF(OR(changes[[#This Row],[Type]]="Checklist",changes[[#This Row],[Type]]="checklist-flat"),1+IF(changes[[#This Row],[Type of change]] = "Edit",COUNTIFS($I$4:changes[[#This Row],[Name]],changes[[#This Row],[Name]], $E$4:changes[[#This Row],[Type of change]], "Edit")),B742)</f>
        <v>1</v>
      </c>
      <c r="C743" s="16">
        <v>44621</v>
      </c>
      <c r="D743" s="1" t="s">
        <v>2427</v>
      </c>
      <c r="E743" t="s">
        <v>2396</v>
      </c>
      <c r="F743" s="10" t="s">
        <v>9</v>
      </c>
      <c r="G743" t="s">
        <v>2522</v>
      </c>
      <c r="H743" t="s">
        <v>55</v>
      </c>
      <c r="I743" t="s">
        <v>782</v>
      </c>
      <c r="K743" s="2"/>
      <c r="M743" s="2"/>
    </row>
    <row r="744" spans="1:13">
      <c r="A744" t="s">
        <v>28</v>
      </c>
      <c r="B744">
        <f ca="1">IF(OR(changes[[#This Row],[Type]]="Checklist",changes[[#This Row],[Type]]="checklist-flat"),1+IF(changes[[#This Row],[Type of change]] = "Edit",COUNTIFS($I$4:changes[[#This Row],[Name]],changes[[#This Row],[Name]], $E$4:changes[[#This Row],[Type of change]], "Edit")),B743)</f>
        <v>1</v>
      </c>
      <c r="C744" s="16">
        <v>44621</v>
      </c>
      <c r="D744" s="1" t="s">
        <v>2427</v>
      </c>
      <c r="E744" t="s">
        <v>2396</v>
      </c>
      <c r="F744" s="10" t="s">
        <v>9</v>
      </c>
      <c r="G744" t="s">
        <v>2522</v>
      </c>
      <c r="H744" t="s">
        <v>55</v>
      </c>
      <c r="I744" t="s">
        <v>783</v>
      </c>
      <c r="K744" s="2"/>
      <c r="M744" s="2"/>
    </row>
    <row r="745" spans="1:13">
      <c r="A745" t="s">
        <v>28</v>
      </c>
      <c r="B745">
        <f ca="1">IF(OR(changes[[#This Row],[Type]]="Checklist",changes[[#This Row],[Type]]="checklist-flat"),1+IF(changes[[#This Row],[Type of change]] = "Edit",COUNTIFS($I$4:changes[[#This Row],[Name]],changes[[#This Row],[Name]], $E$4:changes[[#This Row],[Type of change]], "Edit")),B744)</f>
        <v>1</v>
      </c>
      <c r="C745" s="16">
        <v>44621</v>
      </c>
      <c r="D745" s="1" t="s">
        <v>2427</v>
      </c>
      <c r="E745" t="s">
        <v>2396</v>
      </c>
      <c r="F745" s="10" t="s">
        <v>9</v>
      </c>
      <c r="G745" t="s">
        <v>2522</v>
      </c>
      <c r="H745" t="s">
        <v>55</v>
      </c>
      <c r="I745" t="s">
        <v>786</v>
      </c>
      <c r="K745" s="2"/>
      <c r="M745" s="2"/>
    </row>
    <row r="746" spans="1:13">
      <c r="A746" t="s">
        <v>28</v>
      </c>
      <c r="B746">
        <f ca="1">IF(OR(changes[[#This Row],[Type]]="Checklist",changes[[#This Row],[Type]]="checklist-flat"),1+IF(changes[[#This Row],[Type of change]] = "Edit",COUNTIFS($I$4:changes[[#This Row],[Name]],changes[[#This Row],[Name]], $E$4:changes[[#This Row],[Type of change]], "Edit")),B745)</f>
        <v>1</v>
      </c>
      <c r="C746" s="16">
        <v>44621</v>
      </c>
      <c r="D746" s="1" t="s">
        <v>2427</v>
      </c>
      <c r="E746" t="s">
        <v>2396</v>
      </c>
      <c r="F746" s="10" t="s">
        <v>9</v>
      </c>
      <c r="G746" t="s">
        <v>2522</v>
      </c>
      <c r="H746" t="s">
        <v>55</v>
      </c>
      <c r="I746" t="s">
        <v>787</v>
      </c>
      <c r="K746" s="2"/>
      <c r="M746" s="2"/>
    </row>
    <row r="747" spans="1:13">
      <c r="A747" t="s">
        <v>28</v>
      </c>
      <c r="B747">
        <f ca="1">IF(OR(changes[[#This Row],[Type]]="Checklist",changes[[#This Row],[Type]]="checklist-flat"),1+IF(changes[[#This Row],[Type of change]] = "Edit",COUNTIFS($I$4:changes[[#This Row],[Name]],changes[[#This Row],[Name]], $E$4:changes[[#This Row],[Type of change]], "Edit")),B746)</f>
        <v>1</v>
      </c>
      <c r="C747" s="16">
        <v>44621</v>
      </c>
      <c r="D747" s="1" t="s">
        <v>2427</v>
      </c>
      <c r="E747" t="s">
        <v>2396</v>
      </c>
      <c r="F747" s="10" t="s">
        <v>9</v>
      </c>
      <c r="G747" t="s">
        <v>2522</v>
      </c>
      <c r="H747" t="s">
        <v>55</v>
      </c>
      <c r="I747" t="s">
        <v>788</v>
      </c>
      <c r="K747" s="2"/>
      <c r="M747" s="2"/>
    </row>
    <row r="748" spans="1:13">
      <c r="A748" t="s">
        <v>28</v>
      </c>
      <c r="B748">
        <f ca="1">IF(OR(changes[[#This Row],[Type]]="Checklist",changes[[#This Row],[Type]]="checklist-flat"),1+IF(changes[[#This Row],[Type of change]] = "Edit",COUNTIFS($I$4:changes[[#This Row],[Name]],changes[[#This Row],[Name]], $E$4:changes[[#This Row],[Type of change]], "Edit")),B747)</f>
        <v>1</v>
      </c>
      <c r="C748" s="16">
        <v>44621</v>
      </c>
      <c r="D748" s="1" t="s">
        <v>2427</v>
      </c>
      <c r="E748" t="s">
        <v>2396</v>
      </c>
      <c r="F748" s="10" t="s">
        <v>9</v>
      </c>
      <c r="G748" t="s">
        <v>2522</v>
      </c>
      <c r="H748" t="s">
        <v>64</v>
      </c>
      <c r="I748" t="s">
        <v>772</v>
      </c>
      <c r="K748" s="2"/>
      <c r="M748" s="2"/>
    </row>
    <row r="749" spans="1:13">
      <c r="A749" t="s">
        <v>28</v>
      </c>
      <c r="B749">
        <f ca="1">IF(OR(changes[[#This Row],[Type]]="Checklist",changes[[#This Row],[Type]]="checklist-flat"),1+IF(changes[[#This Row],[Type of change]] = "Edit",COUNTIFS($I$4:changes[[#This Row],[Name]],changes[[#This Row],[Name]], $E$4:changes[[#This Row],[Type of change]], "Edit")),B748)</f>
        <v>1</v>
      </c>
      <c r="C749" s="16">
        <v>44621</v>
      </c>
      <c r="D749" s="1" t="s">
        <v>2427</v>
      </c>
      <c r="E749" t="s">
        <v>2396</v>
      </c>
      <c r="F749" s="10" t="s">
        <v>9</v>
      </c>
      <c r="G749" t="s">
        <v>851</v>
      </c>
      <c r="H749" t="s">
        <v>478</v>
      </c>
      <c r="I749" t="s">
        <v>851</v>
      </c>
      <c r="K749" s="2"/>
      <c r="M749" s="2" t="s">
        <v>2523</v>
      </c>
    </row>
    <row r="750" spans="1:13">
      <c r="A750" t="s">
        <v>28</v>
      </c>
      <c r="B750">
        <f ca="1">IF(OR(changes[[#This Row],[Type]]="Checklist",changes[[#This Row],[Type]]="checklist-flat"),1+IF(changes[[#This Row],[Type of change]] = "Edit",COUNTIFS($I$4:changes[[#This Row],[Name]],changes[[#This Row],[Name]], $E$4:changes[[#This Row],[Type of change]], "Edit")),B749)</f>
        <v>1</v>
      </c>
      <c r="C750" s="16">
        <v>44621</v>
      </c>
      <c r="D750" s="1" t="s">
        <v>2427</v>
      </c>
      <c r="E750" t="s">
        <v>2396</v>
      </c>
      <c r="F750" s="10" t="s">
        <v>9</v>
      </c>
      <c r="G750" t="s">
        <v>851</v>
      </c>
      <c r="H750" t="s">
        <v>55</v>
      </c>
      <c r="I750" t="s">
        <v>2524</v>
      </c>
      <c r="K750" s="2"/>
      <c r="M750" s="2"/>
    </row>
    <row r="751" spans="1:13">
      <c r="A751" t="s">
        <v>28</v>
      </c>
      <c r="B751">
        <f ca="1">IF(OR(changes[[#This Row],[Type]]="Checklist",changes[[#This Row],[Type]]="checklist-flat"),1+IF(changes[[#This Row],[Type of change]] = "Edit",COUNTIFS($I$4:changes[[#This Row],[Name]],changes[[#This Row],[Name]], $E$4:changes[[#This Row],[Type of change]], "Edit")),B750)</f>
        <v>1</v>
      </c>
      <c r="C751" s="16">
        <v>44621</v>
      </c>
      <c r="D751" s="1" t="s">
        <v>2427</v>
      </c>
      <c r="E751" t="s">
        <v>2396</v>
      </c>
      <c r="F751" s="10" t="s">
        <v>9</v>
      </c>
      <c r="G751" t="s">
        <v>851</v>
      </c>
      <c r="H751" t="s">
        <v>214</v>
      </c>
      <c r="I751" t="s">
        <v>853</v>
      </c>
      <c r="K751" s="2"/>
      <c r="M751" s="2"/>
    </row>
    <row r="752" spans="1:13">
      <c r="A752" t="s">
        <v>28</v>
      </c>
      <c r="B752">
        <f ca="1">IF(OR(changes[[#This Row],[Type]]="Checklist",changes[[#This Row],[Type]]="checklist-flat"),1+IF(changes[[#This Row],[Type of change]] = "Edit",COUNTIFS($I$4:changes[[#This Row],[Name]],changes[[#This Row],[Name]], $E$4:changes[[#This Row],[Type of change]], "Edit")),B751)</f>
        <v>1</v>
      </c>
      <c r="C752" s="16">
        <v>44621</v>
      </c>
      <c r="D752" s="1" t="s">
        <v>2427</v>
      </c>
      <c r="E752" t="s">
        <v>2396</v>
      </c>
      <c r="F752" s="10" t="s">
        <v>9</v>
      </c>
      <c r="G752" t="s">
        <v>851</v>
      </c>
      <c r="H752" t="s">
        <v>55</v>
      </c>
      <c r="I752" t="s">
        <v>2525</v>
      </c>
      <c r="K752" s="2"/>
      <c r="M752" s="2"/>
    </row>
    <row r="753" spans="1:13">
      <c r="A753" t="s">
        <v>28</v>
      </c>
      <c r="B753">
        <f ca="1">IF(OR(changes[[#This Row],[Type]]="Checklist",changes[[#This Row],[Type]]="checklist-flat"),1+IF(changes[[#This Row],[Type of change]] = "Edit",COUNTIFS($I$4:changes[[#This Row],[Name]],changes[[#This Row],[Name]], $E$4:changes[[#This Row],[Type of change]], "Edit")),B752)</f>
        <v>1</v>
      </c>
      <c r="C753" s="16">
        <v>44621</v>
      </c>
      <c r="D753" s="1" t="s">
        <v>2427</v>
      </c>
      <c r="E753" t="s">
        <v>2396</v>
      </c>
      <c r="F753" s="10" t="s">
        <v>9</v>
      </c>
      <c r="G753" t="s">
        <v>851</v>
      </c>
      <c r="H753" t="s">
        <v>55</v>
      </c>
      <c r="I753" t="s">
        <v>855</v>
      </c>
      <c r="K753" s="2"/>
      <c r="M753" s="2"/>
    </row>
    <row r="754" spans="1:13">
      <c r="A754" t="s">
        <v>28</v>
      </c>
      <c r="B754">
        <f ca="1">IF(OR(changes[[#This Row],[Type]]="Checklist",changes[[#This Row],[Type]]="checklist-flat"),1+IF(changes[[#This Row],[Type of change]] = "Edit",COUNTIFS($I$4:changes[[#This Row],[Name]],changes[[#This Row],[Name]], $E$4:changes[[#This Row],[Type of change]], "Edit")),B753)</f>
        <v>1</v>
      </c>
      <c r="C754" s="16">
        <v>44621</v>
      </c>
      <c r="D754" s="1" t="s">
        <v>2427</v>
      </c>
      <c r="E754" t="s">
        <v>2396</v>
      </c>
      <c r="F754" s="10" t="s">
        <v>9</v>
      </c>
      <c r="G754" t="s">
        <v>851</v>
      </c>
      <c r="H754" t="s">
        <v>55</v>
      </c>
      <c r="I754" t="s">
        <v>2526</v>
      </c>
      <c r="K754" s="2"/>
      <c r="M754" s="2"/>
    </row>
    <row r="755" spans="1:13">
      <c r="A755" t="s">
        <v>28</v>
      </c>
      <c r="B755">
        <f ca="1">IF(OR(changes[[#This Row],[Type]]="Checklist",changes[[#This Row],[Type]]="checklist-flat"),1+IF(changes[[#This Row],[Type of change]] = "Edit",COUNTIFS($I$4:changes[[#This Row],[Name]],changes[[#This Row],[Name]], $E$4:changes[[#This Row],[Type of change]], "Edit")),B754)</f>
        <v>1</v>
      </c>
      <c r="C755" s="16">
        <v>44621</v>
      </c>
      <c r="D755" s="1" t="s">
        <v>2427</v>
      </c>
      <c r="E755" t="s">
        <v>2396</v>
      </c>
      <c r="F755" s="10" t="s">
        <v>9</v>
      </c>
      <c r="G755" t="s">
        <v>851</v>
      </c>
      <c r="H755" t="s">
        <v>55</v>
      </c>
      <c r="I755" t="s">
        <v>857</v>
      </c>
      <c r="K755" s="2"/>
      <c r="M755" s="2"/>
    </row>
    <row r="756" spans="1:13">
      <c r="A756" t="s">
        <v>28</v>
      </c>
      <c r="B756">
        <f ca="1">IF(OR(changes[[#This Row],[Type]]="Checklist",changes[[#This Row],[Type]]="checklist-flat"),1+IF(changes[[#This Row],[Type of change]] = "Edit",COUNTIFS($I$4:changes[[#This Row],[Name]],changes[[#This Row],[Name]], $E$4:changes[[#This Row],[Type of change]], "Edit")),B755)</f>
        <v>1</v>
      </c>
      <c r="C756" s="16">
        <v>44621</v>
      </c>
      <c r="D756" s="1" t="s">
        <v>2427</v>
      </c>
      <c r="E756" t="s">
        <v>2396</v>
      </c>
      <c r="F756" s="10" t="s">
        <v>9</v>
      </c>
      <c r="G756" t="s">
        <v>851</v>
      </c>
      <c r="H756" t="s">
        <v>55</v>
      </c>
      <c r="I756" t="s">
        <v>858</v>
      </c>
      <c r="K756" s="2"/>
      <c r="M756" s="2"/>
    </row>
    <row r="757" spans="1:13">
      <c r="A757" t="s">
        <v>28</v>
      </c>
      <c r="B757">
        <f ca="1">IF(OR(changes[[#This Row],[Type]]="Checklist",changes[[#This Row],[Type]]="checklist-flat"),1+IF(changes[[#This Row],[Type of change]] = "Edit",COUNTIFS($I$4:changes[[#This Row],[Name]],changes[[#This Row],[Name]], $E$4:changes[[#This Row],[Type of change]], "Edit")),B756)</f>
        <v>1</v>
      </c>
      <c r="C757" s="16">
        <v>44621</v>
      </c>
      <c r="D757" s="1" t="s">
        <v>2427</v>
      </c>
      <c r="E757" t="s">
        <v>2396</v>
      </c>
      <c r="F757" s="10" t="s">
        <v>9</v>
      </c>
      <c r="G757" t="s">
        <v>851</v>
      </c>
      <c r="H757" t="s">
        <v>420</v>
      </c>
      <c r="I757" t="s">
        <v>859</v>
      </c>
      <c r="K757" s="2"/>
      <c r="M757" s="2"/>
    </row>
    <row r="758" spans="1:13">
      <c r="A758" t="s">
        <v>28</v>
      </c>
      <c r="B758">
        <f ca="1">IF(OR(changes[[#This Row],[Type]]="Checklist",changes[[#This Row],[Type]]="checklist-flat"),1+IF(changes[[#This Row],[Type of change]] = "Edit",COUNTIFS($I$4:changes[[#This Row],[Name]],changes[[#This Row],[Name]], $E$4:changes[[#This Row],[Type of change]], "Edit")),B757)</f>
        <v>1</v>
      </c>
      <c r="C758" s="16">
        <v>44621</v>
      </c>
      <c r="D758" s="1" t="s">
        <v>2427</v>
      </c>
      <c r="E758" t="s">
        <v>2396</v>
      </c>
      <c r="F758" s="10" t="s">
        <v>9</v>
      </c>
      <c r="G758" t="s">
        <v>851</v>
      </c>
      <c r="H758" t="s">
        <v>55</v>
      </c>
      <c r="I758" t="s">
        <v>860</v>
      </c>
      <c r="K758" s="2"/>
      <c r="M758" s="2"/>
    </row>
    <row r="759" spans="1:13">
      <c r="A759" t="s">
        <v>28</v>
      </c>
      <c r="B759">
        <f ca="1">IF(OR(changes[[#This Row],[Type]]="Checklist",changes[[#This Row],[Type]]="checklist-flat"),1+IF(changes[[#This Row],[Type of change]] = "Edit",COUNTIFS($I$4:changes[[#This Row],[Name]],changes[[#This Row],[Name]], $E$4:changes[[#This Row],[Type of change]], "Edit")),B758)</f>
        <v>1</v>
      </c>
      <c r="C759" s="16">
        <v>44621</v>
      </c>
      <c r="D759" s="1" t="s">
        <v>2427</v>
      </c>
      <c r="E759" t="s">
        <v>2396</v>
      </c>
      <c r="F759" s="10" t="s">
        <v>9</v>
      </c>
      <c r="G759" t="s">
        <v>851</v>
      </c>
      <c r="H759" t="s">
        <v>64</v>
      </c>
      <c r="I759" t="s">
        <v>772</v>
      </c>
      <c r="K759" s="2"/>
      <c r="M759" s="2"/>
    </row>
    <row r="760" spans="1:13">
      <c r="A760" t="s">
        <v>11</v>
      </c>
      <c r="B760">
        <f ca="1">IF(OR(changes[[#This Row],[Type]]="Checklist",changes[[#This Row],[Type]]="checklist-flat"),1+IF(changes[[#This Row],[Type of change]] = "Edit",COUNTIFS($I$4:changes[[#This Row],[Name]],changes[[#This Row],[Name]], $E$4:changes[[#This Row],[Type of change]], "Edit")),B759)</f>
        <v>1</v>
      </c>
      <c r="C760" s="16">
        <v>44621</v>
      </c>
      <c r="D760" s="1" t="s">
        <v>2427</v>
      </c>
      <c r="E760" t="s">
        <v>2396</v>
      </c>
      <c r="F760" s="10" t="s">
        <v>9</v>
      </c>
      <c r="G760" t="s">
        <v>2527</v>
      </c>
      <c r="H760" t="s">
        <v>478</v>
      </c>
      <c r="I760" t="s">
        <v>2527</v>
      </c>
      <c r="K760" s="2"/>
      <c r="M760" s="2"/>
    </row>
    <row r="761" spans="1:13">
      <c r="A761" t="s">
        <v>11</v>
      </c>
      <c r="B761">
        <f ca="1">IF(OR(changes[[#This Row],[Type]]="Checklist",changes[[#This Row],[Type]]="checklist-flat"),1+IF(changes[[#This Row],[Type of change]] = "Edit",COUNTIFS($I$4:changes[[#This Row],[Name]],changes[[#This Row],[Name]], $E$4:changes[[#This Row],[Type of change]], "Edit")),B760)</f>
        <v>1</v>
      </c>
      <c r="C761" s="16">
        <v>44621</v>
      </c>
      <c r="D761" s="1" t="s">
        <v>2427</v>
      </c>
      <c r="E761" t="s">
        <v>2396</v>
      </c>
      <c r="F761" s="10" t="s">
        <v>9</v>
      </c>
      <c r="G761" t="s">
        <v>2527</v>
      </c>
      <c r="H761" t="s">
        <v>479</v>
      </c>
      <c r="I761" t="s">
        <v>2528</v>
      </c>
      <c r="K761" s="2"/>
      <c r="M761" s="2"/>
    </row>
    <row r="762" spans="1:13">
      <c r="A762" t="s">
        <v>11</v>
      </c>
      <c r="B762">
        <f ca="1">IF(OR(changes[[#This Row],[Type]]="Checklist",changes[[#This Row],[Type]]="checklist-flat"),1+IF(changes[[#This Row],[Type of change]] = "Edit",COUNTIFS($I$4:changes[[#This Row],[Name]],changes[[#This Row],[Name]], $E$4:changes[[#This Row],[Type of change]], "Edit")),B761)</f>
        <v>1</v>
      </c>
      <c r="C762" s="16">
        <v>44621</v>
      </c>
      <c r="D762" s="1" t="s">
        <v>2427</v>
      </c>
      <c r="E762" t="s">
        <v>2396</v>
      </c>
      <c r="F762" s="10" t="s">
        <v>9</v>
      </c>
      <c r="G762" t="s">
        <v>2527</v>
      </c>
      <c r="H762" t="s">
        <v>55</v>
      </c>
      <c r="I762" t="s">
        <v>2529</v>
      </c>
      <c r="K762" s="2"/>
      <c r="M762" s="2"/>
    </row>
    <row r="763" spans="1:13">
      <c r="A763" t="s">
        <v>11</v>
      </c>
      <c r="B763">
        <f ca="1">IF(OR(changes[[#This Row],[Type]]="Checklist",changes[[#This Row],[Type]]="checklist-flat"),1+IF(changes[[#This Row],[Type of change]] = "Edit",COUNTIFS($I$4:changes[[#This Row],[Name]],changes[[#This Row],[Name]], $E$4:changes[[#This Row],[Type of change]], "Edit")),B762)</f>
        <v>1</v>
      </c>
      <c r="C763" s="16">
        <v>44621</v>
      </c>
      <c r="D763" s="1" t="s">
        <v>2427</v>
      </c>
      <c r="E763" t="s">
        <v>2396</v>
      </c>
      <c r="F763" s="10" t="s">
        <v>9</v>
      </c>
      <c r="G763" t="s">
        <v>2527</v>
      </c>
      <c r="H763" t="s">
        <v>55</v>
      </c>
      <c r="I763" t="s">
        <v>2530</v>
      </c>
      <c r="K763" s="2"/>
      <c r="M763" s="2"/>
    </row>
    <row r="764" spans="1:13">
      <c r="A764" t="s">
        <v>11</v>
      </c>
      <c r="B764">
        <f ca="1">IF(OR(changes[[#This Row],[Type]]="Checklist",changes[[#This Row],[Type]]="checklist-flat"),1+IF(changes[[#This Row],[Type of change]] = "Edit",COUNTIFS($I$4:changes[[#This Row],[Name]],changes[[#This Row],[Name]], $E$4:changes[[#This Row],[Type of change]], "Edit")),B763)</f>
        <v>1</v>
      </c>
      <c r="C764" s="16">
        <v>44621</v>
      </c>
      <c r="D764" s="1" t="s">
        <v>2427</v>
      </c>
      <c r="E764" t="s">
        <v>2396</v>
      </c>
      <c r="F764" s="10" t="s">
        <v>9</v>
      </c>
      <c r="G764" t="s">
        <v>2527</v>
      </c>
      <c r="H764" t="s">
        <v>55</v>
      </c>
      <c r="I764" t="s">
        <v>2531</v>
      </c>
      <c r="K764" s="2"/>
      <c r="M764" s="2"/>
    </row>
    <row r="765" spans="1:13">
      <c r="A765" t="s">
        <v>11</v>
      </c>
      <c r="B765">
        <f ca="1">IF(OR(changes[[#This Row],[Type]]="Checklist",changes[[#This Row],[Type]]="checklist-flat"),1+IF(changes[[#This Row],[Type of change]] = "Edit",COUNTIFS($I$4:changes[[#This Row],[Name]],changes[[#This Row],[Name]], $E$4:changes[[#This Row],[Type of change]], "Edit")),B764)</f>
        <v>1</v>
      </c>
      <c r="C765" s="16">
        <v>44621</v>
      </c>
      <c r="D765" s="1" t="s">
        <v>2427</v>
      </c>
      <c r="E765" t="s">
        <v>2396</v>
      </c>
      <c r="F765" s="10" t="s">
        <v>9</v>
      </c>
      <c r="G765" t="s">
        <v>2527</v>
      </c>
      <c r="H765" t="s">
        <v>55</v>
      </c>
      <c r="I765" t="s">
        <v>2532</v>
      </c>
      <c r="K765" s="2"/>
      <c r="M765" s="2"/>
    </row>
    <row r="766" spans="1:13">
      <c r="A766" t="s">
        <v>11</v>
      </c>
      <c r="B766">
        <f ca="1">IF(OR(changes[[#This Row],[Type]]="Checklist",changes[[#This Row],[Type]]="checklist-flat"),1+IF(changes[[#This Row],[Type of change]] = "Edit",COUNTIFS($I$4:changes[[#This Row],[Name]],changes[[#This Row],[Name]], $E$4:changes[[#This Row],[Type of change]], "Edit")),B765)</f>
        <v>1</v>
      </c>
      <c r="C766" s="16">
        <v>44621</v>
      </c>
      <c r="D766" s="1" t="s">
        <v>2427</v>
      </c>
      <c r="E766" t="s">
        <v>2396</v>
      </c>
      <c r="F766" s="10" t="s">
        <v>9</v>
      </c>
      <c r="G766" t="s">
        <v>2527</v>
      </c>
      <c r="H766" t="s">
        <v>64</v>
      </c>
      <c r="I766" t="s">
        <v>772</v>
      </c>
      <c r="K766" s="2"/>
      <c r="M766" s="2"/>
    </row>
    <row r="767" spans="1:13">
      <c r="A767" t="s">
        <v>11</v>
      </c>
      <c r="B767">
        <f ca="1">IF(OR(changes[[#This Row],[Type]]="Checklist",changes[[#This Row],[Type]]="checklist-flat"),1+IF(changes[[#This Row],[Type of change]] = "Edit",COUNTIFS($I$4:changes[[#This Row],[Name]],changes[[#This Row],[Name]], $E$4:changes[[#This Row],[Type of change]], "Edit")),B766)</f>
        <v>1</v>
      </c>
      <c r="C767" s="16">
        <v>44621</v>
      </c>
      <c r="D767" s="1" t="s">
        <v>2427</v>
      </c>
      <c r="E767" t="s">
        <v>2396</v>
      </c>
      <c r="F767" s="10" t="s">
        <v>9</v>
      </c>
      <c r="G767" t="s">
        <v>2527</v>
      </c>
      <c r="H767" t="s">
        <v>479</v>
      </c>
      <c r="I767" t="s">
        <v>2533</v>
      </c>
      <c r="K767" s="2"/>
      <c r="M767" s="2"/>
    </row>
    <row r="768" spans="1:13">
      <c r="A768" t="s">
        <v>11</v>
      </c>
      <c r="B768">
        <f ca="1">IF(OR(changes[[#This Row],[Type]]="Checklist",changes[[#This Row],[Type]]="checklist-flat"),1+IF(changes[[#This Row],[Type of change]] = "Edit",COUNTIFS($I$4:changes[[#This Row],[Name]],changes[[#This Row],[Name]], $E$4:changes[[#This Row],[Type of change]], "Edit")),B767)</f>
        <v>1</v>
      </c>
      <c r="C768" s="16">
        <v>44621</v>
      </c>
      <c r="D768" s="1" t="s">
        <v>2427</v>
      </c>
      <c r="E768" t="s">
        <v>2396</v>
      </c>
      <c r="F768" s="10" t="s">
        <v>9</v>
      </c>
      <c r="G768" t="s">
        <v>2527</v>
      </c>
      <c r="H768" t="s">
        <v>55</v>
      </c>
      <c r="I768" t="s">
        <v>2534</v>
      </c>
      <c r="K768" s="2"/>
      <c r="M768" s="2"/>
    </row>
    <row r="769" spans="1:13">
      <c r="A769" t="s">
        <v>11</v>
      </c>
      <c r="B769">
        <f ca="1">IF(OR(changes[[#This Row],[Type]]="Checklist",changes[[#This Row],[Type]]="checklist-flat"),1+IF(changes[[#This Row],[Type of change]] = "Edit",COUNTIFS($I$4:changes[[#This Row],[Name]],changes[[#This Row],[Name]], $E$4:changes[[#This Row],[Type of change]], "Edit")),B768)</f>
        <v>1</v>
      </c>
      <c r="C769" s="16">
        <v>44621</v>
      </c>
      <c r="D769" s="1" t="s">
        <v>2427</v>
      </c>
      <c r="E769" t="s">
        <v>2396</v>
      </c>
      <c r="F769" s="10" t="s">
        <v>9</v>
      </c>
      <c r="G769" t="s">
        <v>2527</v>
      </c>
      <c r="H769" t="s">
        <v>55</v>
      </c>
      <c r="I769" t="s">
        <v>2535</v>
      </c>
      <c r="K769" s="2"/>
      <c r="M769" s="2"/>
    </row>
    <row r="770" spans="1:13">
      <c r="A770" t="s">
        <v>11</v>
      </c>
      <c r="B770">
        <f ca="1">IF(OR(changes[[#This Row],[Type]]="Checklist",changes[[#This Row],[Type]]="checklist-flat"),1+IF(changes[[#This Row],[Type of change]] = "Edit",COUNTIFS($I$4:changes[[#This Row],[Name]],changes[[#This Row],[Name]], $E$4:changes[[#This Row],[Type of change]], "Edit")),B769)</f>
        <v>1</v>
      </c>
      <c r="C770" s="16">
        <v>44621</v>
      </c>
      <c r="D770" s="1" t="s">
        <v>2427</v>
      </c>
      <c r="E770" t="s">
        <v>2396</v>
      </c>
      <c r="F770" s="10" t="s">
        <v>9</v>
      </c>
      <c r="G770" t="s">
        <v>2527</v>
      </c>
      <c r="H770" t="s">
        <v>55</v>
      </c>
      <c r="I770" t="s">
        <v>2536</v>
      </c>
      <c r="K770" s="2"/>
      <c r="M770" s="2"/>
    </row>
    <row r="771" spans="1:13">
      <c r="A771" t="s">
        <v>11</v>
      </c>
      <c r="B771">
        <f ca="1">IF(OR(changes[[#This Row],[Type]]="Checklist",changes[[#This Row],[Type]]="checklist-flat"),1+IF(changes[[#This Row],[Type of change]] = "Edit",COUNTIFS($I$4:changes[[#This Row],[Name]],changes[[#This Row],[Name]], $E$4:changes[[#This Row],[Type of change]], "Edit")),B770)</f>
        <v>1</v>
      </c>
      <c r="C771" s="16">
        <v>44621</v>
      </c>
      <c r="D771" s="1" t="s">
        <v>2427</v>
      </c>
      <c r="E771" t="s">
        <v>2396</v>
      </c>
      <c r="F771" s="10" t="s">
        <v>9</v>
      </c>
      <c r="G771" t="s">
        <v>2527</v>
      </c>
      <c r="H771" t="s">
        <v>64</v>
      </c>
      <c r="I771" t="s">
        <v>772</v>
      </c>
      <c r="K771" s="2"/>
      <c r="M771" s="2"/>
    </row>
    <row r="772" spans="1:13">
      <c r="A772" t="s">
        <v>11</v>
      </c>
      <c r="B772">
        <f ca="1">IF(OR(changes[[#This Row],[Type]]="Checklist",changes[[#This Row],[Type]]="checklist-flat"),1+IF(changes[[#This Row],[Type of change]] = "Edit",COUNTIFS($I$4:changes[[#This Row],[Name]],changes[[#This Row],[Name]], $E$4:changes[[#This Row],[Type of change]], "Edit")),B771)</f>
        <v>1</v>
      </c>
      <c r="C772" s="16">
        <v>44621</v>
      </c>
      <c r="D772" s="1" t="s">
        <v>2427</v>
      </c>
      <c r="E772" t="s">
        <v>2396</v>
      </c>
      <c r="F772" s="10" t="s">
        <v>9</v>
      </c>
      <c r="G772" t="s">
        <v>2527</v>
      </c>
      <c r="H772" t="s">
        <v>479</v>
      </c>
      <c r="I772" t="s">
        <v>2537</v>
      </c>
      <c r="K772" s="2"/>
      <c r="M772" s="2"/>
    </row>
    <row r="773" spans="1:13">
      <c r="A773" t="s">
        <v>11</v>
      </c>
      <c r="B773">
        <f ca="1">IF(OR(changes[[#This Row],[Type]]="Checklist",changes[[#This Row],[Type]]="checklist-flat"),1+IF(changes[[#This Row],[Type of change]] = "Edit",COUNTIFS($I$4:changes[[#This Row],[Name]],changes[[#This Row],[Name]], $E$4:changes[[#This Row],[Type of change]], "Edit")),B772)</f>
        <v>1</v>
      </c>
      <c r="C773" s="16">
        <v>44621</v>
      </c>
      <c r="D773" s="1" t="s">
        <v>2427</v>
      </c>
      <c r="E773" t="s">
        <v>2396</v>
      </c>
      <c r="F773" s="10" t="s">
        <v>9</v>
      </c>
      <c r="G773" t="s">
        <v>2527</v>
      </c>
      <c r="H773" t="s">
        <v>55</v>
      </c>
      <c r="I773" t="s">
        <v>2538</v>
      </c>
      <c r="K773" s="2"/>
      <c r="M773" s="2"/>
    </row>
    <row r="774" spans="1:13">
      <c r="A774" t="s">
        <v>11</v>
      </c>
      <c r="B774">
        <f ca="1">IF(OR(changes[[#This Row],[Type]]="Checklist",changes[[#This Row],[Type]]="checklist-flat"),1+IF(changes[[#This Row],[Type of change]] = "Edit",COUNTIFS($I$4:changes[[#This Row],[Name]],changes[[#This Row],[Name]], $E$4:changes[[#This Row],[Type of change]], "Edit")),B773)</f>
        <v>1</v>
      </c>
      <c r="C774" s="16">
        <v>44621</v>
      </c>
      <c r="D774" s="1" t="s">
        <v>2427</v>
      </c>
      <c r="E774" t="s">
        <v>2396</v>
      </c>
      <c r="F774" s="10" t="s">
        <v>9</v>
      </c>
      <c r="G774" t="s">
        <v>2527</v>
      </c>
      <c r="H774" t="s">
        <v>55</v>
      </c>
      <c r="I774" t="s">
        <v>2539</v>
      </c>
      <c r="K774" s="2"/>
      <c r="M774" s="2"/>
    </row>
    <row r="775" spans="1:13">
      <c r="A775" t="s">
        <v>11</v>
      </c>
      <c r="B775">
        <f ca="1">IF(OR(changes[[#This Row],[Type]]="Checklist",changes[[#This Row],[Type]]="checklist-flat"),1+IF(changes[[#This Row],[Type of change]] = "Edit",COUNTIFS($I$4:changes[[#This Row],[Name]],changes[[#This Row],[Name]], $E$4:changes[[#This Row],[Type of change]], "Edit")),B774)</f>
        <v>1</v>
      </c>
      <c r="C775" s="16">
        <v>44621</v>
      </c>
      <c r="D775" s="1" t="s">
        <v>2427</v>
      </c>
      <c r="E775" t="s">
        <v>2396</v>
      </c>
      <c r="F775" s="10" t="s">
        <v>9</v>
      </c>
      <c r="G775" t="s">
        <v>2527</v>
      </c>
      <c r="H775" t="s">
        <v>55</v>
      </c>
      <c r="I775" t="s">
        <v>2540</v>
      </c>
      <c r="K775" s="2"/>
      <c r="M775" s="2"/>
    </row>
    <row r="776" spans="1:13">
      <c r="A776" t="s">
        <v>11</v>
      </c>
      <c r="B776">
        <f ca="1">IF(OR(changes[[#This Row],[Type]]="Checklist",changes[[#This Row],[Type]]="checklist-flat"),1+IF(changes[[#This Row],[Type of change]] = "Edit",COUNTIFS($I$4:changes[[#This Row],[Name]],changes[[#This Row],[Name]], $E$4:changes[[#This Row],[Type of change]], "Edit")),B775)</f>
        <v>1</v>
      </c>
      <c r="C776" s="16">
        <v>44621</v>
      </c>
      <c r="D776" s="1" t="s">
        <v>2427</v>
      </c>
      <c r="E776" t="s">
        <v>2396</v>
      </c>
      <c r="F776" s="10" t="s">
        <v>9</v>
      </c>
      <c r="G776" t="s">
        <v>2527</v>
      </c>
      <c r="H776" t="s">
        <v>55</v>
      </c>
      <c r="I776" t="s">
        <v>2541</v>
      </c>
      <c r="K776" s="2"/>
      <c r="M776" s="2"/>
    </row>
    <row r="777" spans="1:13">
      <c r="A777" t="s">
        <v>11</v>
      </c>
      <c r="B777">
        <f ca="1">IF(OR(changes[[#This Row],[Type]]="Checklist",changes[[#This Row],[Type]]="checklist-flat"),1+IF(changes[[#This Row],[Type of change]] = "Edit",COUNTIFS($I$4:changes[[#This Row],[Name]],changes[[#This Row],[Name]], $E$4:changes[[#This Row],[Type of change]], "Edit")),B776)</f>
        <v>1</v>
      </c>
      <c r="C777" s="16">
        <v>44621</v>
      </c>
      <c r="D777" s="1" t="s">
        <v>2427</v>
      </c>
      <c r="E777" t="s">
        <v>2396</v>
      </c>
      <c r="F777" s="10" t="s">
        <v>9</v>
      </c>
      <c r="G777" t="s">
        <v>2527</v>
      </c>
      <c r="H777" t="s">
        <v>64</v>
      </c>
      <c r="I777" t="s">
        <v>772</v>
      </c>
      <c r="K777" s="2"/>
      <c r="M777" s="2"/>
    </row>
    <row r="778" spans="1:13">
      <c r="A778" t="s">
        <v>28</v>
      </c>
      <c r="B778">
        <f ca="1">IF(OR(changes[[#This Row],[Type]]="Checklist",changes[[#This Row],[Type]]="checklist-flat"),1+IF(changes[[#This Row],[Type of change]] = "Edit",COUNTIFS($I$4:changes[[#This Row],[Name]],changes[[#This Row],[Name]], $E$4:changes[[#This Row],[Type of change]], "Edit")),B777)</f>
        <v>1</v>
      </c>
      <c r="C778" s="16">
        <v>44635</v>
      </c>
      <c r="D778" s="1" t="s">
        <v>2427</v>
      </c>
      <c r="E778" t="s">
        <v>2396</v>
      </c>
      <c r="F778" s="10" t="s">
        <v>9</v>
      </c>
      <c r="G778" s="30" t="s">
        <v>1380</v>
      </c>
      <c r="H778" s="30" t="s">
        <v>478</v>
      </c>
      <c r="I778" s="30" t="s">
        <v>1380</v>
      </c>
      <c r="K778" s="2"/>
      <c r="M778" s="2"/>
    </row>
    <row r="779" spans="1:13">
      <c r="A779" t="s">
        <v>28</v>
      </c>
      <c r="B779">
        <f ca="1">IF(OR(changes[[#This Row],[Type]]="Checklist",changes[[#This Row],[Type]]="checklist-flat"),1+IF(changes[[#This Row],[Type of change]] = "Edit",COUNTIFS($I$4:changes[[#This Row],[Name]],changes[[#This Row],[Name]], $E$4:changes[[#This Row],[Type of change]], "Edit")),B778)</f>
        <v>1</v>
      </c>
      <c r="C779" s="16">
        <v>44635</v>
      </c>
      <c r="D779" s="1" t="s">
        <v>2427</v>
      </c>
      <c r="E779" t="s">
        <v>2396</v>
      </c>
      <c r="F779" s="10" t="s">
        <v>9</v>
      </c>
      <c r="G779" s="30" t="s">
        <v>1380</v>
      </c>
      <c r="H779" s="36" t="s">
        <v>479</v>
      </c>
      <c r="I779" s="36" t="s">
        <v>1381</v>
      </c>
      <c r="K779" s="2"/>
      <c r="M779" s="2"/>
    </row>
    <row r="780" spans="1:13">
      <c r="A780" t="s">
        <v>28</v>
      </c>
      <c r="B780">
        <f ca="1">IF(OR(changes[[#This Row],[Type]]="Checklist",changes[[#This Row],[Type]]="checklist-flat"),1+IF(changes[[#This Row],[Type of change]] = "Edit",COUNTIFS($I$4:changes[[#This Row],[Name]],changes[[#This Row],[Name]], $E$4:changes[[#This Row],[Type of change]], "Edit")),B779)</f>
        <v>1</v>
      </c>
      <c r="C780" s="16">
        <v>44635</v>
      </c>
      <c r="D780" s="1" t="s">
        <v>2427</v>
      </c>
      <c r="E780" t="s">
        <v>2396</v>
      </c>
      <c r="F780" s="10" t="s">
        <v>9</v>
      </c>
      <c r="G780" s="30" t="s">
        <v>1380</v>
      </c>
      <c r="H780" s="36" t="s">
        <v>55</v>
      </c>
      <c r="I780" s="36" t="s">
        <v>1382</v>
      </c>
      <c r="K780" s="2"/>
      <c r="M780" s="2"/>
    </row>
    <row r="781" spans="1:13">
      <c r="A781" t="s">
        <v>28</v>
      </c>
      <c r="B781">
        <f ca="1">IF(OR(changes[[#This Row],[Type]]="Checklist",changes[[#This Row],[Type]]="checklist-flat"),1+IF(changes[[#This Row],[Type of change]] = "Edit",COUNTIFS($I$4:changes[[#This Row],[Name]],changes[[#This Row],[Name]], $E$4:changes[[#This Row],[Type of change]], "Edit")),B780)</f>
        <v>1</v>
      </c>
      <c r="C781" s="16">
        <v>44635</v>
      </c>
      <c r="D781" s="1" t="s">
        <v>2427</v>
      </c>
      <c r="E781" t="s">
        <v>2396</v>
      </c>
      <c r="F781" s="10" t="s">
        <v>9</v>
      </c>
      <c r="G781" s="30" t="s">
        <v>1380</v>
      </c>
      <c r="H781" s="37" t="s">
        <v>214</v>
      </c>
      <c r="I781" s="36" t="s">
        <v>853</v>
      </c>
      <c r="K781" s="2"/>
      <c r="M781" s="2"/>
    </row>
    <row r="782" spans="1:13">
      <c r="A782" t="s">
        <v>28</v>
      </c>
      <c r="B782">
        <f ca="1">IF(OR(changes[[#This Row],[Type]]="Checklist",changes[[#This Row],[Type]]="checklist-flat"),1+IF(changes[[#This Row],[Type of change]] = "Edit",COUNTIFS($I$4:changes[[#This Row],[Name]],changes[[#This Row],[Name]], $E$4:changes[[#This Row],[Type of change]], "Edit")),B781)</f>
        <v>1</v>
      </c>
      <c r="C782" s="16">
        <v>44635</v>
      </c>
      <c r="D782" s="1" t="s">
        <v>2427</v>
      </c>
      <c r="E782" t="s">
        <v>2396</v>
      </c>
      <c r="F782" s="10" t="s">
        <v>9</v>
      </c>
      <c r="G782" s="30" t="s">
        <v>1380</v>
      </c>
      <c r="H782" s="36" t="s">
        <v>55</v>
      </c>
      <c r="I782" s="36" t="s">
        <v>854</v>
      </c>
      <c r="K782" s="2"/>
      <c r="M782" s="2"/>
    </row>
    <row r="783" spans="1:13">
      <c r="A783" t="s">
        <v>28</v>
      </c>
      <c r="B783">
        <f ca="1">IF(OR(changes[[#This Row],[Type]]="Checklist",changes[[#This Row],[Type]]="checklist-flat"),1+IF(changes[[#This Row],[Type of change]] = "Edit",COUNTIFS($I$4:changes[[#This Row],[Name]],changes[[#This Row],[Name]], $E$4:changes[[#This Row],[Type of change]], "Edit")),B782)</f>
        <v>1</v>
      </c>
      <c r="C783" s="16">
        <v>44635</v>
      </c>
      <c r="D783" s="1" t="s">
        <v>2427</v>
      </c>
      <c r="E783" t="s">
        <v>2396</v>
      </c>
      <c r="F783" s="10" t="s">
        <v>9</v>
      </c>
      <c r="G783" s="30" t="s">
        <v>1380</v>
      </c>
      <c r="H783" s="36" t="s">
        <v>479</v>
      </c>
      <c r="I783" s="36" t="s">
        <v>1383</v>
      </c>
      <c r="K783" s="2"/>
      <c r="M783" s="2"/>
    </row>
    <row r="784" spans="1:13">
      <c r="A784" t="s">
        <v>28</v>
      </c>
      <c r="B784">
        <f ca="1">IF(OR(changes[[#This Row],[Type]]="Checklist",changes[[#This Row],[Type]]="checklist-flat"),1+IF(changes[[#This Row],[Type of change]] = "Edit",COUNTIFS($I$4:changes[[#This Row],[Name]],changes[[#This Row],[Name]], $E$4:changes[[#This Row],[Type of change]], "Edit")),B783)</f>
        <v>1</v>
      </c>
      <c r="C784" s="16">
        <v>44635</v>
      </c>
      <c r="D784" s="1" t="s">
        <v>2427</v>
      </c>
      <c r="E784" t="s">
        <v>2396</v>
      </c>
      <c r="F784" s="10" t="s">
        <v>9</v>
      </c>
      <c r="G784" s="30" t="s">
        <v>1380</v>
      </c>
      <c r="H784" s="36" t="s">
        <v>55</v>
      </c>
      <c r="I784" s="36" t="s">
        <v>1384</v>
      </c>
      <c r="K784" s="2"/>
      <c r="M784" s="2"/>
    </row>
    <row r="785" spans="1:13">
      <c r="A785" t="s">
        <v>28</v>
      </c>
      <c r="B785">
        <f ca="1">IF(OR(changes[[#This Row],[Type]]="Checklist",changes[[#This Row],[Type]]="checklist-flat"),1+IF(changes[[#This Row],[Type of change]] = "Edit",COUNTIFS($I$4:changes[[#This Row],[Name]],changes[[#This Row],[Name]], $E$4:changes[[#This Row],[Type of change]], "Edit")),B784)</f>
        <v>1</v>
      </c>
      <c r="C785" s="16">
        <v>44635</v>
      </c>
      <c r="D785" s="1" t="s">
        <v>2427</v>
      </c>
      <c r="E785" t="s">
        <v>2396</v>
      </c>
      <c r="F785" s="10" t="s">
        <v>9</v>
      </c>
      <c r="G785" s="30" t="s">
        <v>1380</v>
      </c>
      <c r="H785" s="36" t="s">
        <v>55</v>
      </c>
      <c r="I785" s="36" t="s">
        <v>1385</v>
      </c>
      <c r="K785" s="2"/>
      <c r="M785" s="2"/>
    </row>
    <row r="786" spans="1:13">
      <c r="A786" t="s">
        <v>28</v>
      </c>
      <c r="B786">
        <f ca="1">IF(OR(changes[[#This Row],[Type]]="Checklist",changes[[#This Row],[Type]]="checklist-flat"),1+IF(changes[[#This Row],[Type of change]] = "Edit",COUNTIFS($I$4:changes[[#This Row],[Name]],changes[[#This Row],[Name]], $E$4:changes[[#This Row],[Type of change]], "Edit")),B785)</f>
        <v>1</v>
      </c>
      <c r="C786" s="16">
        <v>44635</v>
      </c>
      <c r="D786" s="1" t="s">
        <v>2427</v>
      </c>
      <c r="E786" t="s">
        <v>2396</v>
      </c>
      <c r="F786" s="10" t="s">
        <v>9</v>
      </c>
      <c r="G786" s="30" t="s">
        <v>1380</v>
      </c>
      <c r="H786" s="36" t="s">
        <v>55</v>
      </c>
      <c r="I786" s="36" t="s">
        <v>1386</v>
      </c>
      <c r="K786" s="2"/>
      <c r="M786" s="2"/>
    </row>
    <row r="787" spans="1:13">
      <c r="A787" t="s">
        <v>28</v>
      </c>
      <c r="B787">
        <f ca="1">IF(OR(changes[[#This Row],[Type]]="Checklist",changes[[#This Row],[Type]]="checklist-flat"),1+IF(changes[[#This Row],[Type of change]] = "Edit",COUNTIFS($I$4:changes[[#This Row],[Name]],changes[[#This Row],[Name]], $E$4:changes[[#This Row],[Type of change]], "Edit")),B786)</f>
        <v>1</v>
      </c>
      <c r="C787" s="16">
        <v>44635</v>
      </c>
      <c r="D787" s="1" t="s">
        <v>2427</v>
      </c>
      <c r="E787" t="s">
        <v>2396</v>
      </c>
      <c r="F787" s="10" t="s">
        <v>9</v>
      </c>
      <c r="G787" s="30" t="s">
        <v>1380</v>
      </c>
      <c r="H787" s="36" t="s">
        <v>55</v>
      </c>
      <c r="I787" s="36" t="s">
        <v>1387</v>
      </c>
      <c r="K787" s="2"/>
      <c r="M787" s="2"/>
    </row>
    <row r="788" spans="1:13">
      <c r="A788" t="s">
        <v>28</v>
      </c>
      <c r="B788">
        <f ca="1">IF(OR(changes[[#This Row],[Type]]="Checklist",changes[[#This Row],[Type]]="checklist-flat"),1+IF(changes[[#This Row],[Type of change]] = "Edit",COUNTIFS($I$4:changes[[#This Row],[Name]],changes[[#This Row],[Name]], $E$4:changes[[#This Row],[Type of change]], "Edit")),B787)</f>
        <v>1</v>
      </c>
      <c r="C788" s="16">
        <v>44635</v>
      </c>
      <c r="D788" s="1" t="s">
        <v>2427</v>
      </c>
      <c r="E788" t="s">
        <v>2396</v>
      </c>
      <c r="F788" s="10" t="s">
        <v>9</v>
      </c>
      <c r="G788" s="30" t="s">
        <v>1380</v>
      </c>
      <c r="H788" s="36" t="s">
        <v>55</v>
      </c>
      <c r="I788" s="36" t="s">
        <v>1388</v>
      </c>
      <c r="K788" s="2"/>
      <c r="M788" s="2"/>
    </row>
    <row r="789" spans="1:13">
      <c r="A789" t="s">
        <v>28</v>
      </c>
      <c r="B789">
        <f ca="1">IF(OR(changes[[#This Row],[Type]]="Checklist",changes[[#This Row],[Type]]="checklist-flat"),1+IF(changes[[#This Row],[Type of change]] = "Edit",COUNTIFS($I$4:changes[[#This Row],[Name]],changes[[#This Row],[Name]], $E$4:changes[[#This Row],[Type of change]], "Edit")),B788)</f>
        <v>1</v>
      </c>
      <c r="C789" s="16">
        <v>44635</v>
      </c>
      <c r="D789" s="1" t="s">
        <v>2427</v>
      </c>
      <c r="E789" t="s">
        <v>2396</v>
      </c>
      <c r="F789" s="10" t="s">
        <v>9</v>
      </c>
      <c r="G789" s="30" t="s">
        <v>1380</v>
      </c>
      <c r="H789" s="36" t="s">
        <v>55</v>
      </c>
      <c r="I789" s="36" t="s">
        <v>2542</v>
      </c>
      <c r="K789" s="2"/>
      <c r="M789" s="2"/>
    </row>
    <row r="790" spans="1:13">
      <c r="A790" t="s">
        <v>28</v>
      </c>
      <c r="B790">
        <f ca="1">IF(OR(changes[[#This Row],[Type]]="Checklist",changes[[#This Row],[Type]]="checklist-flat"),1+IF(changes[[#This Row],[Type of change]] = "Edit",COUNTIFS($I$4:changes[[#This Row],[Name]],changes[[#This Row],[Name]], $E$4:changes[[#This Row],[Type of change]], "Edit")),B789)</f>
        <v>1</v>
      </c>
      <c r="C790" s="16">
        <v>44635</v>
      </c>
      <c r="D790" s="1" t="s">
        <v>2427</v>
      </c>
      <c r="E790" t="s">
        <v>2396</v>
      </c>
      <c r="F790" s="10" t="s">
        <v>9</v>
      </c>
      <c r="G790" s="30" t="s">
        <v>1380</v>
      </c>
      <c r="H790" s="36" t="s">
        <v>1390</v>
      </c>
      <c r="I790" s="36" t="s">
        <v>1391</v>
      </c>
      <c r="K790" s="2"/>
      <c r="M790" s="2"/>
    </row>
    <row r="791" spans="1:13">
      <c r="A791" t="s">
        <v>28</v>
      </c>
      <c r="B791">
        <f ca="1">IF(OR(changes[[#This Row],[Type]]="Checklist",changes[[#This Row],[Type]]="checklist-flat"),1+IF(changes[[#This Row],[Type of change]] = "Edit",COUNTIFS($I$4:changes[[#This Row],[Name]],changes[[#This Row],[Name]], $E$4:changes[[#This Row],[Type of change]], "Edit")),B790)</f>
        <v>1</v>
      </c>
      <c r="C791" s="16">
        <v>44635</v>
      </c>
      <c r="D791" s="1" t="s">
        <v>2427</v>
      </c>
      <c r="E791" t="s">
        <v>2396</v>
      </c>
      <c r="F791" s="10" t="s">
        <v>9</v>
      </c>
      <c r="G791" s="30" t="s">
        <v>1380</v>
      </c>
      <c r="H791" s="36" t="s">
        <v>55</v>
      </c>
      <c r="I791" s="36" t="s">
        <v>1392</v>
      </c>
      <c r="K791" s="2"/>
      <c r="M791" s="2"/>
    </row>
    <row r="792" spans="1:13">
      <c r="A792" t="s">
        <v>28</v>
      </c>
      <c r="B792">
        <f ca="1">IF(OR(changes[[#This Row],[Type]]="Checklist",changes[[#This Row],[Type]]="checklist-flat"),1+IF(changes[[#This Row],[Type of change]] = "Edit",COUNTIFS($I$4:changes[[#This Row],[Name]],changes[[#This Row],[Name]], $E$4:changes[[#This Row],[Type of change]], "Edit")),B791)</f>
        <v>1</v>
      </c>
      <c r="C792" s="16">
        <v>44635</v>
      </c>
      <c r="D792" s="1" t="s">
        <v>2427</v>
      </c>
      <c r="E792" t="s">
        <v>2396</v>
      </c>
      <c r="F792" s="10" t="s">
        <v>9</v>
      </c>
      <c r="G792" s="30" t="s">
        <v>1380</v>
      </c>
      <c r="H792" s="36" t="s">
        <v>55</v>
      </c>
      <c r="I792" s="36" t="s">
        <v>1393</v>
      </c>
      <c r="K792" s="2"/>
      <c r="M792" s="2"/>
    </row>
    <row r="793" spans="1:13">
      <c r="A793" t="s">
        <v>28</v>
      </c>
      <c r="B793">
        <f ca="1">IF(OR(changes[[#This Row],[Type]]="Checklist",changes[[#This Row],[Type]]="checklist-flat"),1+IF(changes[[#This Row],[Type of change]] = "Edit",COUNTIFS($I$4:changes[[#This Row],[Name]],changes[[#This Row],[Name]], $E$4:changes[[#This Row],[Type of change]], "Edit")),B792)</f>
        <v>1</v>
      </c>
      <c r="C793" s="16">
        <v>44635</v>
      </c>
      <c r="D793" s="1" t="s">
        <v>2427</v>
      </c>
      <c r="E793" t="s">
        <v>2396</v>
      </c>
      <c r="F793" s="10" t="s">
        <v>9</v>
      </c>
      <c r="G793" s="30" t="s">
        <v>1380</v>
      </c>
      <c r="H793" s="36" t="s">
        <v>55</v>
      </c>
      <c r="I793" s="36" t="s">
        <v>1394</v>
      </c>
      <c r="K793" s="2"/>
      <c r="M793" s="2"/>
    </row>
    <row r="794" spans="1:13">
      <c r="A794" t="s">
        <v>28</v>
      </c>
      <c r="B794">
        <f ca="1">IF(OR(changes[[#This Row],[Type]]="Checklist",changes[[#This Row],[Type]]="checklist-flat"),1+IF(changes[[#This Row],[Type of change]] = "Edit",COUNTIFS($I$4:changes[[#This Row],[Name]],changes[[#This Row],[Name]], $E$4:changes[[#This Row],[Type of change]], "Edit")),B793)</f>
        <v>1</v>
      </c>
      <c r="C794" s="16">
        <v>44635</v>
      </c>
      <c r="D794" s="1" t="s">
        <v>2427</v>
      </c>
      <c r="E794" t="s">
        <v>2396</v>
      </c>
      <c r="F794" s="10" t="s">
        <v>9</v>
      </c>
      <c r="G794" s="30" t="s">
        <v>1380</v>
      </c>
      <c r="H794" s="36" t="s">
        <v>64</v>
      </c>
      <c r="I794" s="36" t="s">
        <v>772</v>
      </c>
      <c r="K794" s="2"/>
      <c r="M794" s="2"/>
    </row>
    <row r="795" spans="1:13">
      <c r="A795" t="s">
        <v>28</v>
      </c>
      <c r="B795">
        <f ca="1">IF(OR(changes[[#This Row],[Type]]="Checklist",changes[[#This Row],[Type]]="checklist-flat"),1+IF(changes[[#This Row],[Type of change]] = "Edit",COUNTIFS($I$4:changes[[#This Row],[Name]],changes[[#This Row],[Name]], $E$4:changes[[#This Row],[Type of change]], "Edit")),B794)</f>
        <v>1</v>
      </c>
      <c r="C795" s="16">
        <v>44635</v>
      </c>
      <c r="D795" s="1" t="s">
        <v>2427</v>
      </c>
      <c r="E795" t="s">
        <v>2396</v>
      </c>
      <c r="F795" s="10" t="s">
        <v>9</v>
      </c>
      <c r="G795" s="30" t="s">
        <v>2543</v>
      </c>
      <c r="H795" s="30" t="s">
        <v>478</v>
      </c>
      <c r="I795" s="30" t="s">
        <v>2543</v>
      </c>
      <c r="K795" s="2"/>
      <c r="M795" s="2"/>
    </row>
    <row r="796" spans="1:13">
      <c r="A796" t="s">
        <v>28</v>
      </c>
      <c r="B796">
        <f ca="1">IF(OR(changes[[#This Row],[Type]]="Checklist",changes[[#This Row],[Type]]="checklist-flat"),1+IF(changes[[#This Row],[Type of change]] = "Edit",COUNTIFS($I$4:changes[[#This Row],[Name]],changes[[#This Row],[Name]], $E$4:changes[[#This Row],[Type of change]], "Edit")),B795)</f>
        <v>1</v>
      </c>
      <c r="C796" s="16">
        <v>44635</v>
      </c>
      <c r="D796" s="1" t="s">
        <v>2427</v>
      </c>
      <c r="E796" t="s">
        <v>2396</v>
      </c>
      <c r="F796" s="10" t="s">
        <v>9</v>
      </c>
      <c r="G796" s="30" t="s">
        <v>2543</v>
      </c>
      <c r="H796" s="30" t="s">
        <v>479</v>
      </c>
      <c r="I796" s="30" t="s">
        <v>1176</v>
      </c>
      <c r="K796" s="2"/>
      <c r="M796" s="2"/>
    </row>
    <row r="797" spans="1:13">
      <c r="A797" t="s">
        <v>28</v>
      </c>
      <c r="B797">
        <f ca="1">IF(OR(changes[[#This Row],[Type]]="Checklist",changes[[#This Row],[Type]]="checklist-flat"),1+IF(changes[[#This Row],[Type of change]] = "Edit",COUNTIFS($I$4:changes[[#This Row],[Name]],changes[[#This Row],[Name]], $E$4:changes[[#This Row],[Type of change]], "Edit")),B796)</f>
        <v>1</v>
      </c>
      <c r="C797" s="16">
        <v>44635</v>
      </c>
      <c r="D797" s="1" t="s">
        <v>2427</v>
      </c>
      <c r="E797" t="s">
        <v>2396</v>
      </c>
      <c r="F797" s="10" t="s">
        <v>9</v>
      </c>
      <c r="G797" s="30" t="s">
        <v>2543</v>
      </c>
      <c r="H797" s="30" t="s">
        <v>55</v>
      </c>
      <c r="I797" s="30" t="s">
        <v>1177</v>
      </c>
      <c r="K797" s="2"/>
      <c r="M797" s="2"/>
    </row>
    <row r="798" spans="1:13">
      <c r="A798" t="s">
        <v>28</v>
      </c>
      <c r="B798">
        <f ca="1">IF(OR(changes[[#This Row],[Type]]="Checklist",changes[[#This Row],[Type]]="checklist-flat"),1+IF(changes[[#This Row],[Type of change]] = "Edit",COUNTIFS($I$4:changes[[#This Row],[Name]],changes[[#This Row],[Name]], $E$4:changes[[#This Row],[Type of change]], "Edit")),B797)</f>
        <v>1</v>
      </c>
      <c r="C798" s="16">
        <v>44635</v>
      </c>
      <c r="D798" s="1" t="s">
        <v>2427</v>
      </c>
      <c r="E798" t="s">
        <v>2396</v>
      </c>
      <c r="F798" s="10" t="s">
        <v>9</v>
      </c>
      <c r="G798" s="30" t="s">
        <v>2543</v>
      </c>
      <c r="H798" s="30" t="s">
        <v>55</v>
      </c>
      <c r="I798" s="30" t="s">
        <v>1178</v>
      </c>
      <c r="K798" s="2"/>
      <c r="M798" s="2"/>
    </row>
    <row r="799" spans="1:13">
      <c r="A799" t="s">
        <v>28</v>
      </c>
      <c r="B799">
        <f ca="1">IF(OR(changes[[#This Row],[Type]]="Checklist",changes[[#This Row],[Type]]="checklist-flat"),1+IF(changes[[#This Row],[Type of change]] = "Edit",COUNTIFS($I$4:changes[[#This Row],[Name]],changes[[#This Row],[Name]], $E$4:changes[[#This Row],[Type of change]], "Edit")),B798)</f>
        <v>1</v>
      </c>
      <c r="C799" s="16">
        <v>44635</v>
      </c>
      <c r="D799" s="1" t="s">
        <v>2427</v>
      </c>
      <c r="E799" t="s">
        <v>2396</v>
      </c>
      <c r="F799" s="10" t="s">
        <v>9</v>
      </c>
      <c r="G799" s="30" t="s">
        <v>2543</v>
      </c>
      <c r="H799" s="30" t="s">
        <v>269</v>
      </c>
      <c r="I799" s="30" t="s">
        <v>1179</v>
      </c>
      <c r="K799" s="2"/>
      <c r="M799" s="2"/>
    </row>
    <row r="800" spans="1:13">
      <c r="A800" t="s">
        <v>28</v>
      </c>
      <c r="B800">
        <f ca="1">IF(OR(changes[[#This Row],[Type]]="Checklist",changes[[#This Row],[Type]]="checklist-flat"),1+IF(changes[[#This Row],[Type of change]] = "Edit",COUNTIFS($I$4:changes[[#This Row],[Name]],changes[[#This Row],[Name]], $E$4:changes[[#This Row],[Type of change]], "Edit")),B799)</f>
        <v>1</v>
      </c>
      <c r="C800" s="16">
        <v>44635</v>
      </c>
      <c r="D800" s="1" t="s">
        <v>2427</v>
      </c>
      <c r="E800" t="s">
        <v>2396</v>
      </c>
      <c r="F800" s="10" t="s">
        <v>9</v>
      </c>
      <c r="G800" s="30" t="s">
        <v>2543</v>
      </c>
      <c r="H800" s="30" t="s">
        <v>64</v>
      </c>
      <c r="I800" s="30" t="s">
        <v>1142</v>
      </c>
      <c r="K800" s="2"/>
      <c r="M800" s="2"/>
    </row>
    <row r="801" spans="1:13">
      <c r="A801" t="s">
        <v>28</v>
      </c>
      <c r="B801">
        <f ca="1">IF(OR(changes[[#This Row],[Type]]="Checklist",changes[[#This Row],[Type]]="checklist-flat"),1+IF(changes[[#This Row],[Type of change]] = "Edit",COUNTIFS($I$4:changes[[#This Row],[Name]],changes[[#This Row],[Name]], $E$4:changes[[#This Row],[Type of change]], "Edit")),B800)</f>
        <v>1</v>
      </c>
      <c r="C801" s="16">
        <v>44635</v>
      </c>
      <c r="D801" s="1" t="s">
        <v>2427</v>
      </c>
      <c r="E801" t="s">
        <v>2396</v>
      </c>
      <c r="F801" s="10" t="s">
        <v>9</v>
      </c>
      <c r="G801" s="30" t="s">
        <v>2543</v>
      </c>
      <c r="H801" s="30" t="s">
        <v>479</v>
      </c>
      <c r="I801" s="30" t="s">
        <v>2544</v>
      </c>
      <c r="K801" s="2"/>
      <c r="M801" s="2"/>
    </row>
    <row r="802" spans="1:13">
      <c r="A802" t="s">
        <v>28</v>
      </c>
      <c r="B802">
        <f ca="1">IF(OR(changes[[#This Row],[Type]]="Checklist",changes[[#This Row],[Type]]="checklist-flat"),1+IF(changes[[#This Row],[Type of change]] = "Edit",COUNTIFS($I$4:changes[[#This Row],[Name]],changes[[#This Row],[Name]], $E$4:changes[[#This Row],[Type of change]], "Edit")),B801)</f>
        <v>1</v>
      </c>
      <c r="C802" s="16">
        <v>44635</v>
      </c>
      <c r="D802" s="1" t="s">
        <v>2427</v>
      </c>
      <c r="E802" t="s">
        <v>2396</v>
      </c>
      <c r="F802" s="10" t="s">
        <v>9</v>
      </c>
      <c r="G802" s="30" t="s">
        <v>2543</v>
      </c>
      <c r="H802" s="30" t="s">
        <v>269</v>
      </c>
      <c r="I802" s="30" t="s">
        <v>2545</v>
      </c>
      <c r="K802" s="2"/>
      <c r="M802" s="2"/>
    </row>
    <row r="803" spans="1:13">
      <c r="A803" t="s">
        <v>28</v>
      </c>
      <c r="B803">
        <f ca="1">IF(OR(changes[[#This Row],[Type]]="Checklist",changes[[#This Row],[Type]]="checklist-flat"),1+IF(changes[[#This Row],[Type of change]] = "Edit",COUNTIFS($I$4:changes[[#This Row],[Name]],changes[[#This Row],[Name]], $E$4:changes[[#This Row],[Type of change]], "Edit")),B802)</f>
        <v>1</v>
      </c>
      <c r="C803" s="16">
        <v>44635</v>
      </c>
      <c r="D803" s="1" t="s">
        <v>2427</v>
      </c>
      <c r="E803" t="s">
        <v>2396</v>
      </c>
      <c r="F803" s="10" t="s">
        <v>9</v>
      </c>
      <c r="G803" s="30" t="s">
        <v>2543</v>
      </c>
      <c r="H803" s="30" t="s">
        <v>269</v>
      </c>
      <c r="I803" s="30" t="s">
        <v>2546</v>
      </c>
      <c r="K803" s="2"/>
      <c r="M803" s="2"/>
    </row>
    <row r="804" spans="1:13">
      <c r="A804" t="s">
        <v>28</v>
      </c>
      <c r="B804">
        <f ca="1">IF(OR(changes[[#This Row],[Type]]="Checklist",changes[[#This Row],[Type]]="checklist-flat"),1+IF(changes[[#This Row],[Type of change]] = "Edit",COUNTIFS($I$4:changes[[#This Row],[Name]],changes[[#This Row],[Name]], $E$4:changes[[#This Row],[Type of change]], "Edit")),B803)</f>
        <v>1</v>
      </c>
      <c r="C804" s="16">
        <v>44635</v>
      </c>
      <c r="D804" s="1" t="s">
        <v>2427</v>
      </c>
      <c r="E804" t="s">
        <v>2396</v>
      </c>
      <c r="F804" s="10" t="s">
        <v>9</v>
      </c>
      <c r="G804" s="30" t="s">
        <v>2543</v>
      </c>
      <c r="H804" s="30" t="s">
        <v>269</v>
      </c>
      <c r="I804" s="30" t="s">
        <v>2547</v>
      </c>
      <c r="K804" s="2"/>
      <c r="M804" s="2"/>
    </row>
    <row r="805" spans="1:13">
      <c r="A805" t="s">
        <v>28</v>
      </c>
      <c r="B805">
        <f ca="1">IF(OR(changes[[#This Row],[Type]]="Checklist",changes[[#This Row],[Type]]="checklist-flat"),1+IF(changes[[#This Row],[Type of change]] = "Edit",COUNTIFS($I$4:changes[[#This Row],[Name]],changes[[#This Row],[Name]], $E$4:changes[[#This Row],[Type of change]], "Edit")),B804)</f>
        <v>1</v>
      </c>
      <c r="C805" s="16">
        <v>44635</v>
      </c>
      <c r="D805" s="1" t="s">
        <v>2427</v>
      </c>
      <c r="E805" t="s">
        <v>2396</v>
      </c>
      <c r="F805" s="10" t="s">
        <v>9</v>
      </c>
      <c r="G805" s="30" t="s">
        <v>2543</v>
      </c>
      <c r="H805" s="30" t="s">
        <v>269</v>
      </c>
      <c r="I805" s="30" t="s">
        <v>2548</v>
      </c>
      <c r="K805" s="2"/>
      <c r="M805" s="2"/>
    </row>
    <row r="806" spans="1:13">
      <c r="A806" t="s">
        <v>28</v>
      </c>
      <c r="B806">
        <f ca="1">IF(OR(changes[[#This Row],[Type]]="Checklist",changes[[#This Row],[Type]]="checklist-flat"),1+IF(changes[[#This Row],[Type of change]] = "Edit",COUNTIFS($I$4:changes[[#This Row],[Name]],changes[[#This Row],[Name]], $E$4:changes[[#This Row],[Type of change]], "Edit")),B805)</f>
        <v>1</v>
      </c>
      <c r="C806" s="16">
        <v>44635</v>
      </c>
      <c r="D806" s="1" t="s">
        <v>2427</v>
      </c>
      <c r="E806" t="s">
        <v>2396</v>
      </c>
      <c r="F806" s="10" t="s">
        <v>9</v>
      </c>
      <c r="G806" s="30" t="s">
        <v>2543</v>
      </c>
      <c r="H806" s="30" t="s">
        <v>269</v>
      </c>
      <c r="I806" s="30" t="s">
        <v>2549</v>
      </c>
      <c r="K806" s="2"/>
      <c r="M806" s="2"/>
    </row>
    <row r="807" spans="1:13">
      <c r="A807" t="s">
        <v>28</v>
      </c>
      <c r="B807">
        <f ca="1">IF(OR(changes[[#This Row],[Type]]="Checklist",changes[[#This Row],[Type]]="checklist-flat"),1+IF(changes[[#This Row],[Type of change]] = "Edit",COUNTIFS($I$4:changes[[#This Row],[Name]],changes[[#This Row],[Name]], $E$4:changes[[#This Row],[Type of change]], "Edit")),B806)</f>
        <v>1</v>
      </c>
      <c r="C807" s="16">
        <v>44635</v>
      </c>
      <c r="D807" s="1" t="s">
        <v>2427</v>
      </c>
      <c r="E807" t="s">
        <v>2396</v>
      </c>
      <c r="F807" s="10" t="s">
        <v>9</v>
      </c>
      <c r="G807" s="30" t="s">
        <v>2543</v>
      </c>
      <c r="H807" s="30" t="s">
        <v>269</v>
      </c>
      <c r="I807" s="30" t="s">
        <v>2550</v>
      </c>
      <c r="K807" s="2"/>
      <c r="M807" s="2"/>
    </row>
    <row r="808" spans="1:13">
      <c r="A808" t="s">
        <v>28</v>
      </c>
      <c r="B808">
        <f ca="1">IF(OR(changes[[#This Row],[Type]]="Checklist",changes[[#This Row],[Type]]="checklist-flat"),1+IF(changes[[#This Row],[Type of change]] = "Edit",COUNTIFS($I$4:changes[[#This Row],[Name]],changes[[#This Row],[Name]], $E$4:changes[[#This Row],[Type of change]], "Edit")),B807)</f>
        <v>1</v>
      </c>
      <c r="C808" s="16">
        <v>44635</v>
      </c>
      <c r="D808" s="1" t="s">
        <v>2427</v>
      </c>
      <c r="E808" t="s">
        <v>2396</v>
      </c>
      <c r="F808" s="10" t="s">
        <v>9</v>
      </c>
      <c r="G808" s="30" t="s">
        <v>2543</v>
      </c>
      <c r="H808" s="30" t="s">
        <v>269</v>
      </c>
      <c r="I808" s="30" t="s">
        <v>2551</v>
      </c>
      <c r="K808" s="2"/>
      <c r="M808" s="2"/>
    </row>
    <row r="809" spans="1:13">
      <c r="A809" t="s">
        <v>28</v>
      </c>
      <c r="B809">
        <f ca="1">IF(OR(changes[[#This Row],[Type]]="Checklist",changes[[#This Row],[Type]]="checklist-flat"),1+IF(changes[[#This Row],[Type of change]] = "Edit",COUNTIFS($I$4:changes[[#This Row],[Name]],changes[[#This Row],[Name]], $E$4:changes[[#This Row],[Type of change]], "Edit")),B808)</f>
        <v>1</v>
      </c>
      <c r="C809" s="16">
        <v>44635</v>
      </c>
      <c r="D809" s="1" t="s">
        <v>2427</v>
      </c>
      <c r="E809" t="s">
        <v>2396</v>
      </c>
      <c r="F809" s="10" t="s">
        <v>9</v>
      </c>
      <c r="G809" s="30" t="s">
        <v>2543</v>
      </c>
      <c r="H809" s="30" t="s">
        <v>269</v>
      </c>
      <c r="I809" s="30" t="s">
        <v>2552</v>
      </c>
      <c r="K809" s="2"/>
      <c r="M809" s="2"/>
    </row>
    <row r="810" spans="1:13">
      <c r="A810" t="s">
        <v>28</v>
      </c>
      <c r="B810">
        <f ca="1">IF(OR(changes[[#This Row],[Type]]="Checklist",changes[[#This Row],[Type]]="checklist-flat"),1+IF(changes[[#This Row],[Type of change]] = "Edit",COUNTIFS($I$4:changes[[#This Row],[Name]],changes[[#This Row],[Name]], $E$4:changes[[#This Row],[Type of change]], "Edit")),B809)</f>
        <v>1</v>
      </c>
      <c r="C810" s="16">
        <v>44635</v>
      </c>
      <c r="D810" s="1" t="s">
        <v>2427</v>
      </c>
      <c r="E810" t="s">
        <v>2396</v>
      </c>
      <c r="F810" s="10" t="s">
        <v>9</v>
      </c>
      <c r="G810" s="30" t="s">
        <v>2543</v>
      </c>
      <c r="H810" s="30" t="s">
        <v>269</v>
      </c>
      <c r="I810" s="30" t="s">
        <v>2553</v>
      </c>
      <c r="K810" s="2"/>
      <c r="M810" s="2"/>
    </row>
    <row r="811" spans="1:13">
      <c r="A811" t="s">
        <v>28</v>
      </c>
      <c r="B811">
        <f ca="1">IF(OR(changes[[#This Row],[Type]]="Checklist",changes[[#This Row],[Type]]="checklist-flat"),1+IF(changes[[#This Row],[Type of change]] = "Edit",COUNTIFS($I$4:changes[[#This Row],[Name]],changes[[#This Row],[Name]], $E$4:changes[[#This Row],[Type of change]], "Edit")),B810)</f>
        <v>1</v>
      </c>
      <c r="C811" s="16">
        <v>44635</v>
      </c>
      <c r="D811" s="1" t="s">
        <v>2427</v>
      </c>
      <c r="E811" t="s">
        <v>2396</v>
      </c>
      <c r="F811" s="10" t="s">
        <v>9</v>
      </c>
      <c r="G811" s="30" t="s">
        <v>2543</v>
      </c>
      <c r="H811" s="30" t="s">
        <v>269</v>
      </c>
      <c r="I811" s="30" t="s">
        <v>2554</v>
      </c>
      <c r="K811" s="2"/>
      <c r="M811" s="2"/>
    </row>
    <row r="812" spans="1:13">
      <c r="A812" t="s">
        <v>28</v>
      </c>
      <c r="B812">
        <f ca="1">IF(OR(changes[[#This Row],[Type]]="Checklist",changes[[#This Row],[Type]]="checklist-flat"),1+IF(changes[[#This Row],[Type of change]] = "Edit",COUNTIFS($I$4:changes[[#This Row],[Name]],changes[[#This Row],[Name]], $E$4:changes[[#This Row],[Type of change]], "Edit")),B811)</f>
        <v>1</v>
      </c>
      <c r="C812" s="16">
        <v>44635</v>
      </c>
      <c r="D812" s="1" t="s">
        <v>2427</v>
      </c>
      <c r="E812" t="s">
        <v>2396</v>
      </c>
      <c r="F812" s="10" t="s">
        <v>9</v>
      </c>
      <c r="G812" s="30" t="s">
        <v>2543</v>
      </c>
      <c r="H812" s="30" t="s">
        <v>269</v>
      </c>
      <c r="I812" s="30" t="s">
        <v>2555</v>
      </c>
      <c r="K812" s="2"/>
      <c r="M812" s="2"/>
    </row>
    <row r="813" spans="1:13">
      <c r="A813" t="s">
        <v>28</v>
      </c>
      <c r="B813">
        <f ca="1">IF(OR(changes[[#This Row],[Type]]="Checklist",changes[[#This Row],[Type]]="checklist-flat"),1+IF(changes[[#This Row],[Type of change]] = "Edit",COUNTIFS($I$4:changes[[#This Row],[Name]],changes[[#This Row],[Name]], $E$4:changes[[#This Row],[Type of change]], "Edit")),B812)</f>
        <v>1</v>
      </c>
      <c r="C813" s="16">
        <v>44635</v>
      </c>
      <c r="D813" s="1" t="s">
        <v>2427</v>
      </c>
      <c r="E813" t="s">
        <v>2396</v>
      </c>
      <c r="F813" s="10" t="s">
        <v>9</v>
      </c>
      <c r="G813" s="30" t="s">
        <v>2543</v>
      </c>
      <c r="H813" s="30" t="s">
        <v>269</v>
      </c>
      <c r="I813" s="30" t="s">
        <v>2556</v>
      </c>
      <c r="K813" s="2"/>
      <c r="M813" s="2"/>
    </row>
    <row r="814" spans="1:13">
      <c r="A814" t="s">
        <v>28</v>
      </c>
      <c r="B814">
        <f ca="1">IF(OR(changes[[#This Row],[Type]]="Checklist",changes[[#This Row],[Type]]="checklist-flat"),1+IF(changes[[#This Row],[Type of change]] = "Edit",COUNTIFS($I$4:changes[[#This Row],[Name]],changes[[#This Row],[Name]], $E$4:changes[[#This Row],[Type of change]], "Edit")),B813)</f>
        <v>1</v>
      </c>
      <c r="C814" s="16">
        <v>44635</v>
      </c>
      <c r="D814" s="1" t="s">
        <v>2427</v>
      </c>
      <c r="E814" t="s">
        <v>2396</v>
      </c>
      <c r="F814" s="10" t="s">
        <v>9</v>
      </c>
      <c r="G814" s="30" t="s">
        <v>2543</v>
      </c>
      <c r="H814" s="30" t="s">
        <v>269</v>
      </c>
      <c r="I814" s="30" t="s">
        <v>2557</v>
      </c>
      <c r="K814" s="2"/>
      <c r="M814" s="2"/>
    </row>
    <row r="815" spans="1:13">
      <c r="A815" t="s">
        <v>28</v>
      </c>
      <c r="B815">
        <f ca="1">IF(OR(changes[[#This Row],[Type]]="Checklist",changes[[#This Row],[Type]]="checklist-flat"),1+IF(changes[[#This Row],[Type of change]] = "Edit",COUNTIFS($I$4:changes[[#This Row],[Name]],changes[[#This Row],[Name]], $E$4:changes[[#This Row],[Type of change]], "Edit")),B814)</f>
        <v>1</v>
      </c>
      <c r="C815" s="16">
        <v>44635</v>
      </c>
      <c r="D815" s="1" t="s">
        <v>2427</v>
      </c>
      <c r="E815" t="s">
        <v>2396</v>
      </c>
      <c r="F815" s="10" t="s">
        <v>9</v>
      </c>
      <c r="G815" s="30" t="s">
        <v>2543</v>
      </c>
      <c r="H815" s="30" t="s">
        <v>269</v>
      </c>
      <c r="I815" s="30" t="s">
        <v>1204</v>
      </c>
      <c r="K815" s="2"/>
      <c r="M815" s="2"/>
    </row>
    <row r="816" spans="1:13">
      <c r="A816" t="s">
        <v>28</v>
      </c>
      <c r="B816">
        <f ca="1">IF(OR(changes[[#This Row],[Type]]="Checklist",changes[[#This Row],[Type]]="checklist-flat"),1+IF(changes[[#This Row],[Type of change]] = "Edit",COUNTIFS($I$4:changes[[#This Row],[Name]],changes[[#This Row],[Name]], $E$4:changes[[#This Row],[Type of change]], "Edit")),B815)</f>
        <v>1</v>
      </c>
      <c r="C816" s="16">
        <v>44635</v>
      </c>
      <c r="D816" s="1" t="s">
        <v>2427</v>
      </c>
      <c r="E816" t="s">
        <v>2396</v>
      </c>
      <c r="F816" s="10" t="s">
        <v>9</v>
      </c>
      <c r="G816" s="30" t="s">
        <v>2543</v>
      </c>
      <c r="H816" s="30" t="s">
        <v>269</v>
      </c>
      <c r="I816" s="30" t="s">
        <v>1205</v>
      </c>
      <c r="K816" s="2"/>
      <c r="M816" s="2"/>
    </row>
    <row r="817" spans="1:13">
      <c r="A817" t="s">
        <v>28</v>
      </c>
      <c r="B817">
        <f ca="1">IF(OR(changes[[#This Row],[Type]]="Checklist",changes[[#This Row],[Type]]="checklist-flat"),1+IF(changes[[#This Row],[Type of change]] = "Edit",COUNTIFS($I$4:changes[[#This Row],[Name]],changes[[#This Row],[Name]], $E$4:changes[[#This Row],[Type of change]], "Edit")),B816)</f>
        <v>1</v>
      </c>
      <c r="C817" s="16">
        <v>44635</v>
      </c>
      <c r="D817" s="1" t="s">
        <v>2427</v>
      </c>
      <c r="E817" t="s">
        <v>2396</v>
      </c>
      <c r="F817" s="10" t="s">
        <v>9</v>
      </c>
      <c r="G817" s="30" t="s">
        <v>2543</v>
      </c>
      <c r="H817" s="30" t="s">
        <v>64</v>
      </c>
      <c r="I817" s="30" t="s">
        <v>1142</v>
      </c>
      <c r="K817" s="2"/>
      <c r="M817" s="2"/>
    </row>
    <row r="818" spans="1:13">
      <c r="A818" t="s">
        <v>28</v>
      </c>
      <c r="B818">
        <f ca="1">IF(OR(changes[[#This Row],[Type]]="Checklist",changes[[#This Row],[Type]]="checklist-flat"),1+IF(changes[[#This Row],[Type of change]] = "Edit",COUNTIFS($I$4:changes[[#This Row],[Name]],changes[[#This Row],[Name]], $E$4:changes[[#This Row],[Type of change]], "Edit")),B817)</f>
        <v>1</v>
      </c>
      <c r="C818" s="16">
        <v>44635</v>
      </c>
      <c r="D818" s="1" t="s">
        <v>2427</v>
      </c>
      <c r="E818" t="s">
        <v>2396</v>
      </c>
      <c r="F818" s="10" t="s">
        <v>9</v>
      </c>
      <c r="G818" s="30" t="s">
        <v>2558</v>
      </c>
      <c r="H818" s="30" t="s">
        <v>478</v>
      </c>
      <c r="I818" s="30" t="s">
        <v>2558</v>
      </c>
      <c r="K818" s="2"/>
      <c r="M818" s="2"/>
    </row>
    <row r="819" spans="1:13">
      <c r="A819" t="s">
        <v>28</v>
      </c>
      <c r="B819">
        <f ca="1">IF(OR(changes[[#This Row],[Type]]="Checklist",changes[[#This Row],[Type]]="checklist-flat"),1+IF(changes[[#This Row],[Type of change]] = "Edit",COUNTIFS($I$4:changes[[#This Row],[Name]],changes[[#This Row],[Name]], $E$4:changes[[#This Row],[Type of change]], "Edit")),B818)</f>
        <v>1</v>
      </c>
      <c r="C819" s="16">
        <v>44635</v>
      </c>
      <c r="D819" s="1" t="s">
        <v>2427</v>
      </c>
      <c r="E819" t="s">
        <v>2396</v>
      </c>
      <c r="F819" s="10" t="s">
        <v>9</v>
      </c>
      <c r="G819" s="30" t="s">
        <v>2558</v>
      </c>
      <c r="H819" s="30" t="s">
        <v>479</v>
      </c>
      <c r="I819" s="30" t="s">
        <v>1176</v>
      </c>
      <c r="K819" s="2"/>
      <c r="M819" s="2"/>
    </row>
    <row r="820" spans="1:13">
      <c r="A820" t="s">
        <v>28</v>
      </c>
      <c r="B820">
        <f ca="1">IF(OR(changes[[#This Row],[Type]]="Checklist",changes[[#This Row],[Type]]="checklist-flat"),1+IF(changes[[#This Row],[Type of change]] = "Edit",COUNTIFS($I$4:changes[[#This Row],[Name]],changes[[#This Row],[Name]], $E$4:changes[[#This Row],[Type of change]], "Edit")),B819)</f>
        <v>1</v>
      </c>
      <c r="C820" s="16">
        <v>44635</v>
      </c>
      <c r="D820" s="1" t="s">
        <v>2427</v>
      </c>
      <c r="E820" t="s">
        <v>2396</v>
      </c>
      <c r="F820" s="10" t="s">
        <v>9</v>
      </c>
      <c r="G820" s="30" t="s">
        <v>2558</v>
      </c>
      <c r="H820" s="30" t="s">
        <v>55</v>
      </c>
      <c r="I820" s="30" t="s">
        <v>1177</v>
      </c>
      <c r="K820" s="2"/>
      <c r="M820" s="2"/>
    </row>
    <row r="821" spans="1:13">
      <c r="A821" t="s">
        <v>28</v>
      </c>
      <c r="B821">
        <f ca="1">IF(OR(changes[[#This Row],[Type]]="Checklist",changes[[#This Row],[Type]]="checklist-flat"),1+IF(changes[[#This Row],[Type of change]] = "Edit",COUNTIFS($I$4:changes[[#This Row],[Name]],changes[[#This Row],[Name]], $E$4:changes[[#This Row],[Type of change]], "Edit")),B820)</f>
        <v>1</v>
      </c>
      <c r="C821" s="16">
        <v>44635</v>
      </c>
      <c r="D821" s="1" t="s">
        <v>2427</v>
      </c>
      <c r="E821" t="s">
        <v>2396</v>
      </c>
      <c r="F821" s="10" t="s">
        <v>9</v>
      </c>
      <c r="G821" s="30" t="s">
        <v>2558</v>
      </c>
      <c r="H821" s="30" t="s">
        <v>55</v>
      </c>
      <c r="I821" s="30" t="s">
        <v>1178</v>
      </c>
      <c r="K821" s="2"/>
      <c r="M821" s="2"/>
    </row>
    <row r="822" spans="1:13">
      <c r="A822" t="s">
        <v>28</v>
      </c>
      <c r="B822">
        <f ca="1">IF(OR(changes[[#This Row],[Type]]="Checklist",changes[[#This Row],[Type]]="checklist-flat"),1+IF(changes[[#This Row],[Type of change]] = "Edit",COUNTIFS($I$4:changes[[#This Row],[Name]],changes[[#This Row],[Name]], $E$4:changes[[#This Row],[Type of change]], "Edit")),B821)</f>
        <v>1</v>
      </c>
      <c r="C822" s="16">
        <v>44635</v>
      </c>
      <c r="D822" s="1" t="s">
        <v>2427</v>
      </c>
      <c r="E822" t="s">
        <v>2396</v>
      </c>
      <c r="F822" s="10" t="s">
        <v>9</v>
      </c>
      <c r="G822" s="30" t="s">
        <v>2558</v>
      </c>
      <c r="H822" s="30" t="s">
        <v>269</v>
      </c>
      <c r="I822" s="30" t="s">
        <v>1179</v>
      </c>
      <c r="K822" s="2"/>
      <c r="M822" s="2"/>
    </row>
    <row r="823" spans="1:13">
      <c r="A823" t="s">
        <v>28</v>
      </c>
      <c r="B823">
        <f ca="1">IF(OR(changes[[#This Row],[Type]]="Checklist",changes[[#This Row],[Type]]="checklist-flat"),1+IF(changes[[#This Row],[Type of change]] = "Edit",COUNTIFS($I$4:changes[[#This Row],[Name]],changes[[#This Row],[Name]], $E$4:changes[[#This Row],[Type of change]], "Edit")),B822)</f>
        <v>1</v>
      </c>
      <c r="C823" s="16">
        <v>44635</v>
      </c>
      <c r="D823" s="1" t="s">
        <v>2427</v>
      </c>
      <c r="E823" t="s">
        <v>2396</v>
      </c>
      <c r="F823" s="10" t="s">
        <v>9</v>
      </c>
      <c r="G823" s="30" t="s">
        <v>2558</v>
      </c>
      <c r="H823" s="30" t="s">
        <v>479</v>
      </c>
      <c r="I823" s="30" t="s">
        <v>2476</v>
      </c>
      <c r="K823" s="2"/>
      <c r="M823" s="2"/>
    </row>
    <row r="824" spans="1:13">
      <c r="A824" t="s">
        <v>28</v>
      </c>
      <c r="B824">
        <f ca="1">IF(OR(changes[[#This Row],[Type]]="Checklist",changes[[#This Row],[Type]]="checklist-flat"),1+IF(changes[[#This Row],[Type of change]] = "Edit",COUNTIFS($I$4:changes[[#This Row],[Name]],changes[[#This Row],[Name]], $E$4:changes[[#This Row],[Type of change]], "Edit")),B823)</f>
        <v>1</v>
      </c>
      <c r="C824" s="16">
        <v>44635</v>
      </c>
      <c r="D824" s="1" t="s">
        <v>2427</v>
      </c>
      <c r="E824" t="s">
        <v>2396</v>
      </c>
      <c r="F824" s="10" t="s">
        <v>9</v>
      </c>
      <c r="G824" s="30" t="s">
        <v>2558</v>
      </c>
      <c r="H824" s="30" t="s">
        <v>269</v>
      </c>
      <c r="I824" s="30" t="s">
        <v>1180</v>
      </c>
      <c r="K824" s="2"/>
      <c r="M824" s="2"/>
    </row>
    <row r="825" spans="1:13">
      <c r="A825" t="s">
        <v>28</v>
      </c>
      <c r="B825">
        <f ca="1">IF(OR(changes[[#This Row],[Type]]="Checklist",changes[[#This Row],[Type]]="checklist-flat"),1+IF(changes[[#This Row],[Type of change]] = "Edit",COUNTIFS($I$4:changes[[#This Row],[Name]],changes[[#This Row],[Name]], $E$4:changes[[#This Row],[Type of change]], "Edit")),B824)</f>
        <v>1</v>
      </c>
      <c r="C825" s="16">
        <v>44635</v>
      </c>
      <c r="D825" s="1" t="s">
        <v>2427</v>
      </c>
      <c r="E825" t="s">
        <v>2396</v>
      </c>
      <c r="F825" s="10" t="s">
        <v>9</v>
      </c>
      <c r="G825" s="30" t="s">
        <v>2558</v>
      </c>
      <c r="H825" s="30" t="s">
        <v>269</v>
      </c>
      <c r="I825" s="30" t="s">
        <v>1181</v>
      </c>
      <c r="K825" s="2"/>
      <c r="M825" s="2"/>
    </row>
    <row r="826" spans="1:13">
      <c r="A826" t="s">
        <v>28</v>
      </c>
      <c r="B826">
        <f ca="1">IF(OR(changes[[#This Row],[Type]]="Checklist",changes[[#This Row],[Type]]="checklist-flat"),1+IF(changes[[#This Row],[Type of change]] = "Edit",COUNTIFS($I$4:changes[[#This Row],[Name]],changes[[#This Row],[Name]], $E$4:changes[[#This Row],[Type of change]], "Edit")),B825)</f>
        <v>1</v>
      </c>
      <c r="C826" s="16">
        <v>44635</v>
      </c>
      <c r="D826" s="1" t="s">
        <v>2427</v>
      </c>
      <c r="E826" t="s">
        <v>2396</v>
      </c>
      <c r="F826" s="10" t="s">
        <v>9</v>
      </c>
      <c r="G826" s="30" t="s">
        <v>2558</v>
      </c>
      <c r="H826" s="30" t="s">
        <v>269</v>
      </c>
      <c r="I826" s="30" t="s">
        <v>1182</v>
      </c>
      <c r="K826" s="2"/>
      <c r="M826" s="2"/>
    </row>
    <row r="827" spans="1:13">
      <c r="A827" t="s">
        <v>28</v>
      </c>
      <c r="B827">
        <f ca="1">IF(OR(changes[[#This Row],[Type]]="Checklist",changes[[#This Row],[Type]]="checklist-flat"),1+IF(changes[[#This Row],[Type of change]] = "Edit",COUNTIFS($I$4:changes[[#This Row],[Name]],changes[[#This Row],[Name]], $E$4:changes[[#This Row],[Type of change]], "Edit")),B826)</f>
        <v>1</v>
      </c>
      <c r="C827" s="16">
        <v>44635</v>
      </c>
      <c r="D827" s="1" t="s">
        <v>2427</v>
      </c>
      <c r="E827" t="s">
        <v>2396</v>
      </c>
      <c r="F827" s="10" t="s">
        <v>9</v>
      </c>
      <c r="G827" s="30" t="s">
        <v>2558</v>
      </c>
      <c r="H827" s="30" t="s">
        <v>269</v>
      </c>
      <c r="I827" s="30" t="s">
        <v>1183</v>
      </c>
      <c r="K827" s="2"/>
      <c r="M827" s="2"/>
    </row>
    <row r="828" spans="1:13">
      <c r="A828" t="s">
        <v>28</v>
      </c>
      <c r="B828">
        <f ca="1">IF(OR(changes[[#This Row],[Type]]="Checklist",changes[[#This Row],[Type]]="checklist-flat"),1+IF(changes[[#This Row],[Type of change]] = "Edit",COUNTIFS($I$4:changes[[#This Row],[Name]],changes[[#This Row],[Name]], $E$4:changes[[#This Row],[Type of change]], "Edit")),B827)</f>
        <v>1</v>
      </c>
      <c r="C828" s="16">
        <v>44635</v>
      </c>
      <c r="D828" s="1" t="s">
        <v>2427</v>
      </c>
      <c r="E828" t="s">
        <v>2396</v>
      </c>
      <c r="F828" s="10" t="s">
        <v>9</v>
      </c>
      <c r="G828" s="30" t="s">
        <v>2558</v>
      </c>
      <c r="H828" s="30" t="s">
        <v>269</v>
      </c>
      <c r="I828" s="30" t="s">
        <v>2477</v>
      </c>
      <c r="K828" s="2"/>
      <c r="M828" s="2"/>
    </row>
    <row r="829" spans="1:13">
      <c r="A829" t="s">
        <v>28</v>
      </c>
      <c r="B829">
        <f ca="1">IF(OR(changes[[#This Row],[Type]]="Checklist",changes[[#This Row],[Type]]="checklist-flat"),1+IF(changes[[#This Row],[Type of change]] = "Edit",COUNTIFS($I$4:changes[[#This Row],[Name]],changes[[#This Row],[Name]], $E$4:changes[[#This Row],[Type of change]], "Edit")),B828)</f>
        <v>1</v>
      </c>
      <c r="C829" s="16">
        <v>44635</v>
      </c>
      <c r="D829" s="1" t="s">
        <v>2427</v>
      </c>
      <c r="E829" t="s">
        <v>2396</v>
      </c>
      <c r="F829" s="10" t="s">
        <v>9</v>
      </c>
      <c r="G829" s="30" t="s">
        <v>2558</v>
      </c>
      <c r="H829" s="30" t="s">
        <v>269</v>
      </c>
      <c r="I829" s="30" t="s">
        <v>2478</v>
      </c>
      <c r="K829" s="2"/>
      <c r="M829" s="2"/>
    </row>
    <row r="830" spans="1:13">
      <c r="A830" t="s">
        <v>28</v>
      </c>
      <c r="B830">
        <f ca="1">IF(OR(changes[[#This Row],[Type]]="Checklist",changes[[#This Row],[Type]]="checklist-flat"),1+IF(changes[[#This Row],[Type of change]] = "Edit",COUNTIFS($I$4:changes[[#This Row],[Name]],changes[[#This Row],[Name]], $E$4:changes[[#This Row],[Type of change]], "Edit")),B829)</f>
        <v>1</v>
      </c>
      <c r="C830" s="16">
        <v>44635</v>
      </c>
      <c r="D830" s="1" t="s">
        <v>2427</v>
      </c>
      <c r="E830" t="s">
        <v>2396</v>
      </c>
      <c r="F830" s="10" t="s">
        <v>9</v>
      </c>
      <c r="G830" s="30" t="s">
        <v>2558</v>
      </c>
      <c r="H830" s="30" t="s">
        <v>269</v>
      </c>
      <c r="I830" s="30" t="s">
        <v>1200</v>
      </c>
      <c r="K830" s="2"/>
      <c r="M830" s="2"/>
    </row>
    <row r="831" spans="1:13">
      <c r="A831" t="s">
        <v>28</v>
      </c>
      <c r="B831">
        <f ca="1">IF(OR(changes[[#This Row],[Type]]="Checklist",changes[[#This Row],[Type]]="checklist-flat"),1+IF(changes[[#This Row],[Type of change]] = "Edit",COUNTIFS($I$4:changes[[#This Row],[Name]],changes[[#This Row],[Name]], $E$4:changes[[#This Row],[Type of change]], "Edit")),B830)</f>
        <v>1</v>
      </c>
      <c r="C831" s="16">
        <v>44635</v>
      </c>
      <c r="D831" s="1" t="s">
        <v>2427</v>
      </c>
      <c r="E831" t="s">
        <v>2396</v>
      </c>
      <c r="F831" s="10" t="s">
        <v>9</v>
      </c>
      <c r="G831" s="30" t="s">
        <v>2558</v>
      </c>
      <c r="H831" s="30" t="s">
        <v>269</v>
      </c>
      <c r="I831" s="30" t="s">
        <v>2479</v>
      </c>
      <c r="K831" s="2"/>
      <c r="M831" s="2"/>
    </row>
    <row r="832" spans="1:13">
      <c r="A832" t="s">
        <v>28</v>
      </c>
      <c r="B832">
        <f ca="1">IF(OR(changes[[#This Row],[Type]]="Checklist",changes[[#This Row],[Type]]="checklist-flat"),1+IF(changes[[#This Row],[Type of change]] = "Edit",COUNTIFS($I$4:changes[[#This Row],[Name]],changes[[#This Row],[Name]], $E$4:changes[[#This Row],[Type of change]], "Edit")),B831)</f>
        <v>1</v>
      </c>
      <c r="C832" s="16">
        <v>44635</v>
      </c>
      <c r="D832" s="1" t="s">
        <v>2427</v>
      </c>
      <c r="E832" t="s">
        <v>2396</v>
      </c>
      <c r="F832" s="10" t="s">
        <v>9</v>
      </c>
      <c r="G832" s="30" t="s">
        <v>2558</v>
      </c>
      <c r="H832" s="30" t="s">
        <v>269</v>
      </c>
      <c r="I832" s="30" t="s">
        <v>1202</v>
      </c>
      <c r="K832" s="2"/>
      <c r="M832" s="2"/>
    </row>
    <row r="833" spans="1:13">
      <c r="A833" t="s">
        <v>28</v>
      </c>
      <c r="B833">
        <f ca="1">IF(OR(changes[[#This Row],[Type]]="Checklist",changes[[#This Row],[Type]]="checklist-flat"),1+IF(changes[[#This Row],[Type of change]] = "Edit",COUNTIFS($I$4:changes[[#This Row],[Name]],changes[[#This Row],[Name]], $E$4:changes[[#This Row],[Type of change]], "Edit")),B832)</f>
        <v>1</v>
      </c>
      <c r="C833" s="16">
        <v>44635</v>
      </c>
      <c r="D833" s="1" t="s">
        <v>2427</v>
      </c>
      <c r="E833" t="s">
        <v>2396</v>
      </c>
      <c r="F833" s="10" t="s">
        <v>9</v>
      </c>
      <c r="G833" s="30" t="s">
        <v>2558</v>
      </c>
      <c r="H833" s="30" t="s">
        <v>269</v>
      </c>
      <c r="I833" s="30" t="s">
        <v>2480</v>
      </c>
      <c r="K833" s="2"/>
      <c r="M833" s="2"/>
    </row>
    <row r="834" spans="1:13">
      <c r="A834" t="s">
        <v>28</v>
      </c>
      <c r="B834">
        <f ca="1">IF(OR(changes[[#This Row],[Type]]="Checklist",changes[[#This Row],[Type]]="checklist-flat"),1+IF(changes[[#This Row],[Type of change]] = "Edit",COUNTIFS($I$4:changes[[#This Row],[Name]],changes[[#This Row],[Name]], $E$4:changes[[#This Row],[Type of change]], "Edit")),B833)</f>
        <v>1</v>
      </c>
      <c r="C834" s="16">
        <v>44635</v>
      </c>
      <c r="D834" s="1" t="s">
        <v>2427</v>
      </c>
      <c r="E834" t="s">
        <v>2396</v>
      </c>
      <c r="F834" s="10" t="s">
        <v>9</v>
      </c>
      <c r="G834" s="30" t="s">
        <v>2558</v>
      </c>
      <c r="H834" s="30" t="s">
        <v>269</v>
      </c>
      <c r="I834" s="30" t="s">
        <v>1204</v>
      </c>
      <c r="K834" s="2"/>
      <c r="M834" s="2"/>
    </row>
    <row r="835" spans="1:13">
      <c r="A835" t="s">
        <v>28</v>
      </c>
      <c r="B835">
        <f ca="1">IF(OR(changes[[#This Row],[Type]]="Checklist",changes[[#This Row],[Type]]="checklist-flat"),1+IF(changes[[#This Row],[Type of change]] = "Edit",COUNTIFS($I$4:changes[[#This Row],[Name]],changes[[#This Row],[Name]], $E$4:changes[[#This Row],[Type of change]], "Edit")),B834)</f>
        <v>1</v>
      </c>
      <c r="C835" s="16">
        <v>44635</v>
      </c>
      <c r="D835" s="1" t="s">
        <v>2427</v>
      </c>
      <c r="E835" t="s">
        <v>2396</v>
      </c>
      <c r="F835" s="10" t="s">
        <v>9</v>
      </c>
      <c r="G835" s="30" t="s">
        <v>2558</v>
      </c>
      <c r="H835" s="30" t="s">
        <v>269</v>
      </c>
      <c r="I835" s="30" t="s">
        <v>1205</v>
      </c>
      <c r="K835" s="2"/>
      <c r="M835" s="2"/>
    </row>
    <row r="836" spans="1:13">
      <c r="A836" t="s">
        <v>28</v>
      </c>
      <c r="B836">
        <f ca="1">IF(OR(changes[[#This Row],[Type]]="Checklist",changes[[#This Row],[Type]]="checklist-flat"),1+IF(changes[[#This Row],[Type of change]] = "Edit",COUNTIFS($I$4:changes[[#This Row],[Name]],changes[[#This Row],[Name]], $E$4:changes[[#This Row],[Type of change]], "Edit")),B835)</f>
        <v>1</v>
      </c>
      <c r="C836" s="16">
        <v>44635</v>
      </c>
      <c r="D836" s="1" t="s">
        <v>2427</v>
      </c>
      <c r="E836" t="s">
        <v>2396</v>
      </c>
      <c r="F836" s="10" t="s">
        <v>9</v>
      </c>
      <c r="G836" s="30" t="s">
        <v>2558</v>
      </c>
      <c r="H836" s="30" t="s">
        <v>64</v>
      </c>
      <c r="I836" s="30" t="s">
        <v>1142</v>
      </c>
      <c r="K836" s="2"/>
      <c r="M836" s="2"/>
    </row>
    <row r="837" spans="1:13">
      <c r="A837" t="s">
        <v>11</v>
      </c>
      <c r="B837">
        <f ca="1">IF(OR(changes[[#This Row],[Type]]="Checklist",changes[[#This Row],[Type]]="checklist-flat"),1+IF(changes[[#This Row],[Type of change]] = "Edit",COUNTIFS($I$4:changes[[#This Row],[Name]],changes[[#This Row],[Name]], $E$4:changes[[#This Row],[Type of change]], "Edit")),B836)</f>
        <v>1</v>
      </c>
      <c r="C837" s="16">
        <v>44636</v>
      </c>
      <c r="D837" s="1" t="s">
        <v>2424</v>
      </c>
      <c r="E837" t="s">
        <v>2396</v>
      </c>
      <c r="F837" s="10" t="s">
        <v>9</v>
      </c>
      <c r="G837" s="10" t="s">
        <v>2559</v>
      </c>
      <c r="H837" t="s">
        <v>47</v>
      </c>
      <c r="I837" t="s">
        <v>2559</v>
      </c>
      <c r="K837" s="2"/>
      <c r="M837" s="2" t="s">
        <v>2560</v>
      </c>
    </row>
    <row r="838" spans="1:13">
      <c r="A838" t="s">
        <v>11</v>
      </c>
      <c r="B838">
        <f ca="1">IF(OR(changes[[#This Row],[Type]]="Checklist",changes[[#This Row],[Type]]="checklist-flat"),1+IF(changes[[#This Row],[Type of change]] = "Edit",COUNTIFS($I$4:changes[[#This Row],[Name]],changes[[#This Row],[Name]], $E$4:changes[[#This Row],[Type of change]], "Edit")),B837)</f>
        <v>1</v>
      </c>
      <c r="C838" s="16">
        <v>44636</v>
      </c>
      <c r="D838" s="1" t="s">
        <v>2424</v>
      </c>
      <c r="E838" t="s">
        <v>2396</v>
      </c>
      <c r="F838" s="10" t="s">
        <v>9</v>
      </c>
      <c r="G838" s="10" t="s">
        <v>2559</v>
      </c>
      <c r="H838" t="s">
        <v>55</v>
      </c>
      <c r="I838" t="s">
        <v>2561</v>
      </c>
      <c r="K838" s="2"/>
      <c r="M838" t="s">
        <v>2562</v>
      </c>
    </row>
    <row r="839" spans="1:13">
      <c r="A839" t="s">
        <v>11</v>
      </c>
      <c r="B839">
        <f ca="1">IF(OR(changes[[#This Row],[Type]]="Checklist",changes[[#This Row],[Type]]="checklist-flat"),1+IF(changes[[#This Row],[Type of change]] = "Edit",COUNTIFS($I$4:changes[[#This Row],[Name]],changes[[#This Row],[Name]], $E$4:changes[[#This Row],[Type of change]], "Edit")),B838)</f>
        <v>1</v>
      </c>
      <c r="C839" s="16">
        <v>44636</v>
      </c>
      <c r="D839" s="1" t="s">
        <v>2424</v>
      </c>
      <c r="E839" t="s">
        <v>2396</v>
      </c>
      <c r="F839" s="10" t="s">
        <v>9</v>
      </c>
      <c r="G839" s="10" t="s">
        <v>2559</v>
      </c>
      <c r="H839" t="s">
        <v>55</v>
      </c>
      <c r="I839" t="s">
        <v>2563</v>
      </c>
      <c r="K839" s="2"/>
      <c r="M839" t="s">
        <v>2564</v>
      </c>
    </row>
    <row r="840" spans="1:13">
      <c r="A840" t="s">
        <v>11</v>
      </c>
      <c r="B840">
        <f ca="1">IF(OR(changes[[#This Row],[Type]]="Checklist",changes[[#This Row],[Type]]="checklist-flat"),1+IF(changes[[#This Row],[Type of change]] = "Edit",COUNTIFS($I$4:changes[[#This Row],[Name]],changes[[#This Row],[Name]], $E$4:changes[[#This Row],[Type of change]], "Edit")),B839)</f>
        <v>1</v>
      </c>
      <c r="C840" s="16">
        <v>44636</v>
      </c>
      <c r="D840" s="1" t="s">
        <v>2424</v>
      </c>
      <c r="E840" t="s">
        <v>2396</v>
      </c>
      <c r="F840" s="10" t="s">
        <v>9</v>
      </c>
      <c r="G840" s="10" t="s">
        <v>2559</v>
      </c>
      <c r="H840" t="s">
        <v>55</v>
      </c>
      <c r="I840" t="s">
        <v>2565</v>
      </c>
      <c r="K840" s="2"/>
      <c r="M840" t="s">
        <v>2564</v>
      </c>
    </row>
    <row r="841" spans="1:13">
      <c r="A841" t="s">
        <v>11</v>
      </c>
      <c r="B841">
        <f ca="1">IF(OR(changes[[#This Row],[Type]]="Checklist",changes[[#This Row],[Type]]="checklist-flat"),1+IF(changes[[#This Row],[Type of change]] = "Edit",COUNTIFS($I$4:changes[[#This Row],[Name]],changes[[#This Row],[Name]], $E$4:changes[[#This Row],[Type of change]], "Edit")),B840)</f>
        <v>1</v>
      </c>
      <c r="C841" s="16">
        <v>44636</v>
      </c>
      <c r="D841" s="1" t="s">
        <v>2427</v>
      </c>
      <c r="E841" t="s">
        <v>2396</v>
      </c>
      <c r="F841" s="10" t="s">
        <v>9</v>
      </c>
      <c r="G841" t="s">
        <v>2566</v>
      </c>
      <c r="H841" t="s">
        <v>478</v>
      </c>
      <c r="I841" t="s">
        <v>2566</v>
      </c>
      <c r="K841" s="2"/>
      <c r="M841" s="2" t="s">
        <v>2567</v>
      </c>
    </row>
    <row r="842" spans="1:13">
      <c r="A842" t="s">
        <v>11</v>
      </c>
      <c r="B842">
        <f ca="1">IF(OR(changes[[#This Row],[Type]]="Checklist",changes[[#This Row],[Type]]="checklist-flat"),1+IF(changes[[#This Row],[Type of change]] = "Edit",COUNTIFS($I$4:changes[[#This Row],[Name]],changes[[#This Row],[Name]], $E$4:changes[[#This Row],[Type of change]], "Edit")),B841)</f>
        <v>1</v>
      </c>
      <c r="C842" s="16">
        <v>44636</v>
      </c>
      <c r="D842" s="1" t="s">
        <v>2427</v>
      </c>
      <c r="E842" t="s">
        <v>2396</v>
      </c>
      <c r="F842" s="10" t="s">
        <v>9</v>
      </c>
      <c r="G842" t="s">
        <v>2566</v>
      </c>
      <c r="H842" t="s">
        <v>479</v>
      </c>
      <c r="I842" t="s">
        <v>2568</v>
      </c>
      <c r="K842" s="2"/>
      <c r="M842" s="2"/>
    </row>
    <row r="843" spans="1:13">
      <c r="A843" t="s">
        <v>11</v>
      </c>
      <c r="B843">
        <f ca="1">IF(OR(changes[[#This Row],[Type]]="Checklist",changes[[#This Row],[Type]]="checklist-flat"),1+IF(changes[[#This Row],[Type of change]] = "Edit",COUNTIFS($I$4:changes[[#This Row],[Name]],changes[[#This Row],[Name]], $E$4:changes[[#This Row],[Type of change]], "Edit")),B842)</f>
        <v>1</v>
      </c>
      <c r="C843" s="16">
        <v>44636</v>
      </c>
      <c r="D843" s="1" t="s">
        <v>2427</v>
      </c>
      <c r="E843" t="s">
        <v>2396</v>
      </c>
      <c r="F843" s="10" t="s">
        <v>9</v>
      </c>
      <c r="G843" t="s">
        <v>2566</v>
      </c>
      <c r="H843" t="s">
        <v>2569</v>
      </c>
      <c r="I843" t="s">
        <v>2570</v>
      </c>
      <c r="K843" s="2"/>
      <c r="M843" s="2"/>
    </row>
    <row r="844" spans="1:13">
      <c r="A844" t="s">
        <v>11</v>
      </c>
      <c r="B844">
        <f ca="1">IF(OR(changes[[#This Row],[Type]]="Checklist",changes[[#This Row],[Type]]="checklist-flat"),1+IF(changes[[#This Row],[Type of change]] = "Edit",COUNTIFS($I$4:changes[[#This Row],[Name]],changes[[#This Row],[Name]], $E$4:changes[[#This Row],[Type of change]], "Edit")),B843)</f>
        <v>1</v>
      </c>
      <c r="C844" s="16">
        <v>44636</v>
      </c>
      <c r="D844" s="1" t="s">
        <v>2427</v>
      </c>
      <c r="E844" t="s">
        <v>2396</v>
      </c>
      <c r="F844" s="10" t="s">
        <v>9</v>
      </c>
      <c r="G844" t="s">
        <v>2566</v>
      </c>
      <c r="H844" t="s">
        <v>2569</v>
      </c>
      <c r="I844" t="s">
        <v>2571</v>
      </c>
      <c r="K844" s="2"/>
      <c r="M844" s="2"/>
    </row>
    <row r="845" spans="1:13">
      <c r="A845" t="s">
        <v>11</v>
      </c>
      <c r="B845">
        <f ca="1">IF(OR(changes[[#This Row],[Type]]="Checklist",changes[[#This Row],[Type]]="checklist-flat"),1+IF(changes[[#This Row],[Type of change]] = "Edit",COUNTIFS($I$4:changes[[#This Row],[Name]],changes[[#This Row],[Name]], $E$4:changes[[#This Row],[Type of change]], "Edit")),B844)</f>
        <v>1</v>
      </c>
      <c r="C845" s="16">
        <v>44636</v>
      </c>
      <c r="D845" s="1" t="s">
        <v>2427</v>
      </c>
      <c r="E845" t="s">
        <v>2396</v>
      </c>
      <c r="F845" s="10" t="s">
        <v>9</v>
      </c>
      <c r="G845" t="s">
        <v>2566</v>
      </c>
      <c r="H845" t="s">
        <v>2569</v>
      </c>
      <c r="I845" t="s">
        <v>2572</v>
      </c>
      <c r="K845" s="2"/>
      <c r="M845" s="2"/>
    </row>
    <row r="846" spans="1:13">
      <c r="A846" t="s">
        <v>11</v>
      </c>
      <c r="B846">
        <f ca="1">IF(OR(changes[[#This Row],[Type]]="Checklist",changes[[#This Row],[Type]]="checklist-flat"),1+IF(changes[[#This Row],[Type of change]] = "Edit",COUNTIFS($I$4:changes[[#This Row],[Name]],changes[[#This Row],[Name]], $E$4:changes[[#This Row],[Type of change]], "Edit")),B845)</f>
        <v>1</v>
      </c>
      <c r="C846" s="16">
        <v>44636</v>
      </c>
      <c r="D846" s="1" t="s">
        <v>2427</v>
      </c>
      <c r="E846" t="s">
        <v>2396</v>
      </c>
      <c r="F846" s="10" t="s">
        <v>9</v>
      </c>
      <c r="G846" t="s">
        <v>2566</v>
      </c>
      <c r="H846" s="38" t="s">
        <v>2569</v>
      </c>
      <c r="I846" t="s">
        <v>2573</v>
      </c>
      <c r="K846" s="2"/>
      <c r="M846" s="2"/>
    </row>
    <row r="847" spans="1:13">
      <c r="A847" t="s">
        <v>11</v>
      </c>
      <c r="B847">
        <f ca="1">IF(OR(changes[[#This Row],[Type]]="Checklist",changes[[#This Row],[Type]]="checklist-flat"),1+IF(changes[[#This Row],[Type of change]] = "Edit",COUNTIFS($I$4:changes[[#This Row],[Name]],changes[[#This Row],[Name]], $E$4:changes[[#This Row],[Type of change]], "Edit")),B846)</f>
        <v>1</v>
      </c>
      <c r="C847" s="16">
        <v>44636</v>
      </c>
      <c r="D847" s="1" t="s">
        <v>2427</v>
      </c>
      <c r="E847" t="s">
        <v>2396</v>
      </c>
      <c r="F847" s="10" t="s">
        <v>9</v>
      </c>
      <c r="G847" t="s">
        <v>2566</v>
      </c>
      <c r="H847" s="38" t="s">
        <v>64</v>
      </c>
      <c r="I847" t="s">
        <v>422</v>
      </c>
      <c r="K847" s="2"/>
      <c r="M847" s="2"/>
    </row>
    <row r="848" spans="1:13">
      <c r="A848" t="s">
        <v>11</v>
      </c>
      <c r="B848">
        <f ca="1">IF(OR(changes[[#This Row],[Type]]="Checklist",changes[[#This Row],[Type]]="checklist-flat"),1+IF(changes[[#This Row],[Type of change]] = "Edit",COUNTIFS($I$4:changes[[#This Row],[Name]],changes[[#This Row],[Name]], $E$4:changes[[#This Row],[Type of change]], "Edit")),B847)</f>
        <v>1</v>
      </c>
      <c r="C848" s="16">
        <v>44636</v>
      </c>
      <c r="D848" s="1" t="s">
        <v>2427</v>
      </c>
      <c r="E848" t="s">
        <v>2396</v>
      </c>
      <c r="F848" s="10" t="s">
        <v>9</v>
      </c>
      <c r="G848" t="s">
        <v>2566</v>
      </c>
      <c r="H848" t="s">
        <v>479</v>
      </c>
      <c r="I848" t="s">
        <v>2574</v>
      </c>
      <c r="K848" s="2"/>
      <c r="M848" s="2"/>
    </row>
    <row r="849" spans="1:13">
      <c r="A849" t="s">
        <v>11</v>
      </c>
      <c r="B849">
        <f ca="1">IF(OR(changes[[#This Row],[Type]]="Checklist",changes[[#This Row],[Type]]="checklist-flat"),1+IF(changes[[#This Row],[Type of change]] = "Edit",COUNTIFS($I$4:changes[[#This Row],[Name]],changes[[#This Row],[Name]], $E$4:changes[[#This Row],[Type of change]], "Edit")),B848)</f>
        <v>1</v>
      </c>
      <c r="C849" s="16">
        <v>44636</v>
      </c>
      <c r="D849" s="1" t="s">
        <v>2427</v>
      </c>
      <c r="E849" t="s">
        <v>2396</v>
      </c>
      <c r="F849" s="10" t="s">
        <v>9</v>
      </c>
      <c r="G849" t="s">
        <v>2566</v>
      </c>
      <c r="H849" t="s">
        <v>2569</v>
      </c>
      <c r="I849" t="s">
        <v>2575</v>
      </c>
      <c r="K849" s="2"/>
      <c r="M849" s="2"/>
    </row>
    <row r="850" spans="1:13">
      <c r="A850" t="s">
        <v>11</v>
      </c>
      <c r="B850">
        <f ca="1">IF(OR(changes[[#This Row],[Type]]="Checklist",changes[[#This Row],[Type]]="checklist-flat"),1+IF(changes[[#This Row],[Type of change]] = "Edit",COUNTIFS($I$4:changes[[#This Row],[Name]],changes[[#This Row],[Name]], $E$4:changes[[#This Row],[Type of change]], "Edit")),B849)</f>
        <v>1</v>
      </c>
      <c r="C850" s="16">
        <v>44636</v>
      </c>
      <c r="D850" s="1" t="s">
        <v>2427</v>
      </c>
      <c r="E850" t="s">
        <v>2396</v>
      </c>
      <c r="F850" s="10" t="s">
        <v>9</v>
      </c>
      <c r="G850" t="s">
        <v>2566</v>
      </c>
      <c r="H850" t="s">
        <v>2569</v>
      </c>
      <c r="I850" t="s">
        <v>2576</v>
      </c>
      <c r="K850" s="2"/>
      <c r="M850" s="2"/>
    </row>
    <row r="851" spans="1:13">
      <c r="A851" t="s">
        <v>11</v>
      </c>
      <c r="B851">
        <f ca="1">IF(OR(changes[[#This Row],[Type]]="Checklist",changes[[#This Row],[Type]]="checklist-flat"),1+IF(changes[[#This Row],[Type of change]] = "Edit",COUNTIFS($I$4:changes[[#This Row],[Name]],changes[[#This Row],[Name]], $E$4:changes[[#This Row],[Type of change]], "Edit")),B850)</f>
        <v>1</v>
      </c>
      <c r="C851" s="16">
        <v>44636</v>
      </c>
      <c r="D851" s="1" t="s">
        <v>2427</v>
      </c>
      <c r="E851" t="s">
        <v>2396</v>
      </c>
      <c r="F851" s="10" t="s">
        <v>9</v>
      </c>
      <c r="G851" t="s">
        <v>2566</v>
      </c>
      <c r="H851" t="s">
        <v>2569</v>
      </c>
      <c r="I851" t="s">
        <v>2577</v>
      </c>
      <c r="K851" s="2"/>
      <c r="M851" s="2"/>
    </row>
    <row r="852" spans="1:13">
      <c r="A852" t="s">
        <v>11</v>
      </c>
      <c r="B852">
        <f ca="1">IF(OR(changes[[#This Row],[Type]]="Checklist",changes[[#This Row],[Type]]="checklist-flat"),1+IF(changes[[#This Row],[Type of change]] = "Edit",COUNTIFS($I$4:changes[[#This Row],[Name]],changes[[#This Row],[Name]], $E$4:changes[[#This Row],[Type of change]], "Edit")),B851)</f>
        <v>1</v>
      </c>
      <c r="C852" s="16">
        <v>44636</v>
      </c>
      <c r="D852" s="1" t="s">
        <v>2427</v>
      </c>
      <c r="E852" t="s">
        <v>2396</v>
      </c>
      <c r="F852" s="10" t="s">
        <v>9</v>
      </c>
      <c r="G852" t="s">
        <v>2566</v>
      </c>
      <c r="H852" t="s">
        <v>2569</v>
      </c>
      <c r="I852" t="s">
        <v>2578</v>
      </c>
      <c r="K852" s="2"/>
      <c r="M852" s="2"/>
    </row>
    <row r="853" spans="1:13">
      <c r="A853" t="s">
        <v>11</v>
      </c>
      <c r="B853">
        <f ca="1">IF(OR(changes[[#This Row],[Type]]="Checklist",changes[[#This Row],[Type]]="checklist-flat"),1+IF(changes[[#This Row],[Type of change]] = "Edit",COUNTIFS($I$4:changes[[#This Row],[Name]],changes[[#This Row],[Name]], $E$4:changes[[#This Row],[Type of change]], "Edit")),B852)</f>
        <v>1</v>
      </c>
      <c r="C853" s="16">
        <v>44636</v>
      </c>
      <c r="D853" s="1" t="s">
        <v>2427</v>
      </c>
      <c r="E853" t="s">
        <v>2396</v>
      </c>
      <c r="F853" s="10" t="s">
        <v>9</v>
      </c>
      <c r="G853" t="s">
        <v>2566</v>
      </c>
      <c r="H853" t="s">
        <v>64</v>
      </c>
      <c r="I853" t="s">
        <v>422</v>
      </c>
      <c r="K853" s="2"/>
      <c r="M853" s="2"/>
    </row>
    <row r="854" spans="1:13">
      <c r="A854" t="s">
        <v>28</v>
      </c>
      <c r="B854">
        <f ca="1">IF(OR(changes[[#This Row],[Type]]="Checklist",changes[[#This Row],[Type]]="checklist-flat"),1+IF(changes[[#This Row],[Type of change]] = "Edit",COUNTIFS($I$4:changes[[#This Row],[Name]],changes[[#This Row],[Name]], $E$4:changes[[#This Row],[Type of change]], "Edit")),B853)</f>
        <v>1</v>
      </c>
      <c r="C854" s="16">
        <v>44636</v>
      </c>
      <c r="D854" s="1" t="s">
        <v>2579</v>
      </c>
      <c r="E854" t="s">
        <v>2396</v>
      </c>
      <c r="F854" s="10" t="s">
        <v>52</v>
      </c>
      <c r="G854" s="10" t="s">
        <v>901</v>
      </c>
      <c r="H854" t="s">
        <v>478</v>
      </c>
      <c r="I854" t="s">
        <v>901</v>
      </c>
      <c r="K854" s="2"/>
      <c r="M854" s="2"/>
    </row>
    <row r="855" spans="1:13">
      <c r="A855" t="s">
        <v>28</v>
      </c>
      <c r="B855">
        <f ca="1">IF(OR(changes[[#This Row],[Type]]="Checklist",changes[[#This Row],[Type]]="checklist-flat"),1+IF(changes[[#This Row],[Type of change]] = "Edit",COUNTIFS($I$4:changes[[#This Row],[Name]],changes[[#This Row],[Name]], $E$4:changes[[#This Row],[Type of change]], "Edit")),B854)</f>
        <v>1</v>
      </c>
      <c r="C855" s="16">
        <v>44636</v>
      </c>
      <c r="D855" s="1" t="s">
        <v>2579</v>
      </c>
      <c r="E855" t="s">
        <v>2396</v>
      </c>
      <c r="F855" s="10" t="s">
        <v>52</v>
      </c>
      <c r="G855" s="10" t="s">
        <v>901</v>
      </c>
      <c r="H855" t="s">
        <v>55</v>
      </c>
      <c r="I855" t="s">
        <v>2580</v>
      </c>
      <c r="K855" s="2"/>
      <c r="M855" s="2"/>
    </row>
    <row r="856" spans="1:13">
      <c r="A856" t="s">
        <v>28</v>
      </c>
      <c r="B856">
        <f ca="1">IF(OR(changes[[#This Row],[Type]]="Checklist",changes[[#This Row],[Type]]="checklist-flat"),1+IF(changes[[#This Row],[Type of change]] = "Edit",COUNTIFS($I$4:changes[[#This Row],[Name]],changes[[#This Row],[Name]], $E$4:changes[[#This Row],[Type of change]], "Edit")),B855)</f>
        <v>1</v>
      </c>
      <c r="C856" s="16">
        <v>44636</v>
      </c>
      <c r="D856" s="1" t="s">
        <v>2579</v>
      </c>
      <c r="E856" t="s">
        <v>2396</v>
      </c>
      <c r="F856" s="10" t="s">
        <v>52</v>
      </c>
      <c r="G856" s="10" t="s">
        <v>901</v>
      </c>
      <c r="H856" t="s">
        <v>55</v>
      </c>
      <c r="I856" t="s">
        <v>336</v>
      </c>
      <c r="K856" s="2"/>
      <c r="M856" s="2"/>
    </row>
    <row r="857" spans="1:13">
      <c r="A857" t="s">
        <v>28</v>
      </c>
      <c r="B857">
        <f ca="1">IF(OR(changes[[#This Row],[Type]]="Checklist",changes[[#This Row],[Type]]="checklist-flat"),1+IF(changes[[#This Row],[Type of change]] = "Edit",COUNTIFS($I$4:changes[[#This Row],[Name]],changes[[#This Row],[Name]], $E$4:changes[[#This Row],[Type of change]], "Edit")),B856)</f>
        <v>1</v>
      </c>
      <c r="C857" s="16">
        <v>44636</v>
      </c>
      <c r="D857" s="1" t="s">
        <v>2579</v>
      </c>
      <c r="E857" t="s">
        <v>2396</v>
      </c>
      <c r="F857" s="10" t="s">
        <v>52</v>
      </c>
      <c r="G857" s="10" t="s">
        <v>901</v>
      </c>
      <c r="H857" t="s">
        <v>55</v>
      </c>
      <c r="I857" t="s">
        <v>256</v>
      </c>
      <c r="K857" s="2"/>
      <c r="M857" s="2"/>
    </row>
    <row r="858" spans="1:13">
      <c r="A858" t="s">
        <v>28</v>
      </c>
      <c r="B858">
        <f ca="1">IF(OR(changes[[#This Row],[Type]]="Checklist",changes[[#This Row],[Type]]="checklist-flat"),1+IF(changes[[#This Row],[Type of change]] = "Edit",COUNTIFS($I$4:changes[[#This Row],[Name]],changes[[#This Row],[Name]], $E$4:changes[[#This Row],[Type of change]], "Edit")),B857)</f>
        <v>1</v>
      </c>
      <c r="C858" s="16">
        <v>44636</v>
      </c>
      <c r="D858" s="1" t="s">
        <v>2579</v>
      </c>
      <c r="E858" t="s">
        <v>2396</v>
      </c>
      <c r="F858" s="10" t="s">
        <v>52</v>
      </c>
      <c r="G858" s="10" t="s">
        <v>901</v>
      </c>
      <c r="H858" t="s">
        <v>55</v>
      </c>
      <c r="I858" t="s">
        <v>2581</v>
      </c>
      <c r="K858" s="2"/>
      <c r="M858" s="2"/>
    </row>
    <row r="859" spans="1:13">
      <c r="A859" t="s">
        <v>28</v>
      </c>
      <c r="B859">
        <f ca="1">IF(OR(changes[[#This Row],[Type]]="Checklist",changes[[#This Row],[Type]]="checklist-flat"),1+IF(changes[[#This Row],[Type of change]] = "Edit",COUNTIFS($I$4:changes[[#This Row],[Name]],changes[[#This Row],[Name]], $E$4:changes[[#This Row],[Type of change]], "Edit")),B858)</f>
        <v>1</v>
      </c>
      <c r="C859" s="16">
        <v>44636</v>
      </c>
      <c r="D859" s="1" t="s">
        <v>2579</v>
      </c>
      <c r="E859" t="s">
        <v>2396</v>
      </c>
      <c r="F859" s="10" t="s">
        <v>52</v>
      </c>
      <c r="G859" s="10" t="s">
        <v>901</v>
      </c>
      <c r="H859" t="s">
        <v>55</v>
      </c>
      <c r="I859" t="s">
        <v>2582</v>
      </c>
      <c r="K859" s="2"/>
      <c r="M859" s="2"/>
    </row>
    <row r="860" spans="1:13">
      <c r="A860" t="s">
        <v>28</v>
      </c>
      <c r="B860">
        <f ca="1">IF(OR(changes[[#This Row],[Type]]="Checklist",changes[[#This Row],[Type]]="checklist-flat"),1+IF(changes[[#This Row],[Type of change]] = "Edit",COUNTIFS($I$4:changes[[#This Row],[Name]],changes[[#This Row],[Name]], $E$4:changes[[#This Row],[Type of change]], "Edit")),B859)</f>
        <v>1</v>
      </c>
      <c r="C860" s="16">
        <v>44636</v>
      </c>
      <c r="D860" s="1" t="s">
        <v>2579</v>
      </c>
      <c r="E860" t="s">
        <v>2396</v>
      </c>
      <c r="F860" s="10" t="s">
        <v>52</v>
      </c>
      <c r="G860" s="10" t="s">
        <v>901</v>
      </c>
      <c r="H860" t="s">
        <v>55</v>
      </c>
      <c r="I860" t="s">
        <v>2583</v>
      </c>
      <c r="K860" s="2"/>
      <c r="M860" s="2"/>
    </row>
    <row r="861" spans="1:13">
      <c r="A861" t="s">
        <v>28</v>
      </c>
      <c r="B861">
        <f ca="1">IF(OR(changes[[#This Row],[Type]]="Checklist",changes[[#This Row],[Type]]="checklist-flat"),1+IF(changes[[#This Row],[Type of change]] = "Edit",COUNTIFS($I$4:changes[[#This Row],[Name]],changes[[#This Row],[Name]], $E$4:changes[[#This Row],[Type of change]], "Edit")),B860)</f>
        <v>1</v>
      </c>
      <c r="C861" s="16">
        <v>44636</v>
      </c>
      <c r="D861" s="1" t="s">
        <v>2579</v>
      </c>
      <c r="E861" t="s">
        <v>2396</v>
      </c>
      <c r="F861" s="10" t="s">
        <v>52</v>
      </c>
      <c r="G861" s="10" t="s">
        <v>901</v>
      </c>
      <c r="H861" t="s">
        <v>55</v>
      </c>
      <c r="I861" t="s">
        <v>2584</v>
      </c>
      <c r="K861" s="2"/>
      <c r="M861" s="2"/>
    </row>
    <row r="862" spans="1:13">
      <c r="A862" t="s">
        <v>28</v>
      </c>
      <c r="B862">
        <f ca="1">IF(OR(changes[[#This Row],[Type]]="Checklist",changes[[#This Row],[Type]]="checklist-flat"),1+IF(changes[[#This Row],[Type of change]] = "Edit",COUNTIFS($I$4:changes[[#This Row],[Name]],changes[[#This Row],[Name]], $E$4:changes[[#This Row],[Type of change]], "Edit")),B861)</f>
        <v>1</v>
      </c>
      <c r="C862" s="16">
        <v>44636</v>
      </c>
      <c r="D862" s="1" t="s">
        <v>2579</v>
      </c>
      <c r="E862" t="s">
        <v>2396</v>
      </c>
      <c r="F862" s="10" t="s">
        <v>52</v>
      </c>
      <c r="G862" s="10" t="s">
        <v>901</v>
      </c>
      <c r="H862" t="s">
        <v>55</v>
      </c>
      <c r="I862" t="s">
        <v>916</v>
      </c>
      <c r="K862" s="2"/>
      <c r="M862" s="2"/>
    </row>
    <row r="863" spans="1:13">
      <c r="A863" t="s">
        <v>28</v>
      </c>
      <c r="B863">
        <f ca="1">IF(OR(changes[[#This Row],[Type]]="Checklist",changes[[#This Row],[Type]]="checklist-flat"),1+IF(changes[[#This Row],[Type of change]] = "Edit",COUNTIFS($I$4:changes[[#This Row],[Name]],changes[[#This Row],[Name]], $E$4:changes[[#This Row],[Type of change]], "Edit")),B862)</f>
        <v>1</v>
      </c>
      <c r="C863" s="16">
        <v>44636</v>
      </c>
      <c r="D863" s="1" t="s">
        <v>2393</v>
      </c>
      <c r="E863" t="s">
        <v>19</v>
      </c>
      <c r="F863" s="10" t="s">
        <v>52</v>
      </c>
      <c r="G863" s="10" t="s">
        <v>2585</v>
      </c>
      <c r="H863" t="s">
        <v>478</v>
      </c>
      <c r="I863" t="s">
        <v>2585</v>
      </c>
      <c r="K863" s="2"/>
      <c r="M863" t="s">
        <v>2586</v>
      </c>
    </row>
    <row r="864" spans="1:13">
      <c r="A864" t="s">
        <v>28</v>
      </c>
      <c r="B864">
        <f ca="1">IF(OR(changes[[#This Row],[Type]]="Checklist",changes[[#This Row],[Type]]="checklist-flat"),1+IF(changes[[#This Row],[Type of change]] = "Edit",COUNTIFS($I$4:changes[[#This Row],[Name]],changes[[#This Row],[Name]], $E$4:changes[[#This Row],[Type of change]], "Edit")),B863)</f>
        <v>1</v>
      </c>
      <c r="C864" s="16">
        <v>44636</v>
      </c>
      <c r="D864" s="1" t="s">
        <v>2393</v>
      </c>
      <c r="E864" t="s">
        <v>19</v>
      </c>
      <c r="F864" s="10" t="s">
        <v>52</v>
      </c>
      <c r="G864" s="10" t="s">
        <v>2585</v>
      </c>
      <c r="H864" t="s">
        <v>55</v>
      </c>
      <c r="I864" t="s">
        <v>2587</v>
      </c>
      <c r="K864" s="2"/>
      <c r="M864" t="s">
        <v>2586</v>
      </c>
    </row>
    <row r="865" spans="1:13">
      <c r="A865" t="s">
        <v>28</v>
      </c>
      <c r="B865">
        <f ca="1">IF(OR(changes[[#This Row],[Type]]="Checklist",changes[[#This Row],[Type]]="checklist-flat"),1+IF(changes[[#This Row],[Type of change]] = "Edit",COUNTIFS($I$4:changes[[#This Row],[Name]],changes[[#This Row],[Name]], $E$4:changes[[#This Row],[Type of change]], "Edit")),B864)</f>
        <v>1</v>
      </c>
      <c r="C865" s="16">
        <v>44636</v>
      </c>
      <c r="D865" s="1" t="s">
        <v>2393</v>
      </c>
      <c r="E865" t="s">
        <v>19</v>
      </c>
      <c r="F865" s="10" t="s">
        <v>52</v>
      </c>
      <c r="G865" s="10" t="s">
        <v>2585</v>
      </c>
      <c r="H865" t="s">
        <v>437</v>
      </c>
      <c r="I865" t="s">
        <v>2588</v>
      </c>
      <c r="K865" s="2"/>
      <c r="M865" t="s">
        <v>2586</v>
      </c>
    </row>
    <row r="866" spans="1:13">
      <c r="A866" t="s">
        <v>28</v>
      </c>
      <c r="B866">
        <f ca="1">IF(OR(changes[[#This Row],[Type]]="Checklist",changes[[#This Row],[Type]]="checklist-flat"),1+IF(changes[[#This Row],[Type of change]] = "Edit",COUNTIFS($I$4:changes[[#This Row],[Name]],changes[[#This Row],[Name]], $E$4:changes[[#This Row],[Type of change]], "Edit")),B865)</f>
        <v>1</v>
      </c>
      <c r="C866" s="16">
        <v>44636</v>
      </c>
      <c r="D866" s="1" t="s">
        <v>2393</v>
      </c>
      <c r="E866" t="s">
        <v>19</v>
      </c>
      <c r="F866" s="10" t="s">
        <v>52</v>
      </c>
      <c r="G866" s="10" t="s">
        <v>2585</v>
      </c>
      <c r="H866" t="s">
        <v>437</v>
      </c>
      <c r="I866" t="s">
        <v>2589</v>
      </c>
      <c r="K866" s="2"/>
      <c r="M866" t="s">
        <v>2586</v>
      </c>
    </row>
    <row r="867" spans="1:13">
      <c r="A867" t="s">
        <v>28</v>
      </c>
      <c r="B867">
        <f ca="1">IF(OR(changes[[#This Row],[Type]]="Checklist",changes[[#This Row],[Type]]="checklist-flat"),1+IF(changes[[#This Row],[Type of change]] = "Edit",COUNTIFS($I$4:changes[[#This Row],[Name]],changes[[#This Row],[Name]], $E$4:changes[[#This Row],[Type of change]], "Edit")),B866)</f>
        <v>1</v>
      </c>
      <c r="C867" s="16">
        <v>44636</v>
      </c>
      <c r="D867" s="1" t="s">
        <v>2393</v>
      </c>
      <c r="E867" t="s">
        <v>19</v>
      </c>
      <c r="F867" s="10" t="s">
        <v>52</v>
      </c>
      <c r="G867" s="10" t="s">
        <v>2585</v>
      </c>
      <c r="H867" t="s">
        <v>437</v>
      </c>
      <c r="I867" t="s">
        <v>2590</v>
      </c>
      <c r="K867" s="2"/>
      <c r="M867" t="s">
        <v>2586</v>
      </c>
    </row>
    <row r="868" spans="1:13">
      <c r="A868" t="s">
        <v>28</v>
      </c>
      <c r="B868">
        <f ca="1">IF(OR(changes[[#This Row],[Type]]="Checklist",changes[[#This Row],[Type]]="checklist-flat"),1+IF(changes[[#This Row],[Type of change]] = "Edit",COUNTIFS($I$4:changes[[#This Row],[Name]],changes[[#This Row],[Name]], $E$4:changes[[#This Row],[Type of change]], "Edit")),B867)</f>
        <v>1</v>
      </c>
      <c r="C868" s="16">
        <v>44636</v>
      </c>
      <c r="D868" s="1" t="s">
        <v>2393</v>
      </c>
      <c r="E868" t="s">
        <v>19</v>
      </c>
      <c r="F868" s="10" t="s">
        <v>52</v>
      </c>
      <c r="G868" s="10" t="s">
        <v>2585</v>
      </c>
      <c r="H868" t="s">
        <v>437</v>
      </c>
      <c r="I868" t="s">
        <v>2591</v>
      </c>
      <c r="K868" s="39"/>
      <c r="M868" t="s">
        <v>2586</v>
      </c>
    </row>
    <row r="869" spans="1:13">
      <c r="A869" t="s">
        <v>28</v>
      </c>
      <c r="B869">
        <f ca="1">IF(OR(changes[[#This Row],[Type]]="Checklist",changes[[#This Row],[Type]]="checklist-flat"),1+IF(changes[[#This Row],[Type of change]] = "Edit",COUNTIFS($I$4:changes[[#This Row],[Name]],changes[[#This Row],[Name]], $E$4:changes[[#This Row],[Type of change]], "Edit")),B868)</f>
        <v>1</v>
      </c>
      <c r="C869" s="16">
        <v>44636</v>
      </c>
      <c r="D869" s="1" t="s">
        <v>2393</v>
      </c>
      <c r="E869" t="s">
        <v>19</v>
      </c>
      <c r="F869" s="10" t="s">
        <v>52</v>
      </c>
      <c r="G869" s="10" t="s">
        <v>2585</v>
      </c>
      <c r="H869" t="s">
        <v>437</v>
      </c>
      <c r="I869" t="s">
        <v>2592</v>
      </c>
      <c r="K869" s="2"/>
      <c r="M869" t="s">
        <v>2586</v>
      </c>
    </row>
    <row r="870" spans="1:13">
      <c r="A870" t="s">
        <v>28</v>
      </c>
      <c r="B870">
        <f ca="1">IF(OR(changes[[#This Row],[Type]]="Checklist",changes[[#This Row],[Type]]="checklist-flat"),1+IF(changes[[#This Row],[Type of change]] = "Edit",COUNTIFS($I$4:changes[[#This Row],[Name]],changes[[#This Row],[Name]], $E$4:changes[[#This Row],[Type of change]], "Edit")),B869)</f>
        <v>1</v>
      </c>
      <c r="C870" s="16">
        <v>44636</v>
      </c>
      <c r="D870" s="1" t="s">
        <v>2393</v>
      </c>
      <c r="E870" t="s">
        <v>19</v>
      </c>
      <c r="F870" s="10" t="s">
        <v>52</v>
      </c>
      <c r="G870" s="10" t="s">
        <v>2585</v>
      </c>
      <c r="H870" t="s">
        <v>437</v>
      </c>
      <c r="I870" t="s">
        <v>2593</v>
      </c>
      <c r="K870" s="2"/>
      <c r="M870" t="s">
        <v>2586</v>
      </c>
    </row>
    <row r="871" spans="1:13">
      <c r="A871" t="s">
        <v>28</v>
      </c>
      <c r="B871">
        <f ca="1">IF(OR(changes[[#This Row],[Type]]="Checklist",changes[[#This Row],[Type]]="checklist-flat"),1+IF(changes[[#This Row],[Type of change]] = "Edit",COUNTIFS($I$4:changes[[#This Row],[Name]],changes[[#This Row],[Name]], $E$4:changes[[#This Row],[Type of change]], "Edit")),B870)</f>
        <v>1</v>
      </c>
      <c r="C871" s="16">
        <v>44636</v>
      </c>
      <c r="D871" s="1" t="s">
        <v>2393</v>
      </c>
      <c r="E871" t="s">
        <v>19</v>
      </c>
      <c r="F871" s="10" t="s">
        <v>52</v>
      </c>
      <c r="G871" s="10" t="s">
        <v>2585</v>
      </c>
      <c r="H871" t="s">
        <v>437</v>
      </c>
      <c r="I871" t="s">
        <v>2594</v>
      </c>
      <c r="K871" s="2"/>
      <c r="M871" t="s">
        <v>2586</v>
      </c>
    </row>
    <row r="872" spans="1:13">
      <c r="A872" t="s">
        <v>28</v>
      </c>
      <c r="B872">
        <f ca="1">IF(OR(changes[[#This Row],[Type]]="Checklist",changes[[#This Row],[Type]]="checklist-flat"),1+IF(changes[[#This Row],[Type of change]] = "Edit",COUNTIFS($I$4:changes[[#This Row],[Name]],changes[[#This Row],[Name]], $E$4:changes[[#This Row],[Type of change]], "Edit")),B871)</f>
        <v>1</v>
      </c>
      <c r="C872" s="16">
        <v>44636</v>
      </c>
      <c r="D872" s="1" t="s">
        <v>2393</v>
      </c>
      <c r="E872" t="s">
        <v>19</v>
      </c>
      <c r="F872" s="10" t="s">
        <v>52</v>
      </c>
      <c r="G872" s="10" t="s">
        <v>2585</v>
      </c>
      <c r="H872" t="s">
        <v>437</v>
      </c>
      <c r="I872" t="s">
        <v>2595</v>
      </c>
      <c r="K872" s="2"/>
      <c r="M872" t="s">
        <v>2586</v>
      </c>
    </row>
    <row r="873" spans="1:13">
      <c r="A873" t="s">
        <v>28</v>
      </c>
      <c r="B873">
        <f ca="1">IF(OR(changes[[#This Row],[Type]]="Checklist",changes[[#This Row],[Type]]="checklist-flat"),1+IF(changes[[#This Row],[Type of change]] = "Edit",COUNTIFS($I$4:changes[[#This Row],[Name]],changes[[#This Row],[Name]], $E$4:changes[[#This Row],[Type of change]], "Edit")),B872)</f>
        <v>1</v>
      </c>
      <c r="C873" s="16">
        <v>44636</v>
      </c>
      <c r="D873" s="1" t="s">
        <v>2393</v>
      </c>
      <c r="E873" t="s">
        <v>19</v>
      </c>
      <c r="F873" s="10" t="s">
        <v>52</v>
      </c>
      <c r="G873" s="10" t="s">
        <v>2585</v>
      </c>
      <c r="H873" t="s">
        <v>437</v>
      </c>
      <c r="I873" t="s">
        <v>2596</v>
      </c>
      <c r="K873" s="2"/>
      <c r="M873" t="s">
        <v>2586</v>
      </c>
    </row>
    <row r="874" spans="1:13">
      <c r="A874" t="s">
        <v>28</v>
      </c>
      <c r="B874">
        <f ca="1">IF(OR(changes[[#This Row],[Type]]="Checklist",changes[[#This Row],[Type]]="checklist-flat"),1+IF(changes[[#This Row],[Type of change]] = "Edit",COUNTIFS($I$4:changes[[#This Row],[Name]],changes[[#This Row],[Name]], $E$4:changes[[#This Row],[Type of change]], "Edit")),B873)</f>
        <v>1</v>
      </c>
      <c r="C874" s="16">
        <v>44636</v>
      </c>
      <c r="D874" s="1" t="s">
        <v>2393</v>
      </c>
      <c r="E874" t="s">
        <v>19</v>
      </c>
      <c r="F874" s="10" t="s">
        <v>52</v>
      </c>
      <c r="G874" s="10" t="s">
        <v>2585</v>
      </c>
      <c r="H874" t="s">
        <v>437</v>
      </c>
      <c r="I874" t="s">
        <v>2597</v>
      </c>
      <c r="K874" s="2"/>
      <c r="M874" t="s">
        <v>2586</v>
      </c>
    </row>
    <row r="875" spans="1:13">
      <c r="A875" t="s">
        <v>28</v>
      </c>
      <c r="B875">
        <f ca="1">IF(OR(changes[[#This Row],[Type]]="Checklist",changes[[#This Row],[Type]]="checklist-flat"),1+IF(changes[[#This Row],[Type of change]] = "Edit",COUNTIFS($I$4:changes[[#This Row],[Name]],changes[[#This Row],[Name]], $E$4:changes[[#This Row],[Type of change]], "Edit")),B874)</f>
        <v>1</v>
      </c>
      <c r="C875" s="16">
        <v>44636</v>
      </c>
      <c r="D875" s="1" t="s">
        <v>2393</v>
      </c>
      <c r="E875" t="s">
        <v>19</v>
      </c>
      <c r="F875" s="10" t="s">
        <v>52</v>
      </c>
      <c r="G875" s="10" t="s">
        <v>2585</v>
      </c>
      <c r="H875" t="s">
        <v>437</v>
      </c>
      <c r="I875" t="s">
        <v>2598</v>
      </c>
      <c r="K875" s="2"/>
      <c r="M875" t="s">
        <v>2586</v>
      </c>
    </row>
    <row r="876" spans="1:13">
      <c r="A876" t="s">
        <v>28</v>
      </c>
      <c r="B876">
        <f ca="1">IF(OR(changes[[#This Row],[Type]]="Checklist",changes[[#This Row],[Type]]="checklist-flat"),1+IF(changes[[#This Row],[Type of change]] = "Edit",COUNTIFS($I$4:changes[[#This Row],[Name]],changes[[#This Row],[Name]], $E$4:changes[[#This Row],[Type of change]], "Edit")),B875)</f>
        <v>1</v>
      </c>
      <c r="C876" s="16">
        <v>44636</v>
      </c>
      <c r="D876" s="1" t="s">
        <v>2393</v>
      </c>
      <c r="E876" t="s">
        <v>19</v>
      </c>
      <c r="F876" s="10" t="s">
        <v>52</v>
      </c>
      <c r="G876" s="10" t="s">
        <v>2585</v>
      </c>
      <c r="H876" t="s">
        <v>437</v>
      </c>
      <c r="I876" t="s">
        <v>2599</v>
      </c>
      <c r="K876" s="2"/>
      <c r="M876" t="s">
        <v>2586</v>
      </c>
    </row>
    <row r="877" spans="1:13">
      <c r="A877" t="s">
        <v>28</v>
      </c>
      <c r="B877">
        <f ca="1">IF(OR(changes[[#This Row],[Type]]="Checklist",changes[[#This Row],[Type]]="checklist-flat"),1+IF(changes[[#This Row],[Type of change]] = "Edit",COUNTIFS($I$4:changes[[#This Row],[Name]],changes[[#This Row],[Name]], $E$4:changes[[#This Row],[Type of change]], "Edit")),B876)</f>
        <v>1</v>
      </c>
      <c r="C877" s="16">
        <v>44636</v>
      </c>
      <c r="D877" s="1" t="s">
        <v>2393</v>
      </c>
      <c r="E877" t="s">
        <v>19</v>
      </c>
      <c r="F877" s="10" t="s">
        <v>52</v>
      </c>
      <c r="G877" s="10" t="s">
        <v>2585</v>
      </c>
      <c r="H877" t="s">
        <v>437</v>
      </c>
      <c r="I877" t="s">
        <v>2600</v>
      </c>
      <c r="K877" s="2"/>
      <c r="M877" t="s">
        <v>2586</v>
      </c>
    </row>
    <row r="878" spans="1:13">
      <c r="A878" t="s">
        <v>28</v>
      </c>
      <c r="B878">
        <f ca="1">IF(OR(changes[[#This Row],[Type]]="Checklist",changes[[#This Row],[Type]]="checklist-flat"),1+IF(changes[[#This Row],[Type of change]] = "Edit",COUNTIFS($I$4:changes[[#This Row],[Name]],changes[[#This Row],[Name]], $E$4:changes[[#This Row],[Type of change]], "Edit")),B877)</f>
        <v>1</v>
      </c>
      <c r="C878" s="16">
        <v>44636</v>
      </c>
      <c r="D878" s="1" t="s">
        <v>2393</v>
      </c>
      <c r="E878" t="s">
        <v>19</v>
      </c>
      <c r="F878" s="10" t="s">
        <v>52</v>
      </c>
      <c r="G878" s="10" t="s">
        <v>2585</v>
      </c>
      <c r="H878" t="s">
        <v>437</v>
      </c>
      <c r="I878" t="s">
        <v>2601</v>
      </c>
      <c r="K878" s="2"/>
      <c r="M878" t="s">
        <v>2586</v>
      </c>
    </row>
    <row r="879" spans="1:13">
      <c r="A879" t="s">
        <v>28</v>
      </c>
      <c r="B879">
        <f ca="1">IF(OR(changes[[#This Row],[Type]]="Checklist",changes[[#This Row],[Type]]="checklist-flat"),1+IF(changes[[#This Row],[Type of change]] = "Edit",COUNTIFS($I$4:changes[[#This Row],[Name]],changes[[#This Row],[Name]], $E$4:changes[[#This Row],[Type of change]], "Edit")),B878)</f>
        <v>1</v>
      </c>
      <c r="C879" s="16">
        <v>44636</v>
      </c>
      <c r="D879" s="1" t="s">
        <v>2393</v>
      </c>
      <c r="E879" t="s">
        <v>19</v>
      </c>
      <c r="F879" s="10" t="s">
        <v>52</v>
      </c>
      <c r="G879" s="10" t="s">
        <v>2585</v>
      </c>
      <c r="H879" t="s">
        <v>437</v>
      </c>
      <c r="I879" t="s">
        <v>2602</v>
      </c>
      <c r="K879" s="2"/>
      <c r="M879" t="s">
        <v>2586</v>
      </c>
    </row>
    <row r="880" spans="1:13">
      <c r="A880" t="s">
        <v>28</v>
      </c>
      <c r="B880">
        <f ca="1">IF(OR(changes[[#This Row],[Type]]="Checklist",changes[[#This Row],[Type]]="checklist-flat"),1+IF(changes[[#This Row],[Type of change]] = "Edit",COUNTIFS($I$4:changes[[#This Row],[Name]],changes[[#This Row],[Name]], $E$4:changes[[#This Row],[Type of change]], "Edit")),B879)</f>
        <v>1</v>
      </c>
      <c r="C880" s="16">
        <v>44636</v>
      </c>
      <c r="D880" s="1" t="s">
        <v>2393</v>
      </c>
      <c r="E880" t="s">
        <v>19</v>
      </c>
      <c r="F880" s="10" t="s">
        <v>52</v>
      </c>
      <c r="G880" s="10" t="s">
        <v>2585</v>
      </c>
      <c r="H880" t="s">
        <v>437</v>
      </c>
      <c r="I880" t="s">
        <v>2603</v>
      </c>
      <c r="K880" s="2"/>
      <c r="M880" t="s">
        <v>2586</v>
      </c>
    </row>
    <row r="881" spans="1:13">
      <c r="A881" t="s">
        <v>28</v>
      </c>
      <c r="B881">
        <f ca="1">IF(OR(changes[[#This Row],[Type]]="Checklist",changes[[#This Row],[Type]]="checklist-flat"),1+IF(changes[[#This Row],[Type of change]] = "Edit",COUNTIFS($I$4:changes[[#This Row],[Name]],changes[[#This Row],[Name]], $E$4:changes[[#This Row],[Type of change]], "Edit")),B880)</f>
        <v>1</v>
      </c>
      <c r="C881" s="16">
        <v>44636</v>
      </c>
      <c r="D881" s="1" t="s">
        <v>2393</v>
      </c>
      <c r="E881" t="s">
        <v>19</v>
      </c>
      <c r="F881" s="10" t="s">
        <v>52</v>
      </c>
      <c r="G881" s="10" t="s">
        <v>2585</v>
      </c>
      <c r="H881" t="s">
        <v>994</v>
      </c>
      <c r="I881" t="s">
        <v>65</v>
      </c>
      <c r="K881" s="2"/>
      <c r="M881" t="s">
        <v>2586</v>
      </c>
    </row>
    <row r="882" spans="1:13" ht="14.25" customHeight="1">
      <c r="A882" t="s">
        <v>28</v>
      </c>
      <c r="B882">
        <f ca="1">IF(OR(changes[[#This Row],[Type]]="Checklist",changes[[#This Row],[Type]]="checklist-flat"),1+IF(changes[[#This Row],[Type of change]] = "Edit",COUNTIFS($I$4:changes[[#This Row],[Name]],changes[[#This Row],[Name]], $E$4:changes[[#This Row],[Type of change]], "Edit")),B881)</f>
        <v>1</v>
      </c>
      <c r="C882" s="16">
        <v>44636</v>
      </c>
      <c r="D882" s="1" t="s">
        <v>2393</v>
      </c>
      <c r="E882" t="s">
        <v>19</v>
      </c>
      <c r="F882" s="10" t="s">
        <v>52</v>
      </c>
      <c r="G882" s="10" t="s">
        <v>2604</v>
      </c>
      <c r="H882" t="s">
        <v>478</v>
      </c>
      <c r="I882" t="s">
        <v>2604</v>
      </c>
      <c r="K882" s="2"/>
      <c r="M882" t="s">
        <v>2586</v>
      </c>
    </row>
    <row r="883" spans="1:13">
      <c r="A883" t="s">
        <v>28</v>
      </c>
      <c r="B883">
        <f ca="1">IF(OR(changes[[#This Row],[Type]]="Checklist",changes[[#This Row],[Type]]="checklist-flat"),1+IF(changes[[#This Row],[Type of change]] = "Edit",COUNTIFS($I$4:changes[[#This Row],[Name]],changes[[#This Row],[Name]], $E$4:changes[[#This Row],[Type of change]], "Edit")),B882)</f>
        <v>1</v>
      </c>
      <c r="C883" s="16">
        <v>44636</v>
      </c>
      <c r="D883" s="1" t="s">
        <v>2393</v>
      </c>
      <c r="E883" t="s">
        <v>19</v>
      </c>
      <c r="F883" s="10" t="s">
        <v>52</v>
      </c>
      <c r="G883" s="10" t="s">
        <v>2604</v>
      </c>
      <c r="H883" t="s">
        <v>55</v>
      </c>
      <c r="I883" t="s">
        <v>2605</v>
      </c>
      <c r="K883" s="2"/>
      <c r="M883" t="s">
        <v>2586</v>
      </c>
    </row>
    <row r="884" spans="1:13">
      <c r="A884" t="s">
        <v>28</v>
      </c>
      <c r="B884">
        <f ca="1">IF(OR(changes[[#This Row],[Type]]="Checklist",changes[[#This Row],[Type]]="checklist-flat"),1+IF(changes[[#This Row],[Type of change]] = "Edit",COUNTIFS($I$4:changes[[#This Row],[Name]],changes[[#This Row],[Name]], $E$4:changes[[#This Row],[Type of change]], "Edit")),B883)</f>
        <v>1</v>
      </c>
      <c r="C884" s="16">
        <v>44636</v>
      </c>
      <c r="D884" s="1" t="s">
        <v>2393</v>
      </c>
      <c r="E884" t="s">
        <v>19</v>
      </c>
      <c r="F884" s="10" t="s">
        <v>52</v>
      </c>
      <c r="G884" s="10" t="s">
        <v>2604</v>
      </c>
      <c r="H884" t="s">
        <v>64</v>
      </c>
      <c r="I884" t="s">
        <v>2606</v>
      </c>
      <c r="K884" s="2"/>
      <c r="M884" t="s">
        <v>2586</v>
      </c>
    </row>
    <row r="885" spans="1:13">
      <c r="A885" t="s">
        <v>28</v>
      </c>
      <c r="B885">
        <f ca="1">IF(OR(changes[[#This Row],[Type]]="Checklist",changes[[#This Row],[Type]]="checklist-flat"),1+IF(changes[[#This Row],[Type of change]] = "Edit",COUNTIFS($I$4:changes[[#This Row],[Name]],changes[[#This Row],[Name]], $E$4:changes[[#This Row],[Type of change]], "Edit")),B884)</f>
        <v>1</v>
      </c>
      <c r="C885" s="16">
        <v>44636</v>
      </c>
      <c r="D885" s="1" t="s">
        <v>2393</v>
      </c>
      <c r="E885" t="s">
        <v>19</v>
      </c>
      <c r="F885" s="10" t="s">
        <v>52</v>
      </c>
      <c r="G885" s="10" t="s">
        <v>2607</v>
      </c>
      <c r="H885" t="s">
        <v>478</v>
      </c>
      <c r="I885" t="s">
        <v>2607</v>
      </c>
      <c r="K885" s="2"/>
      <c r="M885" t="s">
        <v>2586</v>
      </c>
    </row>
    <row r="886" spans="1:13">
      <c r="A886" t="s">
        <v>28</v>
      </c>
      <c r="B886">
        <f ca="1">IF(OR(changes[[#This Row],[Type]]="Checklist",changes[[#This Row],[Type]]="checklist-flat"),1+IF(changes[[#This Row],[Type of change]] = "Edit",COUNTIFS($I$4:changes[[#This Row],[Name]],changes[[#This Row],[Name]], $E$4:changes[[#This Row],[Type of change]], "Edit")),B885)</f>
        <v>1</v>
      </c>
      <c r="C886" s="16">
        <v>44636</v>
      </c>
      <c r="D886" s="1" t="s">
        <v>2393</v>
      </c>
      <c r="E886" t="s">
        <v>19</v>
      </c>
      <c r="F886" s="10" t="s">
        <v>52</v>
      </c>
      <c r="G886" s="10" t="s">
        <v>2607</v>
      </c>
      <c r="H886" t="s">
        <v>55</v>
      </c>
      <c r="I886" t="s">
        <v>2608</v>
      </c>
      <c r="K886" s="2"/>
      <c r="M886" t="s">
        <v>2586</v>
      </c>
    </row>
    <row r="887" spans="1:13">
      <c r="A887" t="s">
        <v>28</v>
      </c>
      <c r="B887">
        <f ca="1">IF(OR(changes[[#This Row],[Type]]="Checklist",changes[[#This Row],[Type]]="checklist-flat"),1+IF(changes[[#This Row],[Type of change]] = "Edit",COUNTIFS($I$4:changes[[#This Row],[Name]],changes[[#This Row],[Name]], $E$4:changes[[#This Row],[Type of change]], "Edit")),B886)</f>
        <v>1</v>
      </c>
      <c r="C887" s="16">
        <v>44636</v>
      </c>
      <c r="D887" s="1" t="s">
        <v>2393</v>
      </c>
      <c r="E887" t="s">
        <v>19</v>
      </c>
      <c r="F887" s="10" t="s">
        <v>52</v>
      </c>
      <c r="G887" s="10" t="s">
        <v>2607</v>
      </c>
      <c r="H887" t="s">
        <v>437</v>
      </c>
      <c r="I887" t="s">
        <v>2609</v>
      </c>
      <c r="K887" s="2"/>
      <c r="M887" t="s">
        <v>2586</v>
      </c>
    </row>
    <row r="888" spans="1:13">
      <c r="A888" t="s">
        <v>28</v>
      </c>
      <c r="B888">
        <f ca="1">IF(OR(changes[[#This Row],[Type]]="Checklist",changes[[#This Row],[Type]]="checklist-flat"),1+IF(changes[[#This Row],[Type of change]] = "Edit",COUNTIFS($I$4:changes[[#This Row],[Name]],changes[[#This Row],[Name]], $E$4:changes[[#This Row],[Type of change]], "Edit")),B887)</f>
        <v>1</v>
      </c>
      <c r="C888" s="16">
        <v>44636</v>
      </c>
      <c r="D888" s="1" t="s">
        <v>2393</v>
      </c>
      <c r="E888" t="s">
        <v>19</v>
      </c>
      <c r="F888" s="10" t="s">
        <v>52</v>
      </c>
      <c r="G888" s="10" t="s">
        <v>2607</v>
      </c>
      <c r="H888" t="s">
        <v>437</v>
      </c>
      <c r="I888" t="s">
        <v>2610</v>
      </c>
      <c r="K888" s="2"/>
      <c r="M888" t="s">
        <v>2586</v>
      </c>
    </row>
    <row r="889" spans="1:13">
      <c r="A889" t="s">
        <v>28</v>
      </c>
      <c r="B889">
        <f ca="1">IF(OR(changes[[#This Row],[Type]]="Checklist",changes[[#This Row],[Type]]="checklist-flat"),1+IF(changes[[#This Row],[Type of change]] = "Edit",COUNTIFS($I$4:changes[[#This Row],[Name]],changes[[#This Row],[Name]], $E$4:changes[[#This Row],[Type of change]], "Edit")),B888)</f>
        <v>1</v>
      </c>
      <c r="C889" s="16">
        <v>44636</v>
      </c>
      <c r="D889" s="1" t="s">
        <v>2393</v>
      </c>
      <c r="E889" t="s">
        <v>19</v>
      </c>
      <c r="F889" s="10" t="s">
        <v>52</v>
      </c>
      <c r="G889" s="10" t="s">
        <v>2607</v>
      </c>
      <c r="H889" t="s">
        <v>437</v>
      </c>
      <c r="I889" t="s">
        <v>2611</v>
      </c>
      <c r="K889" s="2"/>
      <c r="M889" t="s">
        <v>2586</v>
      </c>
    </row>
    <row r="890" spans="1:13">
      <c r="A890" t="s">
        <v>28</v>
      </c>
      <c r="B890">
        <f ca="1">IF(OR(changes[[#This Row],[Type]]="Checklist",changes[[#This Row],[Type]]="checklist-flat"),1+IF(changes[[#This Row],[Type of change]] = "Edit",COUNTIFS($I$4:changes[[#This Row],[Name]],changes[[#This Row],[Name]], $E$4:changes[[#This Row],[Type of change]], "Edit")),B889)</f>
        <v>1</v>
      </c>
      <c r="C890" s="16">
        <v>44636</v>
      </c>
      <c r="D890" s="1" t="s">
        <v>2393</v>
      </c>
      <c r="E890" t="s">
        <v>19</v>
      </c>
      <c r="F890" s="10" t="s">
        <v>52</v>
      </c>
      <c r="G890" s="10" t="s">
        <v>2607</v>
      </c>
      <c r="H890" t="s">
        <v>64</v>
      </c>
      <c r="I890" t="s">
        <v>2612</v>
      </c>
      <c r="K890" s="2"/>
      <c r="M890" t="s">
        <v>2586</v>
      </c>
    </row>
    <row r="891" spans="1:13">
      <c r="A891" t="s">
        <v>28</v>
      </c>
      <c r="B891">
        <f ca="1">IF(OR(changes[[#This Row],[Type]]="Checklist",changes[[#This Row],[Type]]="checklist-flat"),1+IF(changes[[#This Row],[Type of change]] = "Edit",COUNTIFS($I$4:changes[[#This Row],[Name]],changes[[#This Row],[Name]], $E$4:changes[[#This Row],[Type of change]], "Edit")),B890)</f>
        <v>1</v>
      </c>
      <c r="C891" s="16">
        <v>44636</v>
      </c>
      <c r="D891" s="1" t="s">
        <v>2393</v>
      </c>
      <c r="E891" t="s">
        <v>19</v>
      </c>
      <c r="F891" s="10" t="s">
        <v>52</v>
      </c>
      <c r="G891" s="10" t="s">
        <v>2613</v>
      </c>
      <c r="H891" t="s">
        <v>478</v>
      </c>
      <c r="I891" t="s">
        <v>2613</v>
      </c>
      <c r="K891" s="2"/>
      <c r="M891" t="s">
        <v>2586</v>
      </c>
    </row>
    <row r="892" spans="1:13">
      <c r="A892" t="s">
        <v>28</v>
      </c>
      <c r="B892">
        <f ca="1">IF(OR(changes[[#This Row],[Type]]="Checklist",changes[[#This Row],[Type]]="checklist-flat"),1+IF(changes[[#This Row],[Type of change]] = "Edit",COUNTIFS($I$4:changes[[#This Row],[Name]],changes[[#This Row],[Name]], $E$4:changes[[#This Row],[Type of change]], "Edit")),B891)</f>
        <v>1</v>
      </c>
      <c r="C892" s="16">
        <v>44636</v>
      </c>
      <c r="D892" s="1" t="s">
        <v>2393</v>
      </c>
      <c r="E892" t="s">
        <v>19</v>
      </c>
      <c r="F892" s="10" t="s">
        <v>52</v>
      </c>
      <c r="G892" s="10" t="s">
        <v>2613</v>
      </c>
      <c r="H892" t="s">
        <v>55</v>
      </c>
      <c r="I892" t="s">
        <v>2614</v>
      </c>
      <c r="K892" s="2"/>
      <c r="M892" t="s">
        <v>2586</v>
      </c>
    </row>
    <row r="893" spans="1:13">
      <c r="A893" t="s">
        <v>28</v>
      </c>
      <c r="B893">
        <f ca="1">IF(OR(changes[[#This Row],[Type]]="Checklist",changes[[#This Row],[Type]]="checklist-flat"),1+IF(changes[[#This Row],[Type of change]] = "Edit",COUNTIFS($I$4:changes[[#This Row],[Name]],changes[[#This Row],[Name]], $E$4:changes[[#This Row],[Type of change]], "Edit")),B892)</f>
        <v>1</v>
      </c>
      <c r="C893" s="16">
        <v>44636</v>
      </c>
      <c r="D893" s="1" t="s">
        <v>2393</v>
      </c>
      <c r="E893" t="s">
        <v>19</v>
      </c>
      <c r="F893" s="10" t="s">
        <v>52</v>
      </c>
      <c r="G893" s="10" t="s">
        <v>2613</v>
      </c>
      <c r="H893" t="s">
        <v>437</v>
      </c>
      <c r="I893" t="s">
        <v>2615</v>
      </c>
      <c r="K893" s="2"/>
      <c r="M893" t="s">
        <v>2586</v>
      </c>
    </row>
    <row r="894" spans="1:13">
      <c r="A894" t="s">
        <v>28</v>
      </c>
      <c r="B894">
        <f ca="1">IF(OR(changes[[#This Row],[Type]]="Checklist",changes[[#This Row],[Type]]="checklist-flat"),1+IF(changes[[#This Row],[Type of change]] = "Edit",COUNTIFS($I$4:changes[[#This Row],[Name]],changes[[#This Row],[Name]], $E$4:changes[[#This Row],[Type of change]], "Edit")),B893)</f>
        <v>1</v>
      </c>
      <c r="C894" s="16">
        <v>44636</v>
      </c>
      <c r="D894" s="1" t="s">
        <v>2393</v>
      </c>
      <c r="E894" t="s">
        <v>19</v>
      </c>
      <c r="F894" s="10" t="s">
        <v>52</v>
      </c>
      <c r="G894" s="10" t="s">
        <v>2613</v>
      </c>
      <c r="H894" t="s">
        <v>437</v>
      </c>
      <c r="I894" t="s">
        <v>2616</v>
      </c>
      <c r="K894" s="2"/>
      <c r="M894" t="s">
        <v>2586</v>
      </c>
    </row>
    <row r="895" spans="1:13">
      <c r="A895" t="s">
        <v>28</v>
      </c>
      <c r="B895">
        <f ca="1">IF(OR(changes[[#This Row],[Type]]="Checklist",changes[[#This Row],[Type]]="checklist-flat"),1+IF(changes[[#This Row],[Type of change]] = "Edit",COUNTIFS($I$4:changes[[#This Row],[Name]],changes[[#This Row],[Name]], $E$4:changes[[#This Row],[Type of change]], "Edit")),B894)</f>
        <v>1</v>
      </c>
      <c r="C895" s="16">
        <v>44636</v>
      </c>
      <c r="D895" s="1" t="s">
        <v>2393</v>
      </c>
      <c r="E895" t="s">
        <v>19</v>
      </c>
      <c r="F895" s="10" t="s">
        <v>52</v>
      </c>
      <c r="G895" s="10" t="s">
        <v>2613</v>
      </c>
      <c r="H895" t="s">
        <v>437</v>
      </c>
      <c r="I895" t="s">
        <v>2617</v>
      </c>
      <c r="K895" s="2"/>
      <c r="M895" t="s">
        <v>2586</v>
      </c>
    </row>
    <row r="896" spans="1:13">
      <c r="A896" t="s">
        <v>28</v>
      </c>
      <c r="B896">
        <f ca="1">IF(OR(changes[[#This Row],[Type]]="Checklist",changes[[#This Row],[Type]]="checklist-flat"),1+IF(changes[[#This Row],[Type of change]] = "Edit",COUNTIFS($I$4:changes[[#This Row],[Name]],changes[[#This Row],[Name]], $E$4:changes[[#This Row],[Type of change]], "Edit")),B895)</f>
        <v>1</v>
      </c>
      <c r="C896" s="16">
        <v>44636</v>
      </c>
      <c r="D896" s="1" t="s">
        <v>2393</v>
      </c>
      <c r="E896" t="s">
        <v>19</v>
      </c>
      <c r="F896" s="10" t="s">
        <v>52</v>
      </c>
      <c r="G896" s="10" t="s">
        <v>2613</v>
      </c>
      <c r="H896" t="s">
        <v>437</v>
      </c>
      <c r="I896" t="s">
        <v>2618</v>
      </c>
      <c r="K896" s="2"/>
      <c r="M896" t="s">
        <v>2586</v>
      </c>
    </row>
    <row r="897" spans="1:13">
      <c r="A897" t="s">
        <v>28</v>
      </c>
      <c r="B897">
        <f ca="1">IF(OR(changes[[#This Row],[Type]]="Checklist",changes[[#This Row],[Type]]="checklist-flat"),1+IF(changes[[#This Row],[Type of change]] = "Edit",COUNTIFS($I$4:changes[[#This Row],[Name]],changes[[#This Row],[Name]], $E$4:changes[[#This Row],[Type of change]], "Edit")),B896)</f>
        <v>1</v>
      </c>
      <c r="C897" s="16">
        <v>44636</v>
      </c>
      <c r="D897" s="1" t="s">
        <v>2393</v>
      </c>
      <c r="E897" t="s">
        <v>19</v>
      </c>
      <c r="F897" s="10" t="s">
        <v>52</v>
      </c>
      <c r="G897" s="10" t="s">
        <v>2613</v>
      </c>
      <c r="H897" t="s">
        <v>437</v>
      </c>
      <c r="I897" t="s">
        <v>2619</v>
      </c>
      <c r="K897" s="2"/>
      <c r="M897" t="s">
        <v>2586</v>
      </c>
    </row>
    <row r="898" spans="1:13">
      <c r="A898" t="s">
        <v>28</v>
      </c>
      <c r="B898">
        <f ca="1">IF(OR(changes[[#This Row],[Type]]="Checklist",changes[[#This Row],[Type]]="checklist-flat"),1+IF(changes[[#This Row],[Type of change]] = "Edit",COUNTIFS($I$4:changes[[#This Row],[Name]],changes[[#This Row],[Name]], $E$4:changes[[#This Row],[Type of change]], "Edit")),B897)</f>
        <v>1</v>
      </c>
      <c r="C898" s="16">
        <v>44636</v>
      </c>
      <c r="D898" s="1" t="s">
        <v>2393</v>
      </c>
      <c r="E898" t="s">
        <v>19</v>
      </c>
      <c r="F898" s="10" t="s">
        <v>52</v>
      </c>
      <c r="G898" s="10" t="s">
        <v>2613</v>
      </c>
      <c r="H898" t="s">
        <v>437</v>
      </c>
      <c r="I898" t="s">
        <v>2620</v>
      </c>
      <c r="K898" s="2"/>
      <c r="M898" t="s">
        <v>2586</v>
      </c>
    </row>
    <row r="899" spans="1:13">
      <c r="A899" t="s">
        <v>28</v>
      </c>
      <c r="B899">
        <f ca="1">IF(OR(changes[[#This Row],[Type]]="Checklist",changes[[#This Row],[Type]]="checklist-flat"),1+IF(changes[[#This Row],[Type of change]] = "Edit",COUNTIFS($I$4:changes[[#This Row],[Name]],changes[[#This Row],[Name]], $E$4:changes[[#This Row],[Type of change]], "Edit")),B898)</f>
        <v>1</v>
      </c>
      <c r="C899" s="16">
        <v>44636</v>
      </c>
      <c r="D899" s="1" t="s">
        <v>2393</v>
      </c>
      <c r="E899" t="s">
        <v>19</v>
      </c>
      <c r="F899" s="10" t="s">
        <v>52</v>
      </c>
      <c r="G899" s="10" t="s">
        <v>2613</v>
      </c>
      <c r="H899" t="s">
        <v>437</v>
      </c>
      <c r="I899" t="s">
        <v>2442</v>
      </c>
      <c r="K899" s="2"/>
      <c r="M899" t="s">
        <v>2586</v>
      </c>
    </row>
    <row r="900" spans="1:13">
      <c r="A900" t="s">
        <v>28</v>
      </c>
      <c r="B900">
        <f ca="1">IF(OR(changes[[#This Row],[Type]]="Checklist",changes[[#This Row],[Type]]="checklist-flat"),1+IF(changes[[#This Row],[Type of change]] = "Edit",COUNTIFS($I$4:changes[[#This Row],[Name]],changes[[#This Row],[Name]], $E$4:changes[[#This Row],[Type of change]], "Edit")),B899)</f>
        <v>1</v>
      </c>
      <c r="C900" s="16">
        <v>44636</v>
      </c>
      <c r="D900" s="1" t="s">
        <v>2393</v>
      </c>
      <c r="E900" t="s">
        <v>19</v>
      </c>
      <c r="F900" s="10" t="s">
        <v>52</v>
      </c>
      <c r="G900" s="10" t="s">
        <v>2613</v>
      </c>
      <c r="H900" t="s">
        <v>951</v>
      </c>
      <c r="I900" t="s">
        <v>377</v>
      </c>
      <c r="K900" s="2"/>
      <c r="M900" t="s">
        <v>2586</v>
      </c>
    </row>
    <row r="901" spans="1:13">
      <c r="A901" t="s">
        <v>28</v>
      </c>
      <c r="B901">
        <f ca="1">IF(OR(changes[[#This Row],[Type]]="Checklist",changes[[#This Row],[Type]]="checklist-flat"),1+IF(changes[[#This Row],[Type of change]] = "Edit",COUNTIFS($I$4:changes[[#This Row],[Name]],changes[[#This Row],[Name]], $E$4:changes[[#This Row],[Type of change]], "Edit")),B900)</f>
        <v>1</v>
      </c>
      <c r="C901" s="16">
        <v>44636</v>
      </c>
      <c r="D901" s="1" t="s">
        <v>2393</v>
      </c>
      <c r="E901" t="s">
        <v>19</v>
      </c>
      <c r="F901" s="10" t="s">
        <v>52</v>
      </c>
      <c r="G901" s="10" t="s">
        <v>2613</v>
      </c>
      <c r="H901" t="s">
        <v>951</v>
      </c>
      <c r="I901" t="s">
        <v>2444</v>
      </c>
      <c r="K901" s="2"/>
      <c r="M901" t="s">
        <v>2586</v>
      </c>
    </row>
    <row r="902" spans="1:13">
      <c r="A902" t="s">
        <v>28</v>
      </c>
      <c r="B902">
        <f ca="1">IF(OR(changes[[#This Row],[Type]]="Checklist",changes[[#This Row],[Type]]="checklist-flat"),1+IF(changes[[#This Row],[Type of change]] = "Edit",COUNTIFS($I$4:changes[[#This Row],[Name]],changes[[#This Row],[Name]], $E$4:changes[[#This Row],[Type of change]], "Edit")),B901)</f>
        <v>1</v>
      </c>
      <c r="C902" s="16">
        <v>44636</v>
      </c>
      <c r="D902" s="1" t="s">
        <v>2393</v>
      </c>
      <c r="E902" t="s">
        <v>19</v>
      </c>
      <c r="F902" s="10" t="s">
        <v>52</v>
      </c>
      <c r="G902" s="10" t="s">
        <v>2613</v>
      </c>
      <c r="H902" t="s">
        <v>951</v>
      </c>
      <c r="I902" t="s">
        <v>2621</v>
      </c>
      <c r="K902" s="2"/>
      <c r="M902" t="s">
        <v>2586</v>
      </c>
    </row>
    <row r="903" spans="1:13">
      <c r="A903" t="s">
        <v>28</v>
      </c>
      <c r="B903">
        <f ca="1">IF(OR(changes[[#This Row],[Type]]="Checklist",changes[[#This Row],[Type]]="checklist-flat"),1+IF(changes[[#This Row],[Type of change]] = "Edit",COUNTIFS($I$4:changes[[#This Row],[Name]],changes[[#This Row],[Name]], $E$4:changes[[#This Row],[Type of change]], "Edit")),B902)</f>
        <v>1</v>
      </c>
      <c r="C903" s="16">
        <v>44636</v>
      </c>
      <c r="D903" s="1" t="s">
        <v>2393</v>
      </c>
      <c r="E903" t="s">
        <v>19</v>
      </c>
      <c r="F903" s="10" t="s">
        <v>52</v>
      </c>
      <c r="G903" s="10" t="s">
        <v>2613</v>
      </c>
      <c r="H903" t="s">
        <v>951</v>
      </c>
      <c r="I903" t="s">
        <v>2622</v>
      </c>
      <c r="K903" s="2"/>
      <c r="M903" t="s">
        <v>2586</v>
      </c>
    </row>
    <row r="904" spans="1:13">
      <c r="A904" t="s">
        <v>28</v>
      </c>
      <c r="B904">
        <f ca="1">IF(OR(changes[[#This Row],[Type]]="Checklist",changes[[#This Row],[Type]]="checklist-flat"),1+IF(changes[[#This Row],[Type of change]] = "Edit",COUNTIFS($I$4:changes[[#This Row],[Name]],changes[[#This Row],[Name]], $E$4:changes[[#This Row],[Type of change]], "Edit")),B903)</f>
        <v>1</v>
      </c>
      <c r="C904" s="16">
        <v>44636</v>
      </c>
      <c r="D904" s="1" t="s">
        <v>2393</v>
      </c>
      <c r="E904" t="s">
        <v>19</v>
      </c>
      <c r="F904" s="10" t="s">
        <v>52</v>
      </c>
      <c r="G904" s="10" t="s">
        <v>2613</v>
      </c>
      <c r="H904" t="s">
        <v>437</v>
      </c>
      <c r="I904" t="s">
        <v>2623</v>
      </c>
      <c r="K904" s="2"/>
      <c r="M904" t="s">
        <v>2586</v>
      </c>
    </row>
    <row r="905" spans="1:13">
      <c r="A905" t="s">
        <v>28</v>
      </c>
      <c r="B905">
        <f ca="1">IF(OR(changes[[#This Row],[Type]]="Checklist",changes[[#This Row],[Type]]="checklist-flat"),1+IF(changes[[#This Row],[Type of change]] = "Edit",COUNTIFS($I$4:changes[[#This Row],[Name]],changes[[#This Row],[Name]], $E$4:changes[[#This Row],[Type of change]], "Edit")),B904)</f>
        <v>1</v>
      </c>
      <c r="C905" s="16">
        <v>44636</v>
      </c>
      <c r="D905" s="1" t="s">
        <v>2393</v>
      </c>
      <c r="E905" t="s">
        <v>19</v>
      </c>
      <c r="F905" s="10" t="s">
        <v>52</v>
      </c>
      <c r="G905" s="10" t="s">
        <v>2613</v>
      </c>
      <c r="H905" t="s">
        <v>437</v>
      </c>
      <c r="I905" t="s">
        <v>2624</v>
      </c>
      <c r="K905" s="2"/>
      <c r="M905" t="s">
        <v>2586</v>
      </c>
    </row>
    <row r="906" spans="1:13">
      <c r="A906" t="s">
        <v>28</v>
      </c>
      <c r="B906">
        <f ca="1">IF(OR(changes[[#This Row],[Type]]="Checklist",changes[[#This Row],[Type]]="checklist-flat"),1+IF(changes[[#This Row],[Type of change]] = "Edit",COUNTIFS($I$4:changes[[#This Row],[Name]],changes[[#This Row],[Name]], $E$4:changes[[#This Row],[Type of change]], "Edit")),B905)</f>
        <v>1</v>
      </c>
      <c r="C906" s="16">
        <v>44636</v>
      </c>
      <c r="D906" s="1" t="s">
        <v>2393</v>
      </c>
      <c r="E906" t="s">
        <v>19</v>
      </c>
      <c r="F906" s="10" t="s">
        <v>52</v>
      </c>
      <c r="G906" s="10" t="s">
        <v>2613</v>
      </c>
      <c r="H906" t="s">
        <v>64</v>
      </c>
      <c r="I906" t="s">
        <v>2612</v>
      </c>
      <c r="K906" s="2"/>
      <c r="M906" t="s">
        <v>2586</v>
      </c>
    </row>
    <row r="907" spans="1:13">
      <c r="A907" t="s">
        <v>28</v>
      </c>
      <c r="B907">
        <f ca="1">IF(OR(changes[[#This Row],[Type]]="Checklist",changes[[#This Row],[Type]]="checklist-flat"),1+IF(changes[[#This Row],[Type of change]] = "Edit",COUNTIFS($I$4:changes[[#This Row],[Name]],changes[[#This Row],[Name]], $E$4:changes[[#This Row],[Type of change]], "Edit")),B906)</f>
        <v>1</v>
      </c>
      <c r="C907" s="16">
        <v>44636</v>
      </c>
      <c r="D907" s="1" t="s">
        <v>2393</v>
      </c>
      <c r="E907" t="s">
        <v>19</v>
      </c>
      <c r="F907" s="10" t="s">
        <v>52</v>
      </c>
      <c r="G907" s="10" t="s">
        <v>2625</v>
      </c>
      <c r="H907" t="s">
        <v>478</v>
      </c>
      <c r="I907" t="s">
        <v>2625</v>
      </c>
      <c r="K907" s="2"/>
      <c r="M907" t="s">
        <v>2586</v>
      </c>
    </row>
    <row r="908" spans="1:13">
      <c r="A908" t="s">
        <v>28</v>
      </c>
      <c r="B908">
        <f ca="1">IF(OR(changes[[#This Row],[Type]]="Checklist",changes[[#This Row],[Type]]="checklist-flat"),1+IF(changes[[#This Row],[Type of change]] = "Edit",COUNTIFS($I$4:changes[[#This Row],[Name]],changes[[#This Row],[Name]], $E$4:changes[[#This Row],[Type of change]], "Edit")),B907)</f>
        <v>1</v>
      </c>
      <c r="C908" s="16">
        <v>44636</v>
      </c>
      <c r="D908" s="1" t="s">
        <v>2393</v>
      </c>
      <c r="E908" t="s">
        <v>19</v>
      </c>
      <c r="F908" s="10" t="s">
        <v>52</v>
      </c>
      <c r="G908" s="10" t="s">
        <v>2625</v>
      </c>
      <c r="H908" t="s">
        <v>1184</v>
      </c>
      <c r="I908" t="s">
        <v>2626</v>
      </c>
      <c r="K908" s="2"/>
      <c r="M908" t="s">
        <v>2586</v>
      </c>
    </row>
    <row r="909" spans="1:13">
      <c r="A909" t="s">
        <v>28</v>
      </c>
      <c r="B909">
        <f ca="1">IF(OR(changes[[#This Row],[Type]]="Checklist",changes[[#This Row],[Type]]="checklist-flat"),1+IF(changes[[#This Row],[Type of change]] = "Edit",COUNTIFS($I$4:changes[[#This Row],[Name]],changes[[#This Row],[Name]], $E$4:changes[[#This Row],[Type of change]], "Edit")),B908)</f>
        <v>1</v>
      </c>
      <c r="C909" s="16">
        <v>44636</v>
      </c>
      <c r="D909" s="1" t="s">
        <v>2393</v>
      </c>
      <c r="E909" t="s">
        <v>19</v>
      </c>
      <c r="F909" s="10" t="s">
        <v>52</v>
      </c>
      <c r="G909" s="10" t="s">
        <v>2625</v>
      </c>
      <c r="H909" t="s">
        <v>55</v>
      </c>
      <c r="I909" t="s">
        <v>2627</v>
      </c>
      <c r="K909" s="2"/>
      <c r="M909" t="s">
        <v>2586</v>
      </c>
    </row>
    <row r="910" spans="1:13">
      <c r="A910" t="s">
        <v>28</v>
      </c>
      <c r="B910">
        <f ca="1">IF(OR(changes[[#This Row],[Type]]="Checklist",changes[[#This Row],[Type]]="checklist-flat"),1+IF(changes[[#This Row],[Type of change]] = "Edit",COUNTIFS($I$4:changes[[#This Row],[Name]],changes[[#This Row],[Name]], $E$4:changes[[#This Row],[Type of change]], "Edit")),B909)</f>
        <v>1</v>
      </c>
      <c r="C910" s="16">
        <v>44636</v>
      </c>
      <c r="D910" s="1" t="s">
        <v>2393</v>
      </c>
      <c r="E910" t="s">
        <v>19</v>
      </c>
      <c r="F910" s="10" t="s">
        <v>52</v>
      </c>
      <c r="G910" s="10" t="s">
        <v>2625</v>
      </c>
      <c r="H910" t="s">
        <v>437</v>
      </c>
      <c r="I910" t="s">
        <v>2628</v>
      </c>
      <c r="K910" s="2"/>
      <c r="M910" t="s">
        <v>2586</v>
      </c>
    </row>
    <row r="911" spans="1:13">
      <c r="A911" t="s">
        <v>28</v>
      </c>
      <c r="B911">
        <f ca="1">IF(OR(changes[[#This Row],[Type]]="Checklist",changes[[#This Row],[Type]]="checklist-flat"),1+IF(changes[[#This Row],[Type of change]] = "Edit",COUNTIFS($I$4:changes[[#This Row],[Name]],changes[[#This Row],[Name]], $E$4:changes[[#This Row],[Type of change]], "Edit")),B910)</f>
        <v>1</v>
      </c>
      <c r="C911" s="16">
        <v>44636</v>
      </c>
      <c r="D911" s="1" t="s">
        <v>2393</v>
      </c>
      <c r="E911" t="s">
        <v>19</v>
      </c>
      <c r="F911" s="10" t="s">
        <v>52</v>
      </c>
      <c r="G911" s="10" t="s">
        <v>2625</v>
      </c>
      <c r="H911" t="s">
        <v>437</v>
      </c>
      <c r="I911" t="s">
        <v>2629</v>
      </c>
      <c r="K911" s="2"/>
      <c r="M911" t="s">
        <v>2586</v>
      </c>
    </row>
    <row r="912" spans="1:13">
      <c r="A912" t="s">
        <v>28</v>
      </c>
      <c r="B912">
        <f ca="1">IF(OR(changes[[#This Row],[Type]]="Checklist",changes[[#This Row],[Type]]="checklist-flat"),1+IF(changes[[#This Row],[Type of change]] = "Edit",COUNTIFS($I$4:changes[[#This Row],[Name]],changes[[#This Row],[Name]], $E$4:changes[[#This Row],[Type of change]], "Edit")),B911)</f>
        <v>1</v>
      </c>
      <c r="C912" s="16">
        <v>44636</v>
      </c>
      <c r="D912" s="1" t="s">
        <v>2393</v>
      </c>
      <c r="E912" t="s">
        <v>19</v>
      </c>
      <c r="F912" s="10" t="s">
        <v>52</v>
      </c>
      <c r="G912" s="10" t="s">
        <v>2625</v>
      </c>
      <c r="H912" t="s">
        <v>437</v>
      </c>
      <c r="I912" t="s">
        <v>2630</v>
      </c>
      <c r="K912" s="2"/>
      <c r="M912" t="s">
        <v>2586</v>
      </c>
    </row>
    <row r="913" spans="1:13">
      <c r="A913" t="s">
        <v>28</v>
      </c>
      <c r="B913">
        <f ca="1">IF(OR(changes[[#This Row],[Type]]="Checklist",changes[[#This Row],[Type]]="checklist-flat"),1+IF(changes[[#This Row],[Type of change]] = "Edit",COUNTIFS($I$4:changes[[#This Row],[Name]],changes[[#This Row],[Name]], $E$4:changes[[#This Row],[Type of change]], "Edit")),B912)</f>
        <v>1</v>
      </c>
      <c r="C913" s="16">
        <v>44636</v>
      </c>
      <c r="D913" s="1" t="s">
        <v>2393</v>
      </c>
      <c r="E913" t="s">
        <v>19</v>
      </c>
      <c r="F913" s="10" t="s">
        <v>52</v>
      </c>
      <c r="G913" s="10" t="s">
        <v>2625</v>
      </c>
      <c r="H913" t="s">
        <v>437</v>
      </c>
      <c r="I913" t="s">
        <v>2631</v>
      </c>
      <c r="K913" s="2"/>
      <c r="M913" t="s">
        <v>2586</v>
      </c>
    </row>
    <row r="914" spans="1:13">
      <c r="A914" t="s">
        <v>28</v>
      </c>
      <c r="B914">
        <f ca="1">IF(OR(changes[[#This Row],[Type]]="Checklist",changes[[#This Row],[Type]]="checklist-flat"),1+IF(changes[[#This Row],[Type of change]] = "Edit",COUNTIFS($I$4:changes[[#This Row],[Name]],changes[[#This Row],[Name]], $E$4:changes[[#This Row],[Type of change]], "Edit")),B913)</f>
        <v>1</v>
      </c>
      <c r="C914" s="16">
        <v>44636</v>
      </c>
      <c r="D914" s="1" t="s">
        <v>2393</v>
      </c>
      <c r="E914" t="s">
        <v>19</v>
      </c>
      <c r="F914" s="10" t="s">
        <v>52</v>
      </c>
      <c r="G914" s="10" t="s">
        <v>2625</v>
      </c>
      <c r="H914" t="s">
        <v>437</v>
      </c>
      <c r="I914" t="s">
        <v>2632</v>
      </c>
      <c r="K914" s="2"/>
      <c r="M914" t="s">
        <v>2586</v>
      </c>
    </row>
    <row r="915" spans="1:13">
      <c r="A915" t="s">
        <v>28</v>
      </c>
      <c r="B915">
        <f ca="1">IF(OR(changes[[#This Row],[Type]]="Checklist",changes[[#This Row],[Type]]="checklist-flat"),1+IF(changes[[#This Row],[Type of change]] = "Edit",COUNTIFS($I$4:changes[[#This Row],[Name]],changes[[#This Row],[Name]], $E$4:changes[[#This Row],[Type of change]], "Edit")),B914)</f>
        <v>1</v>
      </c>
      <c r="C915" s="16">
        <v>44636</v>
      </c>
      <c r="D915" s="1" t="s">
        <v>2393</v>
      </c>
      <c r="E915" t="s">
        <v>19</v>
      </c>
      <c r="F915" s="10" t="s">
        <v>52</v>
      </c>
      <c r="G915" s="10" t="s">
        <v>2625</v>
      </c>
      <c r="H915" t="s">
        <v>437</v>
      </c>
      <c r="I915" t="s">
        <v>2633</v>
      </c>
      <c r="K915" s="2"/>
      <c r="M915" t="s">
        <v>2586</v>
      </c>
    </row>
    <row r="916" spans="1:13">
      <c r="A916" t="s">
        <v>28</v>
      </c>
      <c r="B916">
        <f ca="1">IF(OR(changes[[#This Row],[Type]]="Checklist",changes[[#This Row],[Type]]="checklist-flat"),1+IF(changes[[#This Row],[Type of change]] = "Edit",COUNTIFS($I$4:changes[[#This Row],[Name]],changes[[#This Row],[Name]], $E$4:changes[[#This Row],[Type of change]], "Edit")),B915)</f>
        <v>1</v>
      </c>
      <c r="C916" s="16">
        <v>44636</v>
      </c>
      <c r="D916" s="1" t="s">
        <v>2393</v>
      </c>
      <c r="E916" t="s">
        <v>19</v>
      </c>
      <c r="F916" s="10" t="s">
        <v>52</v>
      </c>
      <c r="G916" s="10" t="s">
        <v>2625</v>
      </c>
      <c r="H916" t="s">
        <v>437</v>
      </c>
      <c r="I916" t="s">
        <v>2634</v>
      </c>
      <c r="K916" s="2"/>
      <c r="M916" t="s">
        <v>2586</v>
      </c>
    </row>
    <row r="917" spans="1:13">
      <c r="A917" t="s">
        <v>28</v>
      </c>
      <c r="B917">
        <f ca="1">IF(OR(changes[[#This Row],[Type]]="Checklist",changes[[#This Row],[Type]]="checklist-flat"),1+IF(changes[[#This Row],[Type of change]] = "Edit",COUNTIFS($I$4:changes[[#This Row],[Name]],changes[[#This Row],[Name]], $E$4:changes[[#This Row],[Type of change]], "Edit")),B916)</f>
        <v>1</v>
      </c>
      <c r="C917" s="16">
        <v>44636</v>
      </c>
      <c r="D917" s="1" t="s">
        <v>2393</v>
      </c>
      <c r="E917" t="s">
        <v>19</v>
      </c>
      <c r="F917" s="10" t="s">
        <v>52</v>
      </c>
      <c r="G917" s="10" t="s">
        <v>2625</v>
      </c>
      <c r="H917" t="s">
        <v>437</v>
      </c>
      <c r="I917" t="s">
        <v>2442</v>
      </c>
      <c r="K917" s="2"/>
      <c r="M917" t="s">
        <v>2586</v>
      </c>
    </row>
    <row r="918" spans="1:13">
      <c r="A918" t="s">
        <v>28</v>
      </c>
      <c r="B918">
        <f ca="1">IF(OR(changes[[#This Row],[Type]]="Checklist",changes[[#This Row],[Type]]="checklist-flat"),1+IF(changes[[#This Row],[Type of change]] = "Edit",COUNTIFS($I$4:changes[[#This Row],[Name]],changes[[#This Row],[Name]], $E$4:changes[[#This Row],[Type of change]], "Edit")),B917)</f>
        <v>1</v>
      </c>
      <c r="C918" s="16">
        <v>44636</v>
      </c>
      <c r="D918" s="1" t="s">
        <v>2393</v>
      </c>
      <c r="E918" t="s">
        <v>19</v>
      </c>
      <c r="F918" s="10" t="s">
        <v>52</v>
      </c>
      <c r="G918" s="10" t="s">
        <v>2625</v>
      </c>
      <c r="H918" t="s">
        <v>951</v>
      </c>
      <c r="I918" t="s">
        <v>377</v>
      </c>
      <c r="K918" s="2"/>
      <c r="M918" t="s">
        <v>2586</v>
      </c>
    </row>
    <row r="919" spans="1:13">
      <c r="A919" t="s">
        <v>28</v>
      </c>
      <c r="B919">
        <f ca="1">IF(OR(changes[[#This Row],[Type]]="Checklist",changes[[#This Row],[Type]]="checklist-flat"),1+IF(changes[[#This Row],[Type of change]] = "Edit",COUNTIFS($I$4:changes[[#This Row],[Name]],changes[[#This Row],[Name]], $E$4:changes[[#This Row],[Type of change]], "Edit")),B918)</f>
        <v>1</v>
      </c>
      <c r="C919" s="16">
        <v>44636</v>
      </c>
      <c r="D919" s="1" t="s">
        <v>2393</v>
      </c>
      <c r="E919" t="s">
        <v>19</v>
      </c>
      <c r="F919" s="10" t="s">
        <v>52</v>
      </c>
      <c r="G919" s="10" t="s">
        <v>2625</v>
      </c>
      <c r="H919" t="s">
        <v>951</v>
      </c>
      <c r="I919" t="s">
        <v>2444</v>
      </c>
      <c r="K919" s="2"/>
      <c r="M919" t="s">
        <v>2586</v>
      </c>
    </row>
    <row r="920" spans="1:13">
      <c r="A920" t="s">
        <v>28</v>
      </c>
      <c r="B920">
        <f ca="1">IF(OR(changes[[#This Row],[Type]]="Checklist",changes[[#This Row],[Type]]="checklist-flat"),1+IF(changes[[#This Row],[Type of change]] = "Edit",COUNTIFS($I$4:changes[[#This Row],[Name]],changes[[#This Row],[Name]], $E$4:changes[[#This Row],[Type of change]], "Edit")),B919)</f>
        <v>1</v>
      </c>
      <c r="C920" s="16">
        <v>44636</v>
      </c>
      <c r="D920" s="1" t="s">
        <v>2393</v>
      </c>
      <c r="E920" t="s">
        <v>19</v>
      </c>
      <c r="F920" s="10" t="s">
        <v>52</v>
      </c>
      <c r="G920" s="10" t="s">
        <v>2625</v>
      </c>
      <c r="H920" t="s">
        <v>951</v>
      </c>
      <c r="I920" t="s">
        <v>2621</v>
      </c>
      <c r="K920" s="2"/>
      <c r="M920" t="s">
        <v>2586</v>
      </c>
    </row>
    <row r="921" spans="1:13">
      <c r="A921" t="s">
        <v>28</v>
      </c>
      <c r="B921">
        <f ca="1">IF(OR(changes[[#This Row],[Type]]="Checklist",changes[[#This Row],[Type]]="checklist-flat"),1+IF(changes[[#This Row],[Type of change]] = "Edit",COUNTIFS($I$4:changes[[#This Row],[Name]],changes[[#This Row],[Name]], $E$4:changes[[#This Row],[Type of change]], "Edit")),B920)</f>
        <v>1</v>
      </c>
      <c r="C921" s="16">
        <v>44636</v>
      </c>
      <c r="D921" s="1" t="s">
        <v>2393</v>
      </c>
      <c r="E921" t="s">
        <v>19</v>
      </c>
      <c r="F921" s="10" t="s">
        <v>52</v>
      </c>
      <c r="G921" s="10" t="s">
        <v>2625</v>
      </c>
      <c r="H921" t="s">
        <v>951</v>
      </c>
      <c r="I921" t="s">
        <v>2622</v>
      </c>
      <c r="K921" s="2"/>
      <c r="M921" t="s">
        <v>2586</v>
      </c>
    </row>
    <row r="922" spans="1:13">
      <c r="A922" t="s">
        <v>28</v>
      </c>
      <c r="B922">
        <f ca="1">IF(OR(changes[[#This Row],[Type]]="Checklist",changes[[#This Row],[Type]]="checklist-flat"),1+IF(changes[[#This Row],[Type of change]] = "Edit",COUNTIFS($I$4:changes[[#This Row],[Name]],changes[[#This Row],[Name]], $E$4:changes[[#This Row],[Type of change]], "Edit")),B921)</f>
        <v>1</v>
      </c>
      <c r="C922" s="16">
        <v>44636</v>
      </c>
      <c r="D922" s="1" t="s">
        <v>2393</v>
      </c>
      <c r="E922" t="s">
        <v>19</v>
      </c>
      <c r="F922" s="10" t="s">
        <v>52</v>
      </c>
      <c r="G922" s="10" t="s">
        <v>2625</v>
      </c>
      <c r="H922" t="s">
        <v>437</v>
      </c>
      <c r="I922" t="s">
        <v>2635</v>
      </c>
      <c r="K922" s="2"/>
      <c r="M922" t="s">
        <v>2586</v>
      </c>
    </row>
    <row r="923" spans="1:13">
      <c r="A923" t="s">
        <v>28</v>
      </c>
      <c r="B923">
        <f ca="1">IF(OR(changes[[#This Row],[Type]]="Checklist",changes[[#This Row],[Type]]="checklist-flat"),1+IF(changes[[#This Row],[Type of change]] = "Edit",COUNTIFS($I$4:changes[[#This Row],[Name]],changes[[#This Row],[Name]], $E$4:changes[[#This Row],[Type of change]], "Edit")),B922)</f>
        <v>1</v>
      </c>
      <c r="C923" s="16">
        <v>44636</v>
      </c>
      <c r="D923" s="1" t="s">
        <v>2393</v>
      </c>
      <c r="E923" t="s">
        <v>19</v>
      </c>
      <c r="F923" s="10" t="s">
        <v>52</v>
      </c>
      <c r="G923" s="10" t="s">
        <v>2625</v>
      </c>
      <c r="H923" t="s">
        <v>437</v>
      </c>
      <c r="I923" t="s">
        <v>2624</v>
      </c>
      <c r="K923" s="2"/>
      <c r="M923" t="s">
        <v>2586</v>
      </c>
    </row>
    <row r="924" spans="1:13">
      <c r="A924" t="s">
        <v>28</v>
      </c>
      <c r="B924">
        <f ca="1">IF(OR(changes[[#This Row],[Type]]="Checklist",changes[[#This Row],[Type]]="checklist-flat"),1+IF(changes[[#This Row],[Type of change]] = "Edit",COUNTIFS($I$4:changes[[#This Row],[Name]],changes[[#This Row],[Name]], $E$4:changes[[#This Row],[Type of change]], "Edit")),B923)</f>
        <v>1</v>
      </c>
      <c r="C924" s="16">
        <v>44636</v>
      </c>
      <c r="D924" s="1" t="s">
        <v>2393</v>
      </c>
      <c r="E924" t="s">
        <v>19</v>
      </c>
      <c r="F924" s="10" t="s">
        <v>52</v>
      </c>
      <c r="G924" s="10" t="s">
        <v>2625</v>
      </c>
      <c r="H924" t="s">
        <v>64</v>
      </c>
      <c r="I924" t="s">
        <v>2612</v>
      </c>
      <c r="K924" s="2"/>
      <c r="M924" t="s">
        <v>2586</v>
      </c>
    </row>
    <row r="925" spans="1:13">
      <c r="A925" t="s">
        <v>28</v>
      </c>
      <c r="B925">
        <f ca="1">IF(OR(changes[[#This Row],[Type]]="Checklist",changes[[#This Row],[Type]]="checklist-flat"),1+IF(changes[[#This Row],[Type of change]] = "Edit",COUNTIFS($I$4:changes[[#This Row],[Name]],changes[[#This Row],[Name]], $E$4:changes[[#This Row],[Type of change]], "Edit")),B924)</f>
        <v>1</v>
      </c>
      <c r="C925" s="16">
        <v>44636</v>
      </c>
      <c r="D925" s="1" t="s">
        <v>2393</v>
      </c>
      <c r="E925" t="s">
        <v>19</v>
      </c>
      <c r="F925" s="10" t="s">
        <v>52</v>
      </c>
      <c r="G925" s="10" t="s">
        <v>2625</v>
      </c>
      <c r="H925" t="s">
        <v>1184</v>
      </c>
      <c r="I925" t="s">
        <v>2636</v>
      </c>
      <c r="K925" s="2"/>
      <c r="M925" t="s">
        <v>2586</v>
      </c>
    </row>
    <row r="926" spans="1:13">
      <c r="A926" t="s">
        <v>28</v>
      </c>
      <c r="B926">
        <f ca="1">IF(OR(changes[[#This Row],[Type]]="Checklist",changes[[#This Row],[Type]]="checklist-flat"),1+IF(changes[[#This Row],[Type of change]] = "Edit",COUNTIFS($I$4:changes[[#This Row],[Name]],changes[[#This Row],[Name]], $E$4:changes[[#This Row],[Type of change]], "Edit")),B925)</f>
        <v>1</v>
      </c>
      <c r="C926" s="16">
        <v>44636</v>
      </c>
      <c r="D926" s="1" t="s">
        <v>2393</v>
      </c>
      <c r="E926" t="s">
        <v>19</v>
      </c>
      <c r="F926" s="10" t="s">
        <v>52</v>
      </c>
      <c r="G926" s="10" t="s">
        <v>2625</v>
      </c>
      <c r="H926" t="s">
        <v>55</v>
      </c>
      <c r="I926" t="s">
        <v>2627</v>
      </c>
      <c r="K926" s="2"/>
      <c r="M926" t="s">
        <v>2586</v>
      </c>
    </row>
    <row r="927" spans="1:13">
      <c r="A927" t="s">
        <v>28</v>
      </c>
      <c r="B927">
        <f ca="1">IF(OR(changes[[#This Row],[Type]]="Checklist",changes[[#This Row],[Type]]="checklist-flat"),1+IF(changes[[#This Row],[Type of change]] = "Edit",COUNTIFS($I$4:changes[[#This Row],[Name]],changes[[#This Row],[Name]], $E$4:changes[[#This Row],[Type of change]], "Edit")),B926)</f>
        <v>1</v>
      </c>
      <c r="C927" s="16">
        <v>44636</v>
      </c>
      <c r="D927" s="1" t="s">
        <v>2393</v>
      </c>
      <c r="E927" t="s">
        <v>19</v>
      </c>
      <c r="F927" s="10" t="s">
        <v>52</v>
      </c>
      <c r="G927" s="10" t="s">
        <v>2625</v>
      </c>
      <c r="H927" t="s">
        <v>437</v>
      </c>
      <c r="I927" t="s">
        <v>2628</v>
      </c>
      <c r="K927" s="2"/>
      <c r="M927" t="s">
        <v>2586</v>
      </c>
    </row>
    <row r="928" spans="1:13">
      <c r="A928" t="s">
        <v>28</v>
      </c>
      <c r="B928">
        <f ca="1">IF(OR(changes[[#This Row],[Type]]="Checklist",changes[[#This Row],[Type]]="checklist-flat"),1+IF(changes[[#This Row],[Type of change]] = "Edit",COUNTIFS($I$4:changes[[#This Row],[Name]],changes[[#This Row],[Name]], $E$4:changes[[#This Row],[Type of change]], "Edit")),B927)</f>
        <v>1</v>
      </c>
      <c r="C928" s="16">
        <v>44636</v>
      </c>
      <c r="D928" s="1" t="s">
        <v>2393</v>
      </c>
      <c r="E928" t="s">
        <v>19</v>
      </c>
      <c r="F928" s="10" t="s">
        <v>52</v>
      </c>
      <c r="G928" s="10" t="s">
        <v>2625</v>
      </c>
      <c r="H928" t="s">
        <v>437</v>
      </c>
      <c r="I928" t="s">
        <v>2629</v>
      </c>
      <c r="K928" s="2"/>
      <c r="M928" t="s">
        <v>2586</v>
      </c>
    </row>
    <row r="929" spans="1:13">
      <c r="A929" t="s">
        <v>28</v>
      </c>
      <c r="B929">
        <f ca="1">IF(OR(changes[[#This Row],[Type]]="Checklist",changes[[#This Row],[Type]]="checklist-flat"),1+IF(changes[[#This Row],[Type of change]] = "Edit",COUNTIFS($I$4:changes[[#This Row],[Name]],changes[[#This Row],[Name]], $E$4:changes[[#This Row],[Type of change]], "Edit")),B928)</f>
        <v>1</v>
      </c>
      <c r="C929" s="16">
        <v>44636</v>
      </c>
      <c r="D929" s="1" t="s">
        <v>2393</v>
      </c>
      <c r="E929" t="s">
        <v>19</v>
      </c>
      <c r="F929" s="10" t="s">
        <v>52</v>
      </c>
      <c r="G929" s="10" t="s">
        <v>2625</v>
      </c>
      <c r="H929" t="s">
        <v>437</v>
      </c>
      <c r="I929" t="s">
        <v>2630</v>
      </c>
      <c r="K929" s="2"/>
      <c r="M929" t="s">
        <v>2586</v>
      </c>
    </row>
    <row r="930" spans="1:13">
      <c r="A930" t="s">
        <v>28</v>
      </c>
      <c r="B930">
        <f ca="1">IF(OR(changes[[#This Row],[Type]]="Checklist",changes[[#This Row],[Type]]="checklist-flat"),1+IF(changes[[#This Row],[Type of change]] = "Edit",COUNTIFS($I$4:changes[[#This Row],[Name]],changes[[#This Row],[Name]], $E$4:changes[[#This Row],[Type of change]], "Edit")),B929)</f>
        <v>1</v>
      </c>
      <c r="C930" s="16">
        <v>44636</v>
      </c>
      <c r="D930" s="1" t="s">
        <v>2393</v>
      </c>
      <c r="E930" t="s">
        <v>19</v>
      </c>
      <c r="F930" s="10" t="s">
        <v>52</v>
      </c>
      <c r="G930" s="10" t="s">
        <v>2625</v>
      </c>
      <c r="H930" t="s">
        <v>437</v>
      </c>
      <c r="I930" t="s">
        <v>2631</v>
      </c>
      <c r="K930" s="2"/>
      <c r="M930" t="s">
        <v>2586</v>
      </c>
    </row>
    <row r="931" spans="1:13">
      <c r="A931" t="s">
        <v>28</v>
      </c>
      <c r="B931">
        <f ca="1">IF(OR(changes[[#This Row],[Type]]="Checklist",changes[[#This Row],[Type]]="checklist-flat"),1+IF(changes[[#This Row],[Type of change]] = "Edit",COUNTIFS($I$4:changes[[#This Row],[Name]],changes[[#This Row],[Name]], $E$4:changes[[#This Row],[Type of change]], "Edit")),B930)</f>
        <v>1</v>
      </c>
      <c r="C931" s="16">
        <v>44636</v>
      </c>
      <c r="D931" s="1" t="s">
        <v>2393</v>
      </c>
      <c r="E931" t="s">
        <v>19</v>
      </c>
      <c r="F931" s="10" t="s">
        <v>52</v>
      </c>
      <c r="G931" s="10" t="s">
        <v>2625</v>
      </c>
      <c r="H931" t="s">
        <v>437</v>
      </c>
      <c r="I931" t="s">
        <v>2632</v>
      </c>
      <c r="K931" s="2"/>
      <c r="M931" t="s">
        <v>2586</v>
      </c>
    </row>
    <row r="932" spans="1:13">
      <c r="A932" t="s">
        <v>28</v>
      </c>
      <c r="B932">
        <f ca="1">IF(OR(changes[[#This Row],[Type]]="Checklist",changes[[#This Row],[Type]]="checklist-flat"),1+IF(changes[[#This Row],[Type of change]] = "Edit",COUNTIFS($I$4:changes[[#This Row],[Name]],changes[[#This Row],[Name]], $E$4:changes[[#This Row],[Type of change]], "Edit")),B931)</f>
        <v>1</v>
      </c>
      <c r="C932" s="16">
        <v>44636</v>
      </c>
      <c r="D932" s="1" t="s">
        <v>2393</v>
      </c>
      <c r="E932" t="s">
        <v>19</v>
      </c>
      <c r="F932" s="10" t="s">
        <v>52</v>
      </c>
      <c r="G932" s="10" t="s">
        <v>2625</v>
      </c>
      <c r="H932" t="s">
        <v>437</v>
      </c>
      <c r="I932" t="s">
        <v>2633</v>
      </c>
      <c r="K932" s="2"/>
      <c r="M932" t="s">
        <v>2586</v>
      </c>
    </row>
    <row r="933" spans="1:13">
      <c r="A933" t="s">
        <v>28</v>
      </c>
      <c r="B933">
        <f ca="1">IF(OR(changes[[#This Row],[Type]]="Checklist",changes[[#This Row],[Type]]="checklist-flat"),1+IF(changes[[#This Row],[Type of change]] = "Edit",COUNTIFS($I$4:changes[[#This Row],[Name]],changes[[#This Row],[Name]], $E$4:changes[[#This Row],[Type of change]], "Edit")),B932)</f>
        <v>1</v>
      </c>
      <c r="C933" s="16">
        <v>44636</v>
      </c>
      <c r="D933" s="1" t="s">
        <v>2393</v>
      </c>
      <c r="E933" t="s">
        <v>19</v>
      </c>
      <c r="F933" s="10" t="s">
        <v>52</v>
      </c>
      <c r="G933" s="10" t="s">
        <v>2625</v>
      </c>
      <c r="H933" t="s">
        <v>437</v>
      </c>
      <c r="I933" t="s">
        <v>2634</v>
      </c>
      <c r="K933" s="2"/>
      <c r="M933" t="s">
        <v>2586</v>
      </c>
    </row>
    <row r="934" spans="1:13">
      <c r="A934" t="s">
        <v>28</v>
      </c>
      <c r="B934">
        <f ca="1">IF(OR(changes[[#This Row],[Type]]="Checklist",changes[[#This Row],[Type]]="checklist-flat"),1+IF(changes[[#This Row],[Type of change]] = "Edit",COUNTIFS($I$4:changes[[#This Row],[Name]],changes[[#This Row],[Name]], $E$4:changes[[#This Row],[Type of change]], "Edit")),B933)</f>
        <v>1</v>
      </c>
      <c r="C934" s="16">
        <v>44636</v>
      </c>
      <c r="D934" s="1" t="s">
        <v>2393</v>
      </c>
      <c r="E934" t="s">
        <v>19</v>
      </c>
      <c r="F934" s="10" t="s">
        <v>52</v>
      </c>
      <c r="G934" s="10" t="s">
        <v>2625</v>
      </c>
      <c r="H934" t="s">
        <v>437</v>
      </c>
      <c r="I934" t="s">
        <v>2442</v>
      </c>
      <c r="K934" s="2"/>
      <c r="M934" t="s">
        <v>2586</v>
      </c>
    </row>
    <row r="935" spans="1:13">
      <c r="A935" t="s">
        <v>28</v>
      </c>
      <c r="B935">
        <f ca="1">IF(OR(changes[[#This Row],[Type]]="Checklist",changes[[#This Row],[Type]]="checklist-flat"),1+IF(changes[[#This Row],[Type of change]] = "Edit",COUNTIFS($I$4:changes[[#This Row],[Name]],changes[[#This Row],[Name]], $E$4:changes[[#This Row],[Type of change]], "Edit")),B934)</f>
        <v>1</v>
      </c>
      <c r="C935" s="16">
        <v>44636</v>
      </c>
      <c r="D935" s="1" t="s">
        <v>2393</v>
      </c>
      <c r="E935" t="s">
        <v>19</v>
      </c>
      <c r="F935" s="10" t="s">
        <v>52</v>
      </c>
      <c r="G935" s="10" t="s">
        <v>2625</v>
      </c>
      <c r="H935" t="s">
        <v>951</v>
      </c>
      <c r="I935" t="s">
        <v>377</v>
      </c>
      <c r="K935" s="2"/>
      <c r="M935" t="s">
        <v>2586</v>
      </c>
    </row>
    <row r="936" spans="1:13">
      <c r="A936" t="s">
        <v>28</v>
      </c>
      <c r="B936">
        <f ca="1">IF(OR(changes[[#This Row],[Type]]="Checklist",changes[[#This Row],[Type]]="checklist-flat"),1+IF(changes[[#This Row],[Type of change]] = "Edit",COUNTIFS($I$4:changes[[#This Row],[Name]],changes[[#This Row],[Name]], $E$4:changes[[#This Row],[Type of change]], "Edit")),B935)</f>
        <v>1</v>
      </c>
      <c r="C936" s="16">
        <v>44636</v>
      </c>
      <c r="D936" s="1" t="s">
        <v>2393</v>
      </c>
      <c r="E936" t="s">
        <v>19</v>
      </c>
      <c r="F936" s="10" t="s">
        <v>52</v>
      </c>
      <c r="G936" s="10" t="s">
        <v>2625</v>
      </c>
      <c r="H936" t="s">
        <v>951</v>
      </c>
      <c r="I936" t="s">
        <v>2444</v>
      </c>
      <c r="K936" s="2"/>
      <c r="M936" t="s">
        <v>2586</v>
      </c>
    </row>
    <row r="937" spans="1:13">
      <c r="A937" t="s">
        <v>28</v>
      </c>
      <c r="B937">
        <f ca="1">IF(OR(changes[[#This Row],[Type]]="Checklist",changes[[#This Row],[Type]]="checklist-flat"),1+IF(changes[[#This Row],[Type of change]] = "Edit",COUNTIFS($I$4:changes[[#This Row],[Name]],changes[[#This Row],[Name]], $E$4:changes[[#This Row],[Type of change]], "Edit")),B936)</f>
        <v>1</v>
      </c>
      <c r="C937" s="16">
        <v>44636</v>
      </c>
      <c r="D937" s="1" t="s">
        <v>2393</v>
      </c>
      <c r="E937" t="s">
        <v>19</v>
      </c>
      <c r="F937" s="10" t="s">
        <v>52</v>
      </c>
      <c r="G937" s="10" t="s">
        <v>2625</v>
      </c>
      <c r="H937" t="s">
        <v>951</v>
      </c>
      <c r="I937" t="s">
        <v>2621</v>
      </c>
      <c r="K937" s="2"/>
      <c r="M937" t="s">
        <v>2586</v>
      </c>
    </row>
    <row r="938" spans="1:13">
      <c r="A938" t="s">
        <v>28</v>
      </c>
      <c r="B938">
        <f ca="1">IF(OR(changes[[#This Row],[Type]]="Checklist",changes[[#This Row],[Type]]="checklist-flat"),1+IF(changes[[#This Row],[Type of change]] = "Edit",COUNTIFS($I$4:changes[[#This Row],[Name]],changes[[#This Row],[Name]], $E$4:changes[[#This Row],[Type of change]], "Edit")),B937)</f>
        <v>1</v>
      </c>
      <c r="C938" s="16">
        <v>44636</v>
      </c>
      <c r="D938" s="1" t="s">
        <v>2393</v>
      </c>
      <c r="E938" t="s">
        <v>19</v>
      </c>
      <c r="F938" s="10" t="s">
        <v>52</v>
      </c>
      <c r="G938" s="10" t="s">
        <v>2625</v>
      </c>
      <c r="H938" t="s">
        <v>951</v>
      </c>
      <c r="I938" t="s">
        <v>2622</v>
      </c>
      <c r="K938" s="2"/>
      <c r="M938" t="s">
        <v>2586</v>
      </c>
    </row>
    <row r="939" spans="1:13">
      <c r="A939" t="s">
        <v>28</v>
      </c>
      <c r="B939">
        <f ca="1">IF(OR(changes[[#This Row],[Type]]="Checklist",changes[[#This Row],[Type]]="checklist-flat"),1+IF(changes[[#This Row],[Type of change]] = "Edit",COUNTIFS($I$4:changes[[#This Row],[Name]],changes[[#This Row],[Name]], $E$4:changes[[#This Row],[Type of change]], "Edit")),B938)</f>
        <v>1</v>
      </c>
      <c r="C939" s="16">
        <v>44636</v>
      </c>
      <c r="D939" s="1" t="s">
        <v>2393</v>
      </c>
      <c r="E939" t="s">
        <v>19</v>
      </c>
      <c r="F939" s="10" t="s">
        <v>52</v>
      </c>
      <c r="G939" s="10" t="s">
        <v>2625</v>
      </c>
      <c r="H939" t="s">
        <v>437</v>
      </c>
      <c r="I939" t="s">
        <v>2635</v>
      </c>
      <c r="K939" s="2"/>
      <c r="M939" t="s">
        <v>2586</v>
      </c>
    </row>
    <row r="940" spans="1:13">
      <c r="A940" t="s">
        <v>28</v>
      </c>
      <c r="B940">
        <f ca="1">IF(OR(changes[[#This Row],[Type]]="Checklist",changes[[#This Row],[Type]]="checklist-flat"),1+IF(changes[[#This Row],[Type of change]] = "Edit",COUNTIFS($I$4:changes[[#This Row],[Name]],changes[[#This Row],[Name]], $E$4:changes[[#This Row],[Type of change]], "Edit")),B939)</f>
        <v>1</v>
      </c>
      <c r="C940" s="16">
        <v>44636</v>
      </c>
      <c r="D940" s="1" t="s">
        <v>2393</v>
      </c>
      <c r="E940" t="s">
        <v>19</v>
      </c>
      <c r="F940" s="10" t="s">
        <v>52</v>
      </c>
      <c r="G940" s="10" t="s">
        <v>2625</v>
      </c>
      <c r="H940" t="s">
        <v>437</v>
      </c>
      <c r="I940" t="s">
        <v>2624</v>
      </c>
      <c r="K940" s="2"/>
      <c r="M940" t="s">
        <v>2586</v>
      </c>
    </row>
    <row r="941" spans="1:13">
      <c r="A941" t="s">
        <v>28</v>
      </c>
      <c r="B941">
        <f ca="1">IF(OR(changes[[#This Row],[Type]]="Checklist",changes[[#This Row],[Type]]="checklist-flat"),1+IF(changes[[#This Row],[Type of change]] = "Edit",COUNTIFS($I$4:changes[[#This Row],[Name]],changes[[#This Row],[Name]], $E$4:changes[[#This Row],[Type of change]], "Edit")),B940)</f>
        <v>1</v>
      </c>
      <c r="C941" s="16">
        <v>44636</v>
      </c>
      <c r="D941" s="1" t="s">
        <v>2393</v>
      </c>
      <c r="E941" t="s">
        <v>19</v>
      </c>
      <c r="F941" s="10" t="s">
        <v>52</v>
      </c>
      <c r="G941" s="10" t="s">
        <v>2625</v>
      </c>
      <c r="H941" t="s">
        <v>64</v>
      </c>
      <c r="I941" t="s">
        <v>2612</v>
      </c>
      <c r="K941" s="2"/>
      <c r="M941" t="s">
        <v>2586</v>
      </c>
    </row>
    <row r="942" spans="1:13">
      <c r="A942" t="s">
        <v>28</v>
      </c>
      <c r="B942">
        <f ca="1">IF(OR(changes[[#This Row],[Type]]="Checklist",changes[[#This Row],[Type]]="checklist-flat"),1+IF(changes[[#This Row],[Type of change]] = "Edit",COUNTIFS($I$4:changes[[#This Row],[Name]],changes[[#This Row],[Name]], $E$4:changes[[#This Row],[Type of change]], "Edit")),B941)</f>
        <v>1</v>
      </c>
      <c r="C942" s="16">
        <v>44636</v>
      </c>
      <c r="D942" s="1" t="s">
        <v>2393</v>
      </c>
      <c r="E942" t="s">
        <v>19</v>
      </c>
      <c r="F942" s="10" t="s">
        <v>52</v>
      </c>
      <c r="G942" s="10" t="s">
        <v>2625</v>
      </c>
      <c r="H942" t="s">
        <v>1184</v>
      </c>
      <c r="I942" t="s">
        <v>2637</v>
      </c>
      <c r="K942" s="2"/>
      <c r="M942" t="s">
        <v>2586</v>
      </c>
    </row>
    <row r="943" spans="1:13">
      <c r="A943" t="s">
        <v>28</v>
      </c>
      <c r="B943">
        <f ca="1">IF(OR(changes[[#This Row],[Type]]="Checklist",changes[[#This Row],[Type]]="checklist-flat"),1+IF(changes[[#This Row],[Type of change]] = "Edit",COUNTIFS($I$4:changes[[#This Row],[Name]],changes[[#This Row],[Name]], $E$4:changes[[#This Row],[Type of change]], "Edit")),B942)</f>
        <v>1</v>
      </c>
      <c r="C943" s="16">
        <v>44636</v>
      </c>
      <c r="D943" s="1" t="s">
        <v>2393</v>
      </c>
      <c r="E943" t="s">
        <v>19</v>
      </c>
      <c r="F943" s="10" t="s">
        <v>52</v>
      </c>
      <c r="G943" s="10" t="s">
        <v>2625</v>
      </c>
      <c r="H943" t="s">
        <v>55</v>
      </c>
      <c r="I943" t="s">
        <v>2627</v>
      </c>
      <c r="K943" s="2"/>
      <c r="M943" t="s">
        <v>2586</v>
      </c>
    </row>
    <row r="944" spans="1:13">
      <c r="A944" t="s">
        <v>28</v>
      </c>
      <c r="B944">
        <f ca="1">IF(OR(changes[[#This Row],[Type]]="Checklist",changes[[#This Row],[Type]]="checklist-flat"),1+IF(changes[[#This Row],[Type of change]] = "Edit",COUNTIFS($I$4:changes[[#This Row],[Name]],changes[[#This Row],[Name]], $E$4:changes[[#This Row],[Type of change]], "Edit")),B943)</f>
        <v>1</v>
      </c>
      <c r="C944" s="16">
        <v>44636</v>
      </c>
      <c r="D944" s="1" t="s">
        <v>2393</v>
      </c>
      <c r="E944" t="s">
        <v>19</v>
      </c>
      <c r="F944" s="10" t="s">
        <v>52</v>
      </c>
      <c r="G944" s="10" t="s">
        <v>2625</v>
      </c>
      <c r="H944" t="s">
        <v>437</v>
      </c>
      <c r="I944" t="s">
        <v>2628</v>
      </c>
      <c r="K944" s="2"/>
      <c r="M944" t="s">
        <v>2586</v>
      </c>
    </row>
    <row r="945" spans="1:13">
      <c r="A945" t="s">
        <v>28</v>
      </c>
      <c r="B945">
        <f ca="1">IF(OR(changes[[#This Row],[Type]]="Checklist",changes[[#This Row],[Type]]="checklist-flat"),1+IF(changes[[#This Row],[Type of change]] = "Edit",COUNTIFS($I$4:changes[[#This Row],[Name]],changes[[#This Row],[Name]], $E$4:changes[[#This Row],[Type of change]], "Edit")),B944)</f>
        <v>1</v>
      </c>
      <c r="C945" s="16">
        <v>44636</v>
      </c>
      <c r="D945" s="1" t="s">
        <v>2393</v>
      </c>
      <c r="E945" t="s">
        <v>19</v>
      </c>
      <c r="F945" s="10" t="s">
        <v>52</v>
      </c>
      <c r="G945" s="10" t="s">
        <v>2625</v>
      </c>
      <c r="H945" t="s">
        <v>437</v>
      </c>
      <c r="I945" t="s">
        <v>2629</v>
      </c>
      <c r="K945" s="2"/>
      <c r="M945" t="s">
        <v>2586</v>
      </c>
    </row>
    <row r="946" spans="1:13">
      <c r="A946" t="s">
        <v>28</v>
      </c>
      <c r="B946">
        <f ca="1">IF(OR(changes[[#This Row],[Type]]="Checklist",changes[[#This Row],[Type]]="checklist-flat"),1+IF(changes[[#This Row],[Type of change]] = "Edit",COUNTIFS($I$4:changes[[#This Row],[Name]],changes[[#This Row],[Name]], $E$4:changes[[#This Row],[Type of change]], "Edit")),B945)</f>
        <v>1</v>
      </c>
      <c r="C946" s="16">
        <v>44636</v>
      </c>
      <c r="D946" s="1" t="s">
        <v>2393</v>
      </c>
      <c r="E946" t="s">
        <v>19</v>
      </c>
      <c r="F946" s="10" t="s">
        <v>52</v>
      </c>
      <c r="G946" s="10" t="s">
        <v>2625</v>
      </c>
      <c r="H946" t="s">
        <v>437</v>
      </c>
      <c r="I946" t="s">
        <v>2630</v>
      </c>
      <c r="K946" s="2"/>
      <c r="M946" t="s">
        <v>2586</v>
      </c>
    </row>
    <row r="947" spans="1:13">
      <c r="A947" t="s">
        <v>28</v>
      </c>
      <c r="B947">
        <f ca="1">IF(OR(changes[[#This Row],[Type]]="Checklist",changes[[#This Row],[Type]]="checklist-flat"),1+IF(changes[[#This Row],[Type of change]] = "Edit",COUNTIFS($I$4:changes[[#This Row],[Name]],changes[[#This Row],[Name]], $E$4:changes[[#This Row],[Type of change]], "Edit")),B946)</f>
        <v>1</v>
      </c>
      <c r="C947" s="16">
        <v>44636</v>
      </c>
      <c r="D947" s="1" t="s">
        <v>2393</v>
      </c>
      <c r="E947" t="s">
        <v>19</v>
      </c>
      <c r="F947" s="10" t="s">
        <v>52</v>
      </c>
      <c r="G947" s="10" t="s">
        <v>2625</v>
      </c>
      <c r="H947" t="s">
        <v>437</v>
      </c>
      <c r="I947" t="s">
        <v>2631</v>
      </c>
      <c r="K947" s="2"/>
      <c r="M947" t="s">
        <v>2586</v>
      </c>
    </row>
    <row r="948" spans="1:13">
      <c r="A948" t="s">
        <v>28</v>
      </c>
      <c r="B948">
        <f ca="1">IF(OR(changes[[#This Row],[Type]]="Checklist",changes[[#This Row],[Type]]="checklist-flat"),1+IF(changes[[#This Row],[Type of change]] = "Edit",COUNTIFS($I$4:changes[[#This Row],[Name]],changes[[#This Row],[Name]], $E$4:changes[[#This Row],[Type of change]], "Edit")),B947)</f>
        <v>1</v>
      </c>
      <c r="C948" s="16">
        <v>44636</v>
      </c>
      <c r="D948" s="1" t="s">
        <v>2393</v>
      </c>
      <c r="E948" t="s">
        <v>19</v>
      </c>
      <c r="F948" s="10" t="s">
        <v>52</v>
      </c>
      <c r="G948" s="10" t="s">
        <v>2625</v>
      </c>
      <c r="H948" t="s">
        <v>437</v>
      </c>
      <c r="I948" t="s">
        <v>2632</v>
      </c>
      <c r="K948" s="2"/>
      <c r="M948" t="s">
        <v>2586</v>
      </c>
    </row>
    <row r="949" spans="1:13">
      <c r="A949" t="s">
        <v>28</v>
      </c>
      <c r="B949">
        <f ca="1">IF(OR(changes[[#This Row],[Type]]="Checklist",changes[[#This Row],[Type]]="checklist-flat"),1+IF(changes[[#This Row],[Type of change]] = "Edit",COUNTIFS($I$4:changes[[#This Row],[Name]],changes[[#This Row],[Name]], $E$4:changes[[#This Row],[Type of change]], "Edit")),B948)</f>
        <v>1</v>
      </c>
      <c r="C949" s="16">
        <v>44636</v>
      </c>
      <c r="D949" s="1" t="s">
        <v>2393</v>
      </c>
      <c r="E949" t="s">
        <v>19</v>
      </c>
      <c r="F949" s="10" t="s">
        <v>52</v>
      </c>
      <c r="G949" s="10" t="s">
        <v>2625</v>
      </c>
      <c r="H949" t="s">
        <v>437</v>
      </c>
      <c r="I949" t="s">
        <v>2633</v>
      </c>
      <c r="K949" s="2"/>
      <c r="M949" t="s">
        <v>2586</v>
      </c>
    </row>
    <row r="950" spans="1:13">
      <c r="A950" t="s">
        <v>28</v>
      </c>
      <c r="B950">
        <f ca="1">IF(OR(changes[[#This Row],[Type]]="Checklist",changes[[#This Row],[Type]]="checklist-flat"),1+IF(changes[[#This Row],[Type of change]] = "Edit",COUNTIFS($I$4:changes[[#This Row],[Name]],changes[[#This Row],[Name]], $E$4:changes[[#This Row],[Type of change]], "Edit")),B949)</f>
        <v>1</v>
      </c>
      <c r="C950" s="16">
        <v>44636</v>
      </c>
      <c r="D950" s="1" t="s">
        <v>2393</v>
      </c>
      <c r="E950" t="s">
        <v>19</v>
      </c>
      <c r="F950" s="10" t="s">
        <v>52</v>
      </c>
      <c r="G950" s="10" t="s">
        <v>2625</v>
      </c>
      <c r="H950" t="s">
        <v>437</v>
      </c>
      <c r="I950" t="s">
        <v>2634</v>
      </c>
      <c r="K950" s="2"/>
      <c r="M950" t="s">
        <v>2586</v>
      </c>
    </row>
    <row r="951" spans="1:13">
      <c r="A951" t="s">
        <v>28</v>
      </c>
      <c r="B951">
        <f ca="1">IF(OR(changes[[#This Row],[Type]]="Checklist",changes[[#This Row],[Type]]="checklist-flat"),1+IF(changes[[#This Row],[Type of change]] = "Edit",COUNTIFS($I$4:changes[[#This Row],[Name]],changes[[#This Row],[Name]], $E$4:changes[[#This Row],[Type of change]], "Edit")),B950)</f>
        <v>1</v>
      </c>
      <c r="C951" s="16">
        <v>44636</v>
      </c>
      <c r="D951" s="1" t="s">
        <v>2393</v>
      </c>
      <c r="E951" t="s">
        <v>19</v>
      </c>
      <c r="F951" s="10" t="s">
        <v>52</v>
      </c>
      <c r="G951" s="10" t="s">
        <v>2625</v>
      </c>
      <c r="H951" t="s">
        <v>437</v>
      </c>
      <c r="I951" t="s">
        <v>2442</v>
      </c>
      <c r="K951" s="2"/>
      <c r="M951" t="s">
        <v>2586</v>
      </c>
    </row>
    <row r="952" spans="1:13">
      <c r="A952" t="s">
        <v>28</v>
      </c>
      <c r="B952">
        <f ca="1">IF(OR(changes[[#This Row],[Type]]="Checklist",changes[[#This Row],[Type]]="checklist-flat"),1+IF(changes[[#This Row],[Type of change]] = "Edit",COUNTIFS($I$4:changes[[#This Row],[Name]],changes[[#This Row],[Name]], $E$4:changes[[#This Row],[Type of change]], "Edit")),B951)</f>
        <v>1</v>
      </c>
      <c r="C952" s="16">
        <v>44636</v>
      </c>
      <c r="D952" s="1" t="s">
        <v>2393</v>
      </c>
      <c r="E952" t="s">
        <v>19</v>
      </c>
      <c r="F952" s="10" t="s">
        <v>52</v>
      </c>
      <c r="G952" s="10" t="s">
        <v>2625</v>
      </c>
      <c r="H952" t="s">
        <v>951</v>
      </c>
      <c r="I952" t="s">
        <v>377</v>
      </c>
      <c r="K952" s="2"/>
      <c r="M952" t="s">
        <v>2586</v>
      </c>
    </row>
    <row r="953" spans="1:13">
      <c r="A953" t="s">
        <v>28</v>
      </c>
      <c r="B953">
        <f ca="1">IF(OR(changes[[#This Row],[Type]]="Checklist",changes[[#This Row],[Type]]="checklist-flat"),1+IF(changes[[#This Row],[Type of change]] = "Edit",COUNTIFS($I$4:changes[[#This Row],[Name]],changes[[#This Row],[Name]], $E$4:changes[[#This Row],[Type of change]], "Edit")),B952)</f>
        <v>1</v>
      </c>
      <c r="C953" s="16">
        <v>44636</v>
      </c>
      <c r="D953" s="1" t="s">
        <v>2393</v>
      </c>
      <c r="E953" t="s">
        <v>19</v>
      </c>
      <c r="F953" s="10" t="s">
        <v>52</v>
      </c>
      <c r="G953" s="10" t="s">
        <v>2625</v>
      </c>
      <c r="H953" t="s">
        <v>951</v>
      </c>
      <c r="I953" t="s">
        <v>2444</v>
      </c>
      <c r="K953" s="2"/>
      <c r="M953" t="s">
        <v>2586</v>
      </c>
    </row>
    <row r="954" spans="1:13">
      <c r="A954" t="s">
        <v>28</v>
      </c>
      <c r="B954">
        <f ca="1">IF(OR(changes[[#This Row],[Type]]="Checklist",changes[[#This Row],[Type]]="checklist-flat"),1+IF(changes[[#This Row],[Type of change]] = "Edit",COUNTIFS($I$4:changes[[#This Row],[Name]],changes[[#This Row],[Name]], $E$4:changes[[#This Row],[Type of change]], "Edit")),B953)</f>
        <v>1</v>
      </c>
      <c r="C954" s="16">
        <v>44636</v>
      </c>
      <c r="D954" s="1" t="s">
        <v>2393</v>
      </c>
      <c r="E954" t="s">
        <v>19</v>
      </c>
      <c r="F954" s="10" t="s">
        <v>52</v>
      </c>
      <c r="G954" s="10" t="s">
        <v>2625</v>
      </c>
      <c r="H954" t="s">
        <v>951</v>
      </c>
      <c r="I954" t="s">
        <v>2621</v>
      </c>
      <c r="K954" s="2"/>
      <c r="M954" t="s">
        <v>2586</v>
      </c>
    </row>
    <row r="955" spans="1:13">
      <c r="A955" t="s">
        <v>28</v>
      </c>
      <c r="B955">
        <f ca="1">IF(OR(changes[[#This Row],[Type]]="Checklist",changes[[#This Row],[Type]]="checklist-flat"),1+IF(changes[[#This Row],[Type of change]] = "Edit",COUNTIFS($I$4:changes[[#This Row],[Name]],changes[[#This Row],[Name]], $E$4:changes[[#This Row],[Type of change]], "Edit")),B954)</f>
        <v>1</v>
      </c>
      <c r="C955" s="16">
        <v>44636</v>
      </c>
      <c r="D955" s="1" t="s">
        <v>2393</v>
      </c>
      <c r="E955" t="s">
        <v>19</v>
      </c>
      <c r="F955" s="10" t="s">
        <v>52</v>
      </c>
      <c r="G955" s="10" t="s">
        <v>2625</v>
      </c>
      <c r="H955" t="s">
        <v>951</v>
      </c>
      <c r="I955" t="s">
        <v>2622</v>
      </c>
      <c r="K955" s="2"/>
      <c r="M955" t="s">
        <v>2586</v>
      </c>
    </row>
    <row r="956" spans="1:13">
      <c r="A956" t="s">
        <v>28</v>
      </c>
      <c r="B956">
        <f ca="1">IF(OR(changes[[#This Row],[Type]]="Checklist",changes[[#This Row],[Type]]="checklist-flat"),1+IF(changes[[#This Row],[Type of change]] = "Edit",COUNTIFS($I$4:changes[[#This Row],[Name]],changes[[#This Row],[Name]], $E$4:changes[[#This Row],[Type of change]], "Edit")),B955)</f>
        <v>1</v>
      </c>
      <c r="C956" s="16">
        <v>44636</v>
      </c>
      <c r="D956" s="1" t="s">
        <v>2393</v>
      </c>
      <c r="E956" t="s">
        <v>19</v>
      </c>
      <c r="F956" s="10" t="s">
        <v>52</v>
      </c>
      <c r="G956" s="10" t="s">
        <v>2625</v>
      </c>
      <c r="H956" t="s">
        <v>437</v>
      </c>
      <c r="I956" t="s">
        <v>2635</v>
      </c>
      <c r="K956" s="2"/>
      <c r="M956" t="s">
        <v>2586</v>
      </c>
    </row>
    <row r="957" spans="1:13">
      <c r="A957" t="s">
        <v>28</v>
      </c>
      <c r="B957">
        <f ca="1">IF(OR(changes[[#This Row],[Type]]="Checklist",changes[[#This Row],[Type]]="checklist-flat"),1+IF(changes[[#This Row],[Type of change]] = "Edit",COUNTIFS($I$4:changes[[#This Row],[Name]],changes[[#This Row],[Name]], $E$4:changes[[#This Row],[Type of change]], "Edit")),B956)</f>
        <v>1</v>
      </c>
      <c r="C957" s="16">
        <v>44636</v>
      </c>
      <c r="D957" s="1" t="s">
        <v>2393</v>
      </c>
      <c r="E957" t="s">
        <v>19</v>
      </c>
      <c r="F957" s="10" t="s">
        <v>52</v>
      </c>
      <c r="G957" s="10" t="s">
        <v>2625</v>
      </c>
      <c r="H957" t="s">
        <v>437</v>
      </c>
      <c r="I957" t="s">
        <v>2624</v>
      </c>
      <c r="K957" s="2"/>
      <c r="M957" t="s">
        <v>2586</v>
      </c>
    </row>
    <row r="958" spans="1:13">
      <c r="A958" t="s">
        <v>28</v>
      </c>
      <c r="B958">
        <f ca="1">IF(OR(changes[[#This Row],[Type]]="Checklist",changes[[#This Row],[Type]]="checklist-flat"),1+IF(changes[[#This Row],[Type of change]] = "Edit",COUNTIFS($I$4:changes[[#This Row],[Name]],changes[[#This Row],[Name]], $E$4:changes[[#This Row],[Type of change]], "Edit")),B957)</f>
        <v>1</v>
      </c>
      <c r="C958" s="16">
        <v>44636</v>
      </c>
      <c r="D958" s="1" t="s">
        <v>2393</v>
      </c>
      <c r="E958" t="s">
        <v>19</v>
      </c>
      <c r="F958" s="10" t="s">
        <v>52</v>
      </c>
      <c r="G958" s="10" t="s">
        <v>2625</v>
      </c>
      <c r="H958" t="s">
        <v>64</v>
      </c>
      <c r="I958" t="s">
        <v>2612</v>
      </c>
      <c r="K958" s="2"/>
      <c r="M958" t="s">
        <v>2586</v>
      </c>
    </row>
    <row r="959" spans="1:13">
      <c r="A959" t="s">
        <v>28</v>
      </c>
      <c r="B959">
        <f ca="1">IF(OR(changes[[#This Row],[Type]]="Checklist",changes[[#This Row],[Type]]="checklist-flat"),1+IF(changes[[#This Row],[Type of change]] = "Edit",COUNTIFS($I$4:changes[[#This Row],[Name]],changes[[#This Row],[Name]], $E$4:changes[[#This Row],[Type of change]], "Edit")),B958)</f>
        <v>1</v>
      </c>
      <c r="C959" s="16">
        <v>44636</v>
      </c>
      <c r="D959" s="1" t="s">
        <v>2393</v>
      </c>
      <c r="E959" t="s">
        <v>19</v>
      </c>
      <c r="F959" s="10" t="s">
        <v>52</v>
      </c>
      <c r="G959" s="10" t="s">
        <v>2638</v>
      </c>
      <c r="H959" t="s">
        <v>478</v>
      </c>
      <c r="I959" t="s">
        <v>2638</v>
      </c>
      <c r="K959" s="2"/>
      <c r="M959" t="s">
        <v>2586</v>
      </c>
    </row>
    <row r="960" spans="1:13">
      <c r="A960" t="s">
        <v>28</v>
      </c>
      <c r="B960">
        <f ca="1">IF(OR(changes[[#This Row],[Type]]="Checklist",changes[[#This Row],[Type]]="checklist-flat"),1+IF(changes[[#This Row],[Type of change]] = "Edit",COUNTIFS($I$4:changes[[#This Row],[Name]],changes[[#This Row],[Name]], $E$4:changes[[#This Row],[Type of change]], "Edit")),B959)</f>
        <v>1</v>
      </c>
      <c r="C960" s="16">
        <v>44636</v>
      </c>
      <c r="D960" s="1" t="s">
        <v>2393</v>
      </c>
      <c r="E960" t="s">
        <v>19</v>
      </c>
      <c r="F960" s="10" t="s">
        <v>52</v>
      </c>
      <c r="G960" s="10" t="s">
        <v>2638</v>
      </c>
      <c r="H960" t="s">
        <v>269</v>
      </c>
      <c r="I960" t="s">
        <v>2639</v>
      </c>
      <c r="K960" s="2"/>
      <c r="M960" t="s">
        <v>2586</v>
      </c>
    </row>
    <row r="961" spans="1:13">
      <c r="A961" t="s">
        <v>28</v>
      </c>
      <c r="B961">
        <f ca="1">IF(OR(changes[[#This Row],[Type]]="Checklist",changes[[#This Row],[Type]]="checklist-flat"),1+IF(changes[[#This Row],[Type of change]] = "Edit",COUNTIFS($I$4:changes[[#This Row],[Name]],changes[[#This Row],[Name]], $E$4:changes[[#This Row],[Type of change]], "Edit")),B960)</f>
        <v>1</v>
      </c>
      <c r="C961" s="16">
        <v>44636</v>
      </c>
      <c r="D961" s="1" t="s">
        <v>2393</v>
      </c>
      <c r="E961" t="s">
        <v>19</v>
      </c>
      <c r="F961" s="10" t="s">
        <v>52</v>
      </c>
      <c r="G961" s="10" t="s">
        <v>2638</v>
      </c>
      <c r="H961" t="s">
        <v>437</v>
      </c>
      <c r="I961" t="s">
        <v>2442</v>
      </c>
      <c r="K961" s="2"/>
      <c r="M961" t="s">
        <v>2586</v>
      </c>
    </row>
    <row r="962" spans="1:13">
      <c r="A962" t="s">
        <v>28</v>
      </c>
      <c r="B962">
        <f ca="1">IF(OR(changes[[#This Row],[Type]]="Checklist",changes[[#This Row],[Type]]="checklist-flat"),1+IF(changes[[#This Row],[Type of change]] = "Edit",COUNTIFS($I$4:changes[[#This Row],[Name]],changes[[#This Row],[Name]], $E$4:changes[[#This Row],[Type of change]], "Edit")),B961)</f>
        <v>1</v>
      </c>
      <c r="C962" s="16">
        <v>44636</v>
      </c>
      <c r="D962" s="1" t="s">
        <v>2393</v>
      </c>
      <c r="E962" t="s">
        <v>19</v>
      </c>
      <c r="F962" s="10" t="s">
        <v>52</v>
      </c>
      <c r="G962" s="10" t="s">
        <v>2638</v>
      </c>
      <c r="H962" t="s">
        <v>951</v>
      </c>
      <c r="I962" t="s">
        <v>377</v>
      </c>
      <c r="K962" s="2"/>
      <c r="M962" t="s">
        <v>2586</v>
      </c>
    </row>
    <row r="963" spans="1:13">
      <c r="A963" t="s">
        <v>28</v>
      </c>
      <c r="B963">
        <f ca="1">IF(OR(changes[[#This Row],[Type]]="Checklist",changes[[#This Row],[Type]]="checklist-flat"),1+IF(changes[[#This Row],[Type of change]] = "Edit",COUNTIFS($I$4:changes[[#This Row],[Name]],changes[[#This Row],[Name]], $E$4:changes[[#This Row],[Type of change]], "Edit")),B962)</f>
        <v>1</v>
      </c>
      <c r="C963" s="16">
        <v>44636</v>
      </c>
      <c r="D963" s="1" t="s">
        <v>2393</v>
      </c>
      <c r="E963" t="s">
        <v>19</v>
      </c>
      <c r="F963" s="10" t="s">
        <v>52</v>
      </c>
      <c r="G963" s="10" t="s">
        <v>2638</v>
      </c>
      <c r="H963" t="s">
        <v>951</v>
      </c>
      <c r="I963" t="s">
        <v>2444</v>
      </c>
      <c r="K963" s="2"/>
      <c r="M963" t="s">
        <v>2586</v>
      </c>
    </row>
    <row r="964" spans="1:13">
      <c r="A964" t="s">
        <v>28</v>
      </c>
      <c r="B964">
        <f ca="1">IF(OR(changes[[#This Row],[Type]]="Checklist",changes[[#This Row],[Type]]="checklist-flat"),1+IF(changes[[#This Row],[Type of change]] = "Edit",COUNTIFS($I$4:changes[[#This Row],[Name]],changes[[#This Row],[Name]], $E$4:changes[[#This Row],[Type of change]], "Edit")),B963)</f>
        <v>1</v>
      </c>
      <c r="C964" s="16">
        <v>44636</v>
      </c>
      <c r="D964" s="1" t="s">
        <v>2393</v>
      </c>
      <c r="E964" t="s">
        <v>19</v>
      </c>
      <c r="F964" s="10" t="s">
        <v>52</v>
      </c>
      <c r="G964" s="10" t="s">
        <v>2638</v>
      </c>
      <c r="H964" t="s">
        <v>951</v>
      </c>
      <c r="I964" t="s">
        <v>2621</v>
      </c>
      <c r="K964" s="2"/>
      <c r="M964" t="s">
        <v>2586</v>
      </c>
    </row>
    <row r="965" spans="1:13">
      <c r="A965" t="s">
        <v>28</v>
      </c>
      <c r="B965">
        <f ca="1">IF(OR(changes[[#This Row],[Type]]="Checklist",changes[[#This Row],[Type]]="checklist-flat"),1+IF(changes[[#This Row],[Type of change]] = "Edit",COUNTIFS($I$4:changes[[#This Row],[Name]],changes[[#This Row],[Name]], $E$4:changes[[#This Row],[Type of change]], "Edit")),B964)</f>
        <v>1</v>
      </c>
      <c r="C965" s="16">
        <v>44636</v>
      </c>
      <c r="D965" s="1" t="s">
        <v>2393</v>
      </c>
      <c r="E965" t="s">
        <v>19</v>
      </c>
      <c r="F965" s="10" t="s">
        <v>52</v>
      </c>
      <c r="G965" s="10" t="s">
        <v>2638</v>
      </c>
      <c r="H965" t="s">
        <v>951</v>
      </c>
      <c r="I965" t="s">
        <v>2622</v>
      </c>
      <c r="K965" s="2"/>
      <c r="M965" t="s">
        <v>2586</v>
      </c>
    </row>
    <row r="966" spans="1:13">
      <c r="A966" t="s">
        <v>28</v>
      </c>
      <c r="B966">
        <f ca="1">IF(OR(changes[[#This Row],[Type]]="Checklist",changes[[#This Row],[Type]]="checklist-flat"),1+IF(changes[[#This Row],[Type of change]] = "Edit",COUNTIFS($I$4:changes[[#This Row],[Name]],changes[[#This Row],[Name]], $E$4:changes[[#This Row],[Type of change]], "Edit")),B965)</f>
        <v>1</v>
      </c>
      <c r="C966" s="16">
        <v>44636</v>
      </c>
      <c r="D966" s="1" t="s">
        <v>2393</v>
      </c>
      <c r="E966" t="s">
        <v>19</v>
      </c>
      <c r="F966" s="10" t="s">
        <v>52</v>
      </c>
      <c r="G966" s="10" t="s">
        <v>2638</v>
      </c>
      <c r="H966" t="s">
        <v>437</v>
      </c>
      <c r="I966" t="s">
        <v>2635</v>
      </c>
      <c r="K966" s="2"/>
      <c r="M966" t="s">
        <v>2586</v>
      </c>
    </row>
    <row r="967" spans="1:13">
      <c r="A967" t="s">
        <v>28</v>
      </c>
      <c r="B967">
        <f ca="1">IF(OR(changes[[#This Row],[Type]]="Checklist",changes[[#This Row],[Type]]="checklist-flat"),1+IF(changes[[#This Row],[Type of change]] = "Edit",COUNTIFS($I$4:changes[[#This Row],[Name]],changes[[#This Row],[Name]], $E$4:changes[[#This Row],[Type of change]], "Edit")),B966)</f>
        <v>1</v>
      </c>
      <c r="C967" s="16">
        <v>44636</v>
      </c>
      <c r="D967" s="1" t="s">
        <v>2393</v>
      </c>
      <c r="E967" t="s">
        <v>19</v>
      </c>
      <c r="F967" s="10" t="s">
        <v>52</v>
      </c>
      <c r="G967" s="10" t="s">
        <v>2638</v>
      </c>
      <c r="H967" t="s">
        <v>437</v>
      </c>
      <c r="I967" t="s">
        <v>2624</v>
      </c>
      <c r="K967" s="2"/>
      <c r="M967" t="s">
        <v>2586</v>
      </c>
    </row>
    <row r="968" spans="1:13">
      <c r="A968" t="s">
        <v>28</v>
      </c>
      <c r="B968">
        <f ca="1">IF(OR(changes[[#This Row],[Type]]="Checklist",changes[[#This Row],[Type]]="checklist-flat"),1+IF(changes[[#This Row],[Type of change]] = "Edit",COUNTIFS($I$4:changes[[#This Row],[Name]],changes[[#This Row],[Name]], $E$4:changes[[#This Row],[Type of change]], "Edit")),B967)</f>
        <v>1</v>
      </c>
      <c r="C968" s="16">
        <v>44636</v>
      </c>
      <c r="D968" s="1" t="s">
        <v>2393</v>
      </c>
      <c r="E968" t="s">
        <v>19</v>
      </c>
      <c r="F968" s="10" t="s">
        <v>52</v>
      </c>
      <c r="G968" s="10" t="s">
        <v>2638</v>
      </c>
      <c r="H968" t="s">
        <v>64</v>
      </c>
      <c r="I968" t="s">
        <v>2612</v>
      </c>
      <c r="K968" s="2"/>
      <c r="M968" t="s">
        <v>2586</v>
      </c>
    </row>
    <row r="969" spans="1:13">
      <c r="A969" t="s">
        <v>28</v>
      </c>
      <c r="B969">
        <f ca="1">IF(OR(changes[[#This Row],[Type]]="Checklist",changes[[#This Row],[Type]]="checklist-flat"),1+IF(changes[[#This Row],[Type of change]] = "Edit",COUNTIFS($I$4:changes[[#This Row],[Name]],changes[[#This Row],[Name]], $E$4:changes[[#This Row],[Type of change]], "Edit")),B968)</f>
        <v>1</v>
      </c>
      <c r="C969" s="16">
        <v>44636</v>
      </c>
      <c r="D969" s="1" t="s">
        <v>2393</v>
      </c>
      <c r="E969" t="s">
        <v>19</v>
      </c>
      <c r="F969" s="10" t="s">
        <v>52</v>
      </c>
      <c r="G969" s="10" t="s">
        <v>2640</v>
      </c>
      <c r="H969" t="s">
        <v>478</v>
      </c>
      <c r="I969" t="s">
        <v>2640</v>
      </c>
      <c r="K969" s="2"/>
      <c r="M969" t="s">
        <v>2586</v>
      </c>
    </row>
    <row r="970" spans="1:13">
      <c r="A970" t="s">
        <v>28</v>
      </c>
      <c r="B970">
        <f ca="1">IF(OR(changes[[#This Row],[Type]]="Checklist",changes[[#This Row],[Type]]="checklist-flat"),1+IF(changes[[#This Row],[Type of change]] = "Edit",COUNTIFS($I$4:changes[[#This Row],[Name]],changes[[#This Row],[Name]], $E$4:changes[[#This Row],[Type of change]], "Edit")),B969)</f>
        <v>1</v>
      </c>
      <c r="C970" s="16">
        <v>44636</v>
      </c>
      <c r="D970" s="1" t="s">
        <v>2393</v>
      </c>
      <c r="E970" t="s">
        <v>19</v>
      </c>
      <c r="F970" s="10" t="s">
        <v>52</v>
      </c>
      <c r="G970" s="10" t="s">
        <v>2640</v>
      </c>
      <c r="H970" t="s">
        <v>55</v>
      </c>
      <c r="I970" t="s">
        <v>2641</v>
      </c>
      <c r="K970" s="2"/>
      <c r="M970" t="s">
        <v>2586</v>
      </c>
    </row>
    <row r="971" spans="1:13">
      <c r="A971" t="s">
        <v>28</v>
      </c>
      <c r="B971">
        <f ca="1">IF(OR(changes[[#This Row],[Type]]="Checklist",changes[[#This Row],[Type]]="checklist-flat"),1+IF(changes[[#This Row],[Type of change]] = "Edit",COUNTIFS($I$4:changes[[#This Row],[Name]],changes[[#This Row],[Name]], $E$4:changes[[#This Row],[Type of change]], "Edit")),B970)</f>
        <v>1</v>
      </c>
      <c r="C971" s="16">
        <v>44636</v>
      </c>
      <c r="D971" s="1" t="s">
        <v>2393</v>
      </c>
      <c r="E971" t="s">
        <v>19</v>
      </c>
      <c r="F971" s="10" t="s">
        <v>52</v>
      </c>
      <c r="G971" s="10" t="s">
        <v>2640</v>
      </c>
      <c r="H971" t="s">
        <v>437</v>
      </c>
      <c r="I971" t="s">
        <v>2642</v>
      </c>
      <c r="K971" s="2"/>
      <c r="M971" t="s">
        <v>2586</v>
      </c>
    </row>
    <row r="972" spans="1:13">
      <c r="A972" t="s">
        <v>28</v>
      </c>
      <c r="B972">
        <f ca="1">IF(OR(changes[[#This Row],[Type]]="Checklist",changes[[#This Row],[Type]]="checklist-flat"),1+IF(changes[[#This Row],[Type of change]] = "Edit",COUNTIFS($I$4:changes[[#This Row],[Name]],changes[[#This Row],[Name]], $E$4:changes[[#This Row],[Type of change]], "Edit")),B971)</f>
        <v>1</v>
      </c>
      <c r="C972" s="16">
        <v>44636</v>
      </c>
      <c r="D972" s="1" t="s">
        <v>2393</v>
      </c>
      <c r="E972" t="s">
        <v>19</v>
      </c>
      <c r="F972" s="10" t="s">
        <v>52</v>
      </c>
      <c r="G972" s="10" t="s">
        <v>2640</v>
      </c>
      <c r="H972" t="s">
        <v>437</v>
      </c>
      <c r="I972" t="s">
        <v>2643</v>
      </c>
      <c r="K972" s="2"/>
      <c r="M972" t="s">
        <v>2586</v>
      </c>
    </row>
    <row r="973" spans="1:13">
      <c r="A973" t="s">
        <v>28</v>
      </c>
      <c r="B973">
        <f ca="1">IF(OR(changes[[#This Row],[Type]]="Checklist",changes[[#This Row],[Type]]="checklist-flat"),1+IF(changes[[#This Row],[Type of change]] = "Edit",COUNTIFS($I$4:changes[[#This Row],[Name]],changes[[#This Row],[Name]], $E$4:changes[[#This Row],[Type of change]], "Edit")),B972)</f>
        <v>1</v>
      </c>
      <c r="C973" s="16">
        <v>44636</v>
      </c>
      <c r="D973" s="1" t="s">
        <v>2393</v>
      </c>
      <c r="E973" t="s">
        <v>19</v>
      </c>
      <c r="F973" s="10" t="s">
        <v>52</v>
      </c>
      <c r="G973" s="10" t="s">
        <v>2640</v>
      </c>
      <c r="H973" t="s">
        <v>437</v>
      </c>
      <c r="I973" t="s">
        <v>2644</v>
      </c>
      <c r="K973" s="2"/>
      <c r="M973" t="s">
        <v>2586</v>
      </c>
    </row>
    <row r="974" spans="1:13">
      <c r="A974" t="s">
        <v>28</v>
      </c>
      <c r="B974">
        <f ca="1">IF(OR(changes[[#This Row],[Type]]="Checklist",changes[[#This Row],[Type]]="checklist-flat"),1+IF(changes[[#This Row],[Type of change]] = "Edit",COUNTIFS($I$4:changes[[#This Row],[Name]],changes[[#This Row],[Name]], $E$4:changes[[#This Row],[Type of change]], "Edit")),B973)</f>
        <v>1</v>
      </c>
      <c r="C974" s="16">
        <v>44636</v>
      </c>
      <c r="D974" s="1" t="s">
        <v>2393</v>
      </c>
      <c r="E974" t="s">
        <v>19</v>
      </c>
      <c r="F974" s="10" t="s">
        <v>52</v>
      </c>
      <c r="G974" s="10" t="s">
        <v>2640</v>
      </c>
      <c r="H974" t="s">
        <v>437</v>
      </c>
      <c r="I974" t="s">
        <v>2645</v>
      </c>
      <c r="K974" s="2"/>
      <c r="M974" t="s">
        <v>2586</v>
      </c>
    </row>
    <row r="975" spans="1:13">
      <c r="A975" t="s">
        <v>28</v>
      </c>
      <c r="B975">
        <f ca="1">IF(OR(changes[[#This Row],[Type]]="Checklist",changes[[#This Row],[Type]]="checklist-flat"),1+IF(changes[[#This Row],[Type of change]] = "Edit",COUNTIFS($I$4:changes[[#This Row],[Name]],changes[[#This Row],[Name]], $E$4:changes[[#This Row],[Type of change]], "Edit")),B974)</f>
        <v>1</v>
      </c>
      <c r="C975" s="16">
        <v>44636</v>
      </c>
      <c r="D975" s="1" t="s">
        <v>2393</v>
      </c>
      <c r="E975" t="s">
        <v>19</v>
      </c>
      <c r="F975" s="10" t="s">
        <v>52</v>
      </c>
      <c r="G975" s="10" t="s">
        <v>2640</v>
      </c>
      <c r="H975" t="s">
        <v>437</v>
      </c>
      <c r="I975" t="s">
        <v>2646</v>
      </c>
      <c r="K975" s="2"/>
      <c r="M975" t="s">
        <v>2586</v>
      </c>
    </row>
    <row r="976" spans="1:13">
      <c r="A976" t="s">
        <v>28</v>
      </c>
      <c r="B976">
        <f ca="1">IF(OR(changes[[#This Row],[Type]]="Checklist",changes[[#This Row],[Type]]="checklist-flat"),1+IF(changes[[#This Row],[Type of change]] = "Edit",COUNTIFS($I$4:changes[[#This Row],[Name]],changes[[#This Row],[Name]], $E$4:changes[[#This Row],[Type of change]], "Edit")),B975)</f>
        <v>1</v>
      </c>
      <c r="C976" s="16">
        <v>44636</v>
      </c>
      <c r="D976" s="1" t="s">
        <v>2393</v>
      </c>
      <c r="E976" t="s">
        <v>19</v>
      </c>
      <c r="F976" s="10" t="s">
        <v>52</v>
      </c>
      <c r="G976" s="10" t="s">
        <v>2640</v>
      </c>
      <c r="H976" t="s">
        <v>437</v>
      </c>
      <c r="I976" t="s">
        <v>2647</v>
      </c>
      <c r="K976" s="2"/>
      <c r="M976" t="s">
        <v>2586</v>
      </c>
    </row>
    <row r="977" spans="1:13">
      <c r="A977" t="s">
        <v>28</v>
      </c>
      <c r="B977">
        <f ca="1">IF(OR(changes[[#This Row],[Type]]="Checklist",changes[[#This Row],[Type]]="checklist-flat"),1+IF(changes[[#This Row],[Type of change]] = "Edit",COUNTIFS($I$4:changes[[#This Row],[Name]],changes[[#This Row],[Name]], $E$4:changes[[#This Row],[Type of change]], "Edit")),B976)</f>
        <v>1</v>
      </c>
      <c r="C977" s="16">
        <v>44636</v>
      </c>
      <c r="D977" s="1" t="s">
        <v>2393</v>
      </c>
      <c r="E977" t="s">
        <v>19</v>
      </c>
      <c r="F977" s="10" t="s">
        <v>52</v>
      </c>
      <c r="G977" s="10" t="s">
        <v>2640</v>
      </c>
      <c r="H977" t="s">
        <v>437</v>
      </c>
      <c r="I977" t="s">
        <v>2648</v>
      </c>
      <c r="K977" s="2"/>
      <c r="M977" t="s">
        <v>2586</v>
      </c>
    </row>
    <row r="978" spans="1:13">
      <c r="A978" t="s">
        <v>28</v>
      </c>
      <c r="B978">
        <f ca="1">IF(OR(changes[[#This Row],[Type]]="Checklist",changes[[#This Row],[Type]]="checklist-flat"),1+IF(changes[[#This Row],[Type of change]] = "Edit",COUNTIFS($I$4:changes[[#This Row],[Name]],changes[[#This Row],[Name]], $E$4:changes[[#This Row],[Type of change]], "Edit")),B977)</f>
        <v>1</v>
      </c>
      <c r="C978" s="16">
        <v>44636</v>
      </c>
      <c r="D978" s="1" t="s">
        <v>2393</v>
      </c>
      <c r="E978" t="s">
        <v>19</v>
      </c>
      <c r="F978" s="10" t="s">
        <v>52</v>
      </c>
      <c r="G978" s="10" t="s">
        <v>2640</v>
      </c>
      <c r="H978" t="s">
        <v>437</v>
      </c>
      <c r="I978" t="s">
        <v>2649</v>
      </c>
      <c r="K978" s="2"/>
      <c r="M978" t="s">
        <v>2586</v>
      </c>
    </row>
    <row r="979" spans="1:13">
      <c r="A979" t="s">
        <v>28</v>
      </c>
      <c r="B979">
        <f ca="1">IF(OR(changes[[#This Row],[Type]]="Checklist",changes[[#This Row],[Type]]="checklist-flat"),1+IF(changes[[#This Row],[Type of change]] = "Edit",COUNTIFS($I$4:changes[[#This Row],[Name]],changes[[#This Row],[Name]], $E$4:changes[[#This Row],[Type of change]], "Edit")),B978)</f>
        <v>1</v>
      </c>
      <c r="C979" s="16">
        <v>44636</v>
      </c>
      <c r="D979" s="1" t="s">
        <v>2393</v>
      </c>
      <c r="E979" t="s">
        <v>19</v>
      </c>
      <c r="F979" s="10" t="s">
        <v>52</v>
      </c>
      <c r="G979" s="10" t="s">
        <v>2640</v>
      </c>
      <c r="H979" t="s">
        <v>437</v>
      </c>
      <c r="I979" t="s">
        <v>2650</v>
      </c>
      <c r="K979" s="2"/>
      <c r="M979" t="s">
        <v>2586</v>
      </c>
    </row>
    <row r="980" spans="1:13">
      <c r="A980" t="s">
        <v>28</v>
      </c>
      <c r="B980">
        <f ca="1">IF(OR(changes[[#This Row],[Type]]="Checklist",changes[[#This Row],[Type]]="checklist-flat"),1+IF(changes[[#This Row],[Type of change]] = "Edit",COUNTIFS($I$4:changes[[#This Row],[Name]],changes[[#This Row],[Name]], $E$4:changes[[#This Row],[Type of change]], "Edit")),B979)</f>
        <v>1</v>
      </c>
      <c r="C980" s="16">
        <v>44636</v>
      </c>
      <c r="D980" s="1" t="s">
        <v>2393</v>
      </c>
      <c r="E980" t="s">
        <v>19</v>
      </c>
      <c r="F980" s="10" t="s">
        <v>52</v>
      </c>
      <c r="G980" s="10" t="s">
        <v>2640</v>
      </c>
      <c r="H980" t="s">
        <v>437</v>
      </c>
      <c r="I980" t="s">
        <v>2651</v>
      </c>
      <c r="K980" s="2"/>
      <c r="M980" t="s">
        <v>2586</v>
      </c>
    </row>
    <row r="981" spans="1:13">
      <c r="A981" t="s">
        <v>28</v>
      </c>
      <c r="B981">
        <f ca="1">IF(OR(changes[[#This Row],[Type]]="Checklist",changes[[#This Row],[Type]]="checklist-flat"),1+IF(changes[[#This Row],[Type of change]] = "Edit",COUNTIFS($I$4:changes[[#This Row],[Name]],changes[[#This Row],[Name]], $E$4:changes[[#This Row],[Type of change]], "Edit")),B980)</f>
        <v>1</v>
      </c>
      <c r="C981" s="16">
        <v>44636</v>
      </c>
      <c r="D981" s="1" t="s">
        <v>2393</v>
      </c>
      <c r="E981" t="s">
        <v>19</v>
      </c>
      <c r="F981" s="10" t="s">
        <v>52</v>
      </c>
      <c r="G981" s="10" t="s">
        <v>2640</v>
      </c>
      <c r="H981" t="s">
        <v>437</v>
      </c>
      <c r="I981" t="s">
        <v>2652</v>
      </c>
      <c r="K981" s="2"/>
      <c r="M981" t="s">
        <v>2586</v>
      </c>
    </row>
    <row r="982" spans="1:13">
      <c r="A982" t="s">
        <v>28</v>
      </c>
      <c r="B982">
        <f ca="1">IF(OR(changes[[#This Row],[Type]]="Checklist",changes[[#This Row],[Type]]="checklist-flat"),1+IF(changes[[#This Row],[Type of change]] = "Edit",COUNTIFS($I$4:changes[[#This Row],[Name]],changes[[#This Row],[Name]], $E$4:changes[[#This Row],[Type of change]], "Edit")),B981)</f>
        <v>1</v>
      </c>
      <c r="C982" s="16">
        <v>44636</v>
      </c>
      <c r="D982" s="1" t="s">
        <v>2393</v>
      </c>
      <c r="E982" t="s">
        <v>19</v>
      </c>
      <c r="F982" s="10" t="s">
        <v>52</v>
      </c>
      <c r="G982" s="10" t="s">
        <v>2640</v>
      </c>
      <c r="H982" t="s">
        <v>437</v>
      </c>
      <c r="I982" t="s">
        <v>2653</v>
      </c>
      <c r="K982" s="2"/>
      <c r="M982" t="s">
        <v>2586</v>
      </c>
    </row>
    <row r="983" spans="1:13">
      <c r="A983" t="s">
        <v>28</v>
      </c>
      <c r="B983">
        <f ca="1">IF(OR(changes[[#This Row],[Type]]="Checklist",changes[[#This Row],[Type]]="checklist-flat"),1+IF(changes[[#This Row],[Type of change]] = "Edit",COUNTIFS($I$4:changes[[#This Row],[Name]],changes[[#This Row],[Name]], $E$4:changes[[#This Row],[Type of change]], "Edit")),B982)</f>
        <v>1</v>
      </c>
      <c r="C983" s="16">
        <v>44636</v>
      </c>
      <c r="D983" s="1" t="s">
        <v>2393</v>
      </c>
      <c r="E983" t="s">
        <v>19</v>
      </c>
      <c r="F983" s="10" t="s">
        <v>52</v>
      </c>
      <c r="G983" s="10" t="s">
        <v>2640</v>
      </c>
      <c r="H983" t="s">
        <v>437</v>
      </c>
      <c r="I983" t="s">
        <v>2654</v>
      </c>
      <c r="K983" s="2"/>
      <c r="M983" t="s">
        <v>2586</v>
      </c>
    </row>
    <row r="984" spans="1:13">
      <c r="A984" t="s">
        <v>28</v>
      </c>
      <c r="B984">
        <f ca="1">IF(OR(changes[[#This Row],[Type]]="Checklist",changes[[#This Row],[Type]]="checklist-flat"),1+IF(changes[[#This Row],[Type of change]] = "Edit",COUNTIFS($I$4:changes[[#This Row],[Name]],changes[[#This Row],[Name]], $E$4:changes[[#This Row],[Type of change]], "Edit")),B983)</f>
        <v>1</v>
      </c>
      <c r="C984" s="16">
        <v>44636</v>
      </c>
      <c r="D984" s="1" t="s">
        <v>2393</v>
      </c>
      <c r="E984" t="s">
        <v>19</v>
      </c>
      <c r="F984" s="10" t="s">
        <v>52</v>
      </c>
      <c r="G984" s="10" t="s">
        <v>2640</v>
      </c>
      <c r="H984" t="s">
        <v>437</v>
      </c>
      <c r="I984" t="s">
        <v>2655</v>
      </c>
      <c r="K984" s="2"/>
      <c r="M984" t="s">
        <v>2586</v>
      </c>
    </row>
    <row r="985" spans="1:13">
      <c r="A985" t="s">
        <v>28</v>
      </c>
      <c r="B985">
        <f ca="1">IF(OR(changes[[#This Row],[Type]]="Checklist",changes[[#This Row],[Type]]="checklist-flat"),1+IF(changes[[#This Row],[Type of change]] = "Edit",COUNTIFS($I$4:changes[[#This Row],[Name]],changes[[#This Row],[Name]], $E$4:changes[[#This Row],[Type of change]], "Edit")),B984)</f>
        <v>1</v>
      </c>
      <c r="C985" s="16">
        <v>44636</v>
      </c>
      <c r="D985" s="1" t="s">
        <v>2393</v>
      </c>
      <c r="E985" t="s">
        <v>19</v>
      </c>
      <c r="F985" s="10" t="s">
        <v>52</v>
      </c>
      <c r="G985" s="10" t="s">
        <v>2640</v>
      </c>
      <c r="H985" t="s">
        <v>437</v>
      </c>
      <c r="I985" t="s">
        <v>2656</v>
      </c>
      <c r="K985" s="2"/>
      <c r="M985" t="s">
        <v>2586</v>
      </c>
    </row>
    <row r="986" spans="1:13">
      <c r="A986" t="s">
        <v>28</v>
      </c>
      <c r="B986">
        <f ca="1">IF(OR(changes[[#This Row],[Type]]="Checklist",changes[[#This Row],[Type]]="checklist-flat"),1+IF(changes[[#This Row],[Type of change]] = "Edit",COUNTIFS($I$4:changes[[#This Row],[Name]],changes[[#This Row],[Name]], $E$4:changes[[#This Row],[Type of change]], "Edit")),B985)</f>
        <v>1</v>
      </c>
      <c r="C986" s="16">
        <v>44636</v>
      </c>
      <c r="D986" s="1" t="s">
        <v>2393</v>
      </c>
      <c r="E986" t="s">
        <v>19</v>
      </c>
      <c r="F986" s="10" t="s">
        <v>52</v>
      </c>
      <c r="G986" s="10" t="s">
        <v>2640</v>
      </c>
      <c r="H986" t="s">
        <v>437</v>
      </c>
      <c r="I986" t="s">
        <v>2657</v>
      </c>
      <c r="K986" s="2"/>
      <c r="M986" t="s">
        <v>2586</v>
      </c>
    </row>
    <row r="987" spans="1:13">
      <c r="A987" t="s">
        <v>28</v>
      </c>
      <c r="B987">
        <f ca="1">IF(OR(changes[[#This Row],[Type]]="Checklist",changes[[#This Row],[Type]]="checklist-flat"),1+IF(changes[[#This Row],[Type of change]] = "Edit",COUNTIFS($I$4:changes[[#This Row],[Name]],changes[[#This Row],[Name]], $E$4:changes[[#This Row],[Type of change]], "Edit")),B986)</f>
        <v>1</v>
      </c>
      <c r="C987" s="16">
        <v>44636</v>
      </c>
      <c r="D987" s="1" t="s">
        <v>2393</v>
      </c>
      <c r="E987" t="s">
        <v>19</v>
      </c>
      <c r="F987" s="10" t="s">
        <v>52</v>
      </c>
      <c r="G987" s="10" t="s">
        <v>2640</v>
      </c>
      <c r="H987" t="s">
        <v>437</v>
      </c>
      <c r="I987" t="s">
        <v>2658</v>
      </c>
      <c r="K987" s="2"/>
      <c r="M987" t="s">
        <v>2586</v>
      </c>
    </row>
    <row r="988" spans="1:13">
      <c r="A988" t="s">
        <v>28</v>
      </c>
      <c r="B988">
        <f ca="1">IF(OR(changes[[#This Row],[Type]]="Checklist",changes[[#This Row],[Type]]="checklist-flat"),1+IF(changes[[#This Row],[Type of change]] = "Edit",COUNTIFS($I$4:changes[[#This Row],[Name]],changes[[#This Row],[Name]], $E$4:changes[[#This Row],[Type of change]], "Edit")),B987)</f>
        <v>1</v>
      </c>
      <c r="C988" s="16">
        <v>44636</v>
      </c>
      <c r="D988" s="1" t="s">
        <v>2393</v>
      </c>
      <c r="E988" t="s">
        <v>19</v>
      </c>
      <c r="F988" s="10" t="s">
        <v>52</v>
      </c>
      <c r="G988" s="10" t="s">
        <v>2640</v>
      </c>
      <c r="H988" t="s">
        <v>437</v>
      </c>
      <c r="I988" t="s">
        <v>2659</v>
      </c>
      <c r="K988" s="2"/>
      <c r="M988" t="s">
        <v>2586</v>
      </c>
    </row>
    <row r="989" spans="1:13">
      <c r="A989" t="s">
        <v>28</v>
      </c>
      <c r="B989">
        <f ca="1">IF(OR(changes[[#This Row],[Type]]="Checklist",changes[[#This Row],[Type]]="checklist-flat"),1+IF(changes[[#This Row],[Type of change]] = "Edit",COUNTIFS($I$4:changes[[#This Row],[Name]],changes[[#This Row],[Name]], $E$4:changes[[#This Row],[Type of change]], "Edit")),B988)</f>
        <v>1</v>
      </c>
      <c r="C989" s="16">
        <v>44636</v>
      </c>
      <c r="D989" s="1" t="s">
        <v>2393</v>
      </c>
      <c r="E989" t="s">
        <v>19</v>
      </c>
      <c r="F989" s="10" t="s">
        <v>52</v>
      </c>
      <c r="G989" s="10" t="s">
        <v>2640</v>
      </c>
      <c r="H989" t="s">
        <v>437</v>
      </c>
      <c r="I989" t="s">
        <v>2660</v>
      </c>
      <c r="K989" s="2"/>
      <c r="M989" t="s">
        <v>2586</v>
      </c>
    </row>
    <row r="990" spans="1:13">
      <c r="A990" t="s">
        <v>28</v>
      </c>
      <c r="B990">
        <f ca="1">IF(OR(changes[[#This Row],[Type]]="Checklist",changes[[#This Row],[Type]]="checklist-flat"),1+IF(changes[[#This Row],[Type of change]] = "Edit",COUNTIFS($I$4:changes[[#This Row],[Name]],changes[[#This Row],[Name]], $E$4:changes[[#This Row],[Type of change]], "Edit")),B989)</f>
        <v>1</v>
      </c>
      <c r="C990" s="16">
        <v>44636</v>
      </c>
      <c r="D990" s="1" t="s">
        <v>2393</v>
      </c>
      <c r="E990" t="s">
        <v>19</v>
      </c>
      <c r="F990" s="10" t="s">
        <v>52</v>
      </c>
      <c r="G990" s="10" t="s">
        <v>2640</v>
      </c>
      <c r="H990" t="s">
        <v>437</v>
      </c>
      <c r="I990" t="s">
        <v>2661</v>
      </c>
      <c r="K990" s="2"/>
      <c r="M990" t="s">
        <v>2586</v>
      </c>
    </row>
    <row r="991" spans="1:13">
      <c r="A991" t="s">
        <v>28</v>
      </c>
      <c r="B991">
        <f ca="1">IF(OR(changes[[#This Row],[Type]]="Checklist",changes[[#This Row],[Type]]="checklist-flat"),1+IF(changes[[#This Row],[Type of change]] = "Edit",COUNTIFS($I$4:changes[[#This Row],[Name]],changes[[#This Row],[Name]], $E$4:changes[[#This Row],[Type of change]], "Edit")),B990)</f>
        <v>1</v>
      </c>
      <c r="C991" s="16">
        <v>44636</v>
      </c>
      <c r="D991" s="1" t="s">
        <v>2393</v>
      </c>
      <c r="E991" t="s">
        <v>19</v>
      </c>
      <c r="F991" s="10" t="s">
        <v>52</v>
      </c>
      <c r="G991" s="10" t="s">
        <v>2640</v>
      </c>
      <c r="H991" t="s">
        <v>437</v>
      </c>
      <c r="I991" t="s">
        <v>2662</v>
      </c>
      <c r="K991" s="2"/>
      <c r="M991" t="s">
        <v>2586</v>
      </c>
    </row>
    <row r="992" spans="1:13">
      <c r="A992" t="s">
        <v>28</v>
      </c>
      <c r="B992">
        <f ca="1">IF(OR(changes[[#This Row],[Type]]="Checklist",changes[[#This Row],[Type]]="checklist-flat"),1+IF(changes[[#This Row],[Type of change]] = "Edit",COUNTIFS($I$4:changes[[#This Row],[Name]],changes[[#This Row],[Name]], $E$4:changes[[#This Row],[Type of change]], "Edit")),B991)</f>
        <v>1</v>
      </c>
      <c r="C992" s="16">
        <v>44636</v>
      </c>
      <c r="D992" s="1" t="s">
        <v>2393</v>
      </c>
      <c r="E992" t="s">
        <v>19</v>
      </c>
      <c r="F992" s="10" t="s">
        <v>52</v>
      </c>
      <c r="G992" s="10" t="s">
        <v>2640</v>
      </c>
      <c r="H992" t="s">
        <v>437</v>
      </c>
      <c r="I992" t="s">
        <v>2442</v>
      </c>
      <c r="K992" s="2"/>
      <c r="M992" t="s">
        <v>2586</v>
      </c>
    </row>
    <row r="993" spans="1:13">
      <c r="A993" t="s">
        <v>28</v>
      </c>
      <c r="B993">
        <f ca="1">IF(OR(changes[[#This Row],[Type]]="Checklist",changes[[#This Row],[Type]]="checklist-flat"),1+IF(changes[[#This Row],[Type of change]] = "Edit",COUNTIFS($I$4:changes[[#This Row],[Name]],changes[[#This Row],[Name]], $E$4:changes[[#This Row],[Type of change]], "Edit")),B992)</f>
        <v>1</v>
      </c>
      <c r="C993" s="16">
        <v>44636</v>
      </c>
      <c r="D993" s="1" t="s">
        <v>2393</v>
      </c>
      <c r="E993" t="s">
        <v>19</v>
      </c>
      <c r="F993" s="10" t="s">
        <v>52</v>
      </c>
      <c r="G993" s="10" t="s">
        <v>2640</v>
      </c>
      <c r="H993" t="s">
        <v>951</v>
      </c>
      <c r="I993" t="s">
        <v>377</v>
      </c>
      <c r="K993" s="2"/>
      <c r="M993" t="s">
        <v>2586</v>
      </c>
    </row>
    <row r="994" spans="1:13">
      <c r="A994" t="s">
        <v>28</v>
      </c>
      <c r="B994">
        <f ca="1">IF(OR(changes[[#This Row],[Type]]="Checklist",changes[[#This Row],[Type]]="checklist-flat"),1+IF(changes[[#This Row],[Type of change]] = "Edit",COUNTIFS($I$4:changes[[#This Row],[Name]],changes[[#This Row],[Name]], $E$4:changes[[#This Row],[Type of change]], "Edit")),B993)</f>
        <v>1</v>
      </c>
      <c r="C994" s="16">
        <v>44636</v>
      </c>
      <c r="D994" s="1" t="s">
        <v>2393</v>
      </c>
      <c r="E994" t="s">
        <v>19</v>
      </c>
      <c r="F994" s="10" t="s">
        <v>52</v>
      </c>
      <c r="G994" s="10" t="s">
        <v>2640</v>
      </c>
      <c r="H994" t="s">
        <v>951</v>
      </c>
      <c r="I994" t="s">
        <v>2444</v>
      </c>
      <c r="K994" s="2"/>
      <c r="M994" t="s">
        <v>2586</v>
      </c>
    </row>
    <row r="995" spans="1:13">
      <c r="A995" t="s">
        <v>28</v>
      </c>
      <c r="B995">
        <f ca="1">IF(OR(changes[[#This Row],[Type]]="Checklist",changes[[#This Row],[Type]]="checklist-flat"),1+IF(changes[[#This Row],[Type of change]] = "Edit",COUNTIFS($I$4:changes[[#This Row],[Name]],changes[[#This Row],[Name]], $E$4:changes[[#This Row],[Type of change]], "Edit")),B994)</f>
        <v>1</v>
      </c>
      <c r="C995" s="16">
        <v>44636</v>
      </c>
      <c r="D995" s="1" t="s">
        <v>2393</v>
      </c>
      <c r="E995" t="s">
        <v>19</v>
      </c>
      <c r="F995" s="10" t="s">
        <v>52</v>
      </c>
      <c r="G995" s="10" t="s">
        <v>2640</v>
      </c>
      <c r="H995" t="s">
        <v>951</v>
      </c>
      <c r="I995" t="s">
        <v>2621</v>
      </c>
      <c r="K995" s="2"/>
      <c r="M995" t="s">
        <v>2586</v>
      </c>
    </row>
    <row r="996" spans="1:13">
      <c r="A996" t="s">
        <v>28</v>
      </c>
      <c r="B996">
        <f ca="1">IF(OR(changes[[#This Row],[Type]]="Checklist",changes[[#This Row],[Type]]="checklist-flat"),1+IF(changes[[#This Row],[Type of change]] = "Edit",COUNTIFS($I$4:changes[[#This Row],[Name]],changes[[#This Row],[Name]], $E$4:changes[[#This Row],[Type of change]], "Edit")),B995)</f>
        <v>1</v>
      </c>
      <c r="C996" s="16">
        <v>44636</v>
      </c>
      <c r="D996" s="1" t="s">
        <v>2393</v>
      </c>
      <c r="E996" t="s">
        <v>19</v>
      </c>
      <c r="F996" s="10" t="s">
        <v>52</v>
      </c>
      <c r="G996" s="10" t="s">
        <v>2640</v>
      </c>
      <c r="H996" t="s">
        <v>951</v>
      </c>
      <c r="I996" t="s">
        <v>2622</v>
      </c>
      <c r="K996" s="2"/>
      <c r="M996" t="s">
        <v>2586</v>
      </c>
    </row>
    <row r="997" spans="1:13">
      <c r="A997" t="s">
        <v>28</v>
      </c>
      <c r="B997">
        <f ca="1">IF(OR(changes[[#This Row],[Type]]="Checklist",changes[[#This Row],[Type]]="checklist-flat"),1+IF(changes[[#This Row],[Type of change]] = "Edit",COUNTIFS($I$4:changes[[#This Row],[Name]],changes[[#This Row],[Name]], $E$4:changes[[#This Row],[Type of change]], "Edit")),B996)</f>
        <v>1</v>
      </c>
      <c r="C997" s="16">
        <v>44636</v>
      </c>
      <c r="D997" s="1" t="s">
        <v>2393</v>
      </c>
      <c r="E997" t="s">
        <v>19</v>
      </c>
      <c r="F997" s="10" t="s">
        <v>52</v>
      </c>
      <c r="G997" s="10" t="s">
        <v>2640</v>
      </c>
      <c r="H997" t="s">
        <v>437</v>
      </c>
      <c r="I997" t="s">
        <v>2635</v>
      </c>
      <c r="K997" s="2"/>
      <c r="M997" t="s">
        <v>2586</v>
      </c>
    </row>
    <row r="998" spans="1:13">
      <c r="A998" t="s">
        <v>28</v>
      </c>
      <c r="B998">
        <f ca="1">IF(OR(changes[[#This Row],[Type]]="Checklist",changes[[#This Row],[Type]]="checklist-flat"),1+IF(changes[[#This Row],[Type of change]] = "Edit",COUNTIFS($I$4:changes[[#This Row],[Name]],changes[[#This Row],[Name]], $E$4:changes[[#This Row],[Type of change]], "Edit")),B997)</f>
        <v>1</v>
      </c>
      <c r="C998" s="16">
        <v>44636</v>
      </c>
      <c r="D998" s="1" t="s">
        <v>2393</v>
      </c>
      <c r="E998" t="s">
        <v>19</v>
      </c>
      <c r="F998" s="10" t="s">
        <v>52</v>
      </c>
      <c r="G998" s="10" t="s">
        <v>2640</v>
      </c>
      <c r="H998" t="s">
        <v>64</v>
      </c>
      <c r="I998" t="s">
        <v>2612</v>
      </c>
      <c r="K998" s="2"/>
      <c r="M998" t="s">
        <v>2586</v>
      </c>
    </row>
    <row r="999" spans="1:13">
      <c r="A999" t="s">
        <v>28</v>
      </c>
      <c r="B999">
        <f ca="1">IF(OR(changes[[#This Row],[Type]]="Checklist",changes[[#This Row],[Type]]="checklist-flat"),1+IF(changes[[#This Row],[Type of change]] = "Edit",COUNTIFS($I$4:changes[[#This Row],[Name]],changes[[#This Row],[Name]], $E$4:changes[[#This Row],[Type of change]], "Edit")),B998)</f>
        <v>1</v>
      </c>
      <c r="C999" s="16">
        <v>44636</v>
      </c>
      <c r="D999" s="1" t="s">
        <v>2393</v>
      </c>
      <c r="E999" t="s">
        <v>19</v>
      </c>
      <c r="F999" s="10" t="s">
        <v>52</v>
      </c>
      <c r="G999" s="10" t="s">
        <v>2663</v>
      </c>
      <c r="H999" t="s">
        <v>478</v>
      </c>
      <c r="I999" t="s">
        <v>2663</v>
      </c>
      <c r="K999" s="2"/>
      <c r="M999" t="s">
        <v>2586</v>
      </c>
    </row>
    <row r="1000" spans="1:13">
      <c r="A1000" t="s">
        <v>28</v>
      </c>
      <c r="B1000">
        <f ca="1">IF(OR(changes[[#This Row],[Type]]="Checklist",changes[[#This Row],[Type]]="checklist-flat"),1+IF(changes[[#This Row],[Type of change]] = "Edit",COUNTIFS($I$4:changes[[#This Row],[Name]],changes[[#This Row],[Name]], $E$4:changes[[#This Row],[Type of change]], "Edit")),B999)</f>
        <v>1</v>
      </c>
      <c r="C1000" s="16">
        <v>44636</v>
      </c>
      <c r="D1000" s="1" t="s">
        <v>2393</v>
      </c>
      <c r="E1000" t="s">
        <v>19</v>
      </c>
      <c r="F1000" s="10" t="s">
        <v>52</v>
      </c>
      <c r="G1000" s="10" t="s">
        <v>2663</v>
      </c>
      <c r="H1000" t="s">
        <v>55</v>
      </c>
      <c r="I1000" t="s">
        <v>2664</v>
      </c>
      <c r="K1000" s="2"/>
      <c r="M1000" t="s">
        <v>2586</v>
      </c>
    </row>
    <row r="1001" spans="1:13">
      <c r="A1001" t="s">
        <v>28</v>
      </c>
      <c r="B1001">
        <f ca="1">IF(OR(changes[[#This Row],[Type]]="Checklist",changes[[#This Row],[Type]]="checklist-flat"),1+IF(changes[[#This Row],[Type of change]] = "Edit",COUNTIFS($I$4:changes[[#This Row],[Name]],changes[[#This Row],[Name]], $E$4:changes[[#This Row],[Type of change]], "Edit")),B1000)</f>
        <v>1</v>
      </c>
      <c r="C1001" s="16">
        <v>44636</v>
      </c>
      <c r="D1001" s="1" t="s">
        <v>2393</v>
      </c>
      <c r="E1001" t="s">
        <v>19</v>
      </c>
      <c r="F1001" s="10" t="s">
        <v>52</v>
      </c>
      <c r="G1001" s="10" t="s">
        <v>2663</v>
      </c>
      <c r="H1001" t="s">
        <v>437</v>
      </c>
      <c r="I1001" t="s">
        <v>2665</v>
      </c>
      <c r="K1001" s="2"/>
      <c r="M1001" t="s">
        <v>2586</v>
      </c>
    </row>
    <row r="1002" spans="1:13">
      <c r="A1002" t="s">
        <v>28</v>
      </c>
      <c r="B1002">
        <f ca="1">IF(OR(changes[[#This Row],[Type]]="Checklist",changes[[#This Row],[Type]]="checklist-flat"),1+IF(changes[[#This Row],[Type of change]] = "Edit",COUNTIFS($I$4:changes[[#This Row],[Name]],changes[[#This Row],[Name]], $E$4:changes[[#This Row],[Type of change]], "Edit")),B1001)</f>
        <v>1</v>
      </c>
      <c r="C1002" s="16">
        <v>44636</v>
      </c>
      <c r="D1002" s="1" t="s">
        <v>2393</v>
      </c>
      <c r="E1002" t="s">
        <v>19</v>
      </c>
      <c r="F1002" s="10" t="s">
        <v>52</v>
      </c>
      <c r="G1002" s="10" t="s">
        <v>2663</v>
      </c>
      <c r="H1002" t="s">
        <v>437</v>
      </c>
      <c r="I1002" t="s">
        <v>2666</v>
      </c>
      <c r="K1002" s="2"/>
      <c r="M1002" t="s">
        <v>2586</v>
      </c>
    </row>
    <row r="1003" spans="1:13">
      <c r="A1003" t="s">
        <v>28</v>
      </c>
      <c r="B1003">
        <f ca="1">IF(OR(changes[[#This Row],[Type]]="Checklist",changes[[#This Row],[Type]]="checklist-flat"),1+IF(changes[[#This Row],[Type of change]] = "Edit",COUNTIFS($I$4:changes[[#This Row],[Name]],changes[[#This Row],[Name]], $E$4:changes[[#This Row],[Type of change]], "Edit")),B1002)</f>
        <v>1</v>
      </c>
      <c r="C1003" s="16">
        <v>44636</v>
      </c>
      <c r="D1003" s="1" t="s">
        <v>2393</v>
      </c>
      <c r="E1003" t="s">
        <v>19</v>
      </c>
      <c r="F1003" s="10" t="s">
        <v>52</v>
      </c>
      <c r="G1003" s="10" t="s">
        <v>2663</v>
      </c>
      <c r="H1003" t="s">
        <v>437</v>
      </c>
      <c r="I1003" t="s">
        <v>2667</v>
      </c>
      <c r="K1003" s="2"/>
      <c r="M1003" t="s">
        <v>2586</v>
      </c>
    </row>
    <row r="1004" spans="1:13">
      <c r="A1004" t="s">
        <v>28</v>
      </c>
      <c r="B1004">
        <f ca="1">IF(OR(changes[[#This Row],[Type]]="Checklist",changes[[#This Row],[Type]]="checklist-flat"),1+IF(changes[[#This Row],[Type of change]] = "Edit",COUNTIFS($I$4:changes[[#This Row],[Name]],changes[[#This Row],[Name]], $E$4:changes[[#This Row],[Type of change]], "Edit")),B1003)</f>
        <v>1</v>
      </c>
      <c r="C1004" s="16">
        <v>44636</v>
      </c>
      <c r="D1004" s="1" t="s">
        <v>2393</v>
      </c>
      <c r="E1004" t="s">
        <v>19</v>
      </c>
      <c r="F1004" s="10" t="s">
        <v>52</v>
      </c>
      <c r="G1004" s="10" t="s">
        <v>2663</v>
      </c>
      <c r="H1004" t="s">
        <v>437</v>
      </c>
      <c r="I1004" t="s">
        <v>2668</v>
      </c>
      <c r="K1004" s="2"/>
      <c r="M1004" t="s">
        <v>2586</v>
      </c>
    </row>
    <row r="1005" spans="1:13">
      <c r="A1005" t="s">
        <v>28</v>
      </c>
      <c r="B1005">
        <f ca="1">IF(OR(changes[[#This Row],[Type]]="Checklist",changes[[#This Row],[Type]]="checklist-flat"),1+IF(changes[[#This Row],[Type of change]] = "Edit",COUNTIFS($I$4:changes[[#This Row],[Name]],changes[[#This Row],[Name]], $E$4:changes[[#This Row],[Type of change]], "Edit")),B1004)</f>
        <v>1</v>
      </c>
      <c r="C1005" s="16">
        <v>44636</v>
      </c>
      <c r="D1005" s="1" t="s">
        <v>2393</v>
      </c>
      <c r="E1005" t="s">
        <v>19</v>
      </c>
      <c r="F1005" s="10" t="s">
        <v>52</v>
      </c>
      <c r="G1005" s="10" t="s">
        <v>2663</v>
      </c>
      <c r="H1005" t="s">
        <v>437</v>
      </c>
      <c r="I1005" t="s">
        <v>2644</v>
      </c>
      <c r="K1005" s="2"/>
      <c r="M1005" t="s">
        <v>2586</v>
      </c>
    </row>
    <row r="1006" spans="1:13">
      <c r="A1006" t="s">
        <v>28</v>
      </c>
      <c r="B1006">
        <f ca="1">IF(OR(changes[[#This Row],[Type]]="Checklist",changes[[#This Row],[Type]]="checklist-flat"),1+IF(changes[[#This Row],[Type of change]] = "Edit",COUNTIFS($I$4:changes[[#This Row],[Name]],changes[[#This Row],[Name]], $E$4:changes[[#This Row],[Type of change]], "Edit")),B1005)</f>
        <v>1</v>
      </c>
      <c r="C1006" s="16">
        <v>44636</v>
      </c>
      <c r="D1006" s="1" t="s">
        <v>2393</v>
      </c>
      <c r="E1006" t="s">
        <v>19</v>
      </c>
      <c r="F1006" s="10" t="s">
        <v>52</v>
      </c>
      <c r="G1006" s="10" t="s">
        <v>2663</v>
      </c>
      <c r="H1006" t="s">
        <v>437</v>
      </c>
      <c r="I1006" t="s">
        <v>2649</v>
      </c>
      <c r="K1006" s="2"/>
      <c r="M1006" t="s">
        <v>2586</v>
      </c>
    </row>
    <row r="1007" spans="1:13">
      <c r="A1007" t="s">
        <v>28</v>
      </c>
      <c r="B1007">
        <f ca="1">IF(OR(changes[[#This Row],[Type]]="Checklist",changes[[#This Row],[Type]]="checklist-flat"),1+IF(changes[[#This Row],[Type of change]] = "Edit",COUNTIFS($I$4:changes[[#This Row],[Name]],changes[[#This Row],[Name]], $E$4:changes[[#This Row],[Type of change]], "Edit")),B1006)</f>
        <v>1</v>
      </c>
      <c r="C1007" s="16">
        <v>44636</v>
      </c>
      <c r="D1007" s="1" t="s">
        <v>2393</v>
      </c>
      <c r="E1007" t="s">
        <v>19</v>
      </c>
      <c r="F1007" s="10" t="s">
        <v>52</v>
      </c>
      <c r="G1007" s="10" t="s">
        <v>2663</v>
      </c>
      <c r="H1007" t="s">
        <v>437</v>
      </c>
      <c r="I1007" t="s">
        <v>2650</v>
      </c>
      <c r="K1007" s="2"/>
      <c r="M1007" t="s">
        <v>2586</v>
      </c>
    </row>
    <row r="1008" spans="1:13">
      <c r="A1008" t="s">
        <v>28</v>
      </c>
      <c r="B1008">
        <f ca="1">IF(OR(changes[[#This Row],[Type]]="Checklist",changes[[#This Row],[Type]]="checklist-flat"),1+IF(changes[[#This Row],[Type of change]] = "Edit",COUNTIFS($I$4:changes[[#This Row],[Name]],changes[[#This Row],[Name]], $E$4:changes[[#This Row],[Type of change]], "Edit")),B1007)</f>
        <v>1</v>
      </c>
      <c r="C1008" s="16">
        <v>44636</v>
      </c>
      <c r="D1008" s="1" t="s">
        <v>2393</v>
      </c>
      <c r="E1008" t="s">
        <v>19</v>
      </c>
      <c r="F1008" s="10" t="s">
        <v>52</v>
      </c>
      <c r="G1008" s="10" t="s">
        <v>2663</v>
      </c>
      <c r="H1008" t="s">
        <v>437</v>
      </c>
      <c r="I1008" t="s">
        <v>2651</v>
      </c>
      <c r="K1008" s="2"/>
      <c r="M1008" t="s">
        <v>2586</v>
      </c>
    </row>
    <row r="1009" spans="1:13">
      <c r="A1009" t="s">
        <v>28</v>
      </c>
      <c r="B1009">
        <f ca="1">IF(OR(changes[[#This Row],[Type]]="Checklist",changes[[#This Row],[Type]]="checklist-flat"),1+IF(changes[[#This Row],[Type of change]] = "Edit",COUNTIFS($I$4:changes[[#This Row],[Name]],changes[[#This Row],[Name]], $E$4:changes[[#This Row],[Type of change]], "Edit")),B1008)</f>
        <v>1</v>
      </c>
      <c r="C1009" s="16">
        <v>44636</v>
      </c>
      <c r="D1009" s="1" t="s">
        <v>2393</v>
      </c>
      <c r="E1009" t="s">
        <v>19</v>
      </c>
      <c r="F1009" s="10" t="s">
        <v>52</v>
      </c>
      <c r="G1009" s="10" t="s">
        <v>2663</v>
      </c>
      <c r="H1009" t="s">
        <v>437</v>
      </c>
      <c r="I1009" t="s">
        <v>2652</v>
      </c>
      <c r="K1009" s="2"/>
      <c r="M1009" t="s">
        <v>2586</v>
      </c>
    </row>
    <row r="1010" spans="1:13">
      <c r="A1010" t="s">
        <v>28</v>
      </c>
      <c r="B1010">
        <f ca="1">IF(OR(changes[[#This Row],[Type]]="Checklist",changes[[#This Row],[Type]]="checklist-flat"),1+IF(changes[[#This Row],[Type of change]] = "Edit",COUNTIFS($I$4:changes[[#This Row],[Name]],changes[[#This Row],[Name]], $E$4:changes[[#This Row],[Type of change]], "Edit")),B1009)</f>
        <v>1</v>
      </c>
      <c r="C1010" s="16">
        <v>44636</v>
      </c>
      <c r="D1010" s="1" t="s">
        <v>2393</v>
      </c>
      <c r="E1010" t="s">
        <v>19</v>
      </c>
      <c r="F1010" s="10" t="s">
        <v>52</v>
      </c>
      <c r="G1010" s="10" t="s">
        <v>2663</v>
      </c>
      <c r="H1010" t="s">
        <v>437</v>
      </c>
      <c r="I1010" t="s">
        <v>2653</v>
      </c>
      <c r="K1010" s="2"/>
      <c r="M1010" t="s">
        <v>2586</v>
      </c>
    </row>
    <row r="1011" spans="1:13">
      <c r="A1011" t="s">
        <v>28</v>
      </c>
      <c r="B1011">
        <f ca="1">IF(OR(changes[[#This Row],[Type]]="Checklist",changes[[#This Row],[Type]]="checklist-flat"),1+IF(changes[[#This Row],[Type of change]] = "Edit",COUNTIFS($I$4:changes[[#This Row],[Name]],changes[[#This Row],[Name]], $E$4:changes[[#This Row],[Type of change]], "Edit")),B1010)</f>
        <v>1</v>
      </c>
      <c r="C1011" s="16">
        <v>44636</v>
      </c>
      <c r="D1011" s="1" t="s">
        <v>2393</v>
      </c>
      <c r="E1011" t="s">
        <v>19</v>
      </c>
      <c r="F1011" s="10" t="s">
        <v>52</v>
      </c>
      <c r="G1011" s="10" t="s">
        <v>2663</v>
      </c>
      <c r="H1011" t="s">
        <v>437</v>
      </c>
      <c r="I1011" t="s">
        <v>2654</v>
      </c>
      <c r="K1011" s="2"/>
      <c r="M1011" t="s">
        <v>2586</v>
      </c>
    </row>
    <row r="1012" spans="1:13">
      <c r="A1012" t="s">
        <v>28</v>
      </c>
      <c r="B1012">
        <f ca="1">IF(OR(changes[[#This Row],[Type]]="Checklist",changes[[#This Row],[Type]]="checklist-flat"),1+IF(changes[[#This Row],[Type of change]] = "Edit",COUNTIFS($I$4:changes[[#This Row],[Name]],changes[[#This Row],[Name]], $E$4:changes[[#This Row],[Type of change]], "Edit")),B1011)</f>
        <v>1</v>
      </c>
      <c r="C1012" s="16">
        <v>44636</v>
      </c>
      <c r="D1012" s="1" t="s">
        <v>2393</v>
      </c>
      <c r="E1012" t="s">
        <v>19</v>
      </c>
      <c r="F1012" s="10" t="s">
        <v>52</v>
      </c>
      <c r="G1012" s="10" t="s">
        <v>2663</v>
      </c>
      <c r="H1012" t="s">
        <v>437</v>
      </c>
      <c r="I1012" t="s">
        <v>2655</v>
      </c>
      <c r="K1012" s="2"/>
      <c r="M1012" t="s">
        <v>2586</v>
      </c>
    </row>
    <row r="1013" spans="1:13">
      <c r="A1013" t="s">
        <v>28</v>
      </c>
      <c r="B1013">
        <f ca="1">IF(OR(changes[[#This Row],[Type]]="Checklist",changes[[#This Row],[Type]]="checklist-flat"),1+IF(changes[[#This Row],[Type of change]] = "Edit",COUNTIFS($I$4:changes[[#This Row],[Name]],changes[[#This Row],[Name]], $E$4:changes[[#This Row],[Type of change]], "Edit")),B1012)</f>
        <v>1</v>
      </c>
      <c r="C1013" s="16">
        <v>44636</v>
      </c>
      <c r="D1013" s="1" t="s">
        <v>2393</v>
      </c>
      <c r="E1013" t="s">
        <v>19</v>
      </c>
      <c r="F1013" s="10" t="s">
        <v>52</v>
      </c>
      <c r="G1013" s="10" t="s">
        <v>2663</v>
      </c>
      <c r="H1013" t="s">
        <v>437</v>
      </c>
      <c r="I1013" t="s">
        <v>2669</v>
      </c>
      <c r="K1013" s="2"/>
      <c r="M1013" t="s">
        <v>2586</v>
      </c>
    </row>
    <row r="1014" spans="1:13">
      <c r="A1014" t="s">
        <v>28</v>
      </c>
      <c r="B1014">
        <f ca="1">IF(OR(changes[[#This Row],[Type]]="Checklist",changes[[#This Row],[Type]]="checklist-flat"),1+IF(changes[[#This Row],[Type of change]] = "Edit",COUNTIFS($I$4:changes[[#This Row],[Name]],changes[[#This Row],[Name]], $E$4:changes[[#This Row],[Type of change]], "Edit")),B1013)</f>
        <v>1</v>
      </c>
      <c r="C1014" s="16">
        <v>44636</v>
      </c>
      <c r="D1014" s="1" t="s">
        <v>2393</v>
      </c>
      <c r="E1014" t="s">
        <v>19</v>
      </c>
      <c r="F1014" s="10" t="s">
        <v>52</v>
      </c>
      <c r="G1014" s="10" t="s">
        <v>2663</v>
      </c>
      <c r="H1014" t="s">
        <v>437</v>
      </c>
      <c r="I1014" t="s">
        <v>2660</v>
      </c>
      <c r="K1014" s="2"/>
      <c r="M1014" t="s">
        <v>2586</v>
      </c>
    </row>
    <row r="1015" spans="1:13">
      <c r="A1015" t="s">
        <v>28</v>
      </c>
      <c r="B1015">
        <f ca="1">IF(OR(changes[[#This Row],[Type]]="Checklist",changes[[#This Row],[Type]]="checklist-flat"),1+IF(changes[[#This Row],[Type of change]] = "Edit",COUNTIFS($I$4:changes[[#This Row],[Name]],changes[[#This Row],[Name]], $E$4:changes[[#This Row],[Type of change]], "Edit")),B1014)</f>
        <v>1</v>
      </c>
      <c r="C1015" s="16">
        <v>44636</v>
      </c>
      <c r="D1015" s="1" t="s">
        <v>2393</v>
      </c>
      <c r="E1015" t="s">
        <v>19</v>
      </c>
      <c r="F1015" s="10" t="s">
        <v>52</v>
      </c>
      <c r="G1015" s="10" t="s">
        <v>2663</v>
      </c>
      <c r="H1015" t="s">
        <v>437</v>
      </c>
      <c r="I1015" t="s">
        <v>2661</v>
      </c>
      <c r="K1015" s="2"/>
      <c r="M1015" t="s">
        <v>2586</v>
      </c>
    </row>
    <row r="1016" spans="1:13">
      <c r="A1016" t="s">
        <v>28</v>
      </c>
      <c r="B1016">
        <f ca="1">IF(OR(changes[[#This Row],[Type]]="Checklist",changes[[#This Row],[Type]]="checklist-flat"),1+IF(changes[[#This Row],[Type of change]] = "Edit",COUNTIFS($I$4:changes[[#This Row],[Name]],changes[[#This Row],[Name]], $E$4:changes[[#This Row],[Type of change]], "Edit")),B1015)</f>
        <v>1</v>
      </c>
      <c r="C1016" s="16">
        <v>44636</v>
      </c>
      <c r="D1016" s="1" t="s">
        <v>2393</v>
      </c>
      <c r="E1016" t="s">
        <v>19</v>
      </c>
      <c r="F1016" s="10" t="s">
        <v>52</v>
      </c>
      <c r="G1016" s="10" t="s">
        <v>2663</v>
      </c>
      <c r="H1016" t="s">
        <v>437</v>
      </c>
      <c r="I1016" t="s">
        <v>2662</v>
      </c>
      <c r="K1016" s="2"/>
      <c r="M1016" t="s">
        <v>2586</v>
      </c>
    </row>
    <row r="1017" spans="1:13">
      <c r="A1017" t="s">
        <v>28</v>
      </c>
      <c r="B1017">
        <f ca="1">IF(OR(changes[[#This Row],[Type]]="Checklist",changes[[#This Row],[Type]]="checklist-flat"),1+IF(changes[[#This Row],[Type of change]] = "Edit",COUNTIFS($I$4:changes[[#This Row],[Name]],changes[[#This Row],[Name]], $E$4:changes[[#This Row],[Type of change]], "Edit")),B1016)</f>
        <v>1</v>
      </c>
      <c r="C1017" s="16">
        <v>44636</v>
      </c>
      <c r="D1017" s="1" t="s">
        <v>2393</v>
      </c>
      <c r="E1017" t="s">
        <v>19</v>
      </c>
      <c r="F1017" s="10" t="s">
        <v>52</v>
      </c>
      <c r="G1017" s="10" t="s">
        <v>2663</v>
      </c>
      <c r="H1017" t="s">
        <v>437</v>
      </c>
      <c r="I1017" t="s">
        <v>2442</v>
      </c>
      <c r="K1017" s="2"/>
      <c r="M1017" t="s">
        <v>2586</v>
      </c>
    </row>
    <row r="1018" spans="1:13">
      <c r="A1018" t="s">
        <v>28</v>
      </c>
      <c r="B1018">
        <f ca="1">IF(OR(changes[[#This Row],[Type]]="Checklist",changes[[#This Row],[Type]]="checklist-flat"),1+IF(changes[[#This Row],[Type of change]] = "Edit",COUNTIFS($I$4:changes[[#This Row],[Name]],changes[[#This Row],[Name]], $E$4:changes[[#This Row],[Type of change]], "Edit")),B1017)</f>
        <v>1</v>
      </c>
      <c r="C1018" s="16">
        <v>44636</v>
      </c>
      <c r="D1018" s="1" t="s">
        <v>2393</v>
      </c>
      <c r="E1018" t="s">
        <v>19</v>
      </c>
      <c r="F1018" s="10" t="s">
        <v>52</v>
      </c>
      <c r="G1018" s="10" t="s">
        <v>2663</v>
      </c>
      <c r="H1018" t="s">
        <v>951</v>
      </c>
      <c r="I1018" t="s">
        <v>377</v>
      </c>
      <c r="K1018" s="2"/>
      <c r="M1018" t="s">
        <v>2586</v>
      </c>
    </row>
    <row r="1019" spans="1:13">
      <c r="A1019" t="s">
        <v>28</v>
      </c>
      <c r="B1019">
        <f ca="1">IF(OR(changes[[#This Row],[Type]]="Checklist",changes[[#This Row],[Type]]="checklist-flat"),1+IF(changes[[#This Row],[Type of change]] = "Edit",COUNTIFS($I$4:changes[[#This Row],[Name]],changes[[#This Row],[Name]], $E$4:changes[[#This Row],[Type of change]], "Edit")),B1018)</f>
        <v>1</v>
      </c>
      <c r="C1019" s="16">
        <v>44636</v>
      </c>
      <c r="D1019" s="1" t="s">
        <v>2393</v>
      </c>
      <c r="E1019" t="s">
        <v>19</v>
      </c>
      <c r="F1019" s="10" t="s">
        <v>52</v>
      </c>
      <c r="G1019" s="10" t="s">
        <v>2663</v>
      </c>
      <c r="H1019" t="s">
        <v>951</v>
      </c>
      <c r="I1019" t="s">
        <v>2444</v>
      </c>
      <c r="K1019" s="2"/>
      <c r="M1019" t="s">
        <v>2586</v>
      </c>
    </row>
    <row r="1020" spans="1:13">
      <c r="A1020" t="s">
        <v>28</v>
      </c>
      <c r="B1020">
        <f ca="1">IF(OR(changes[[#This Row],[Type]]="Checklist",changes[[#This Row],[Type]]="checklist-flat"),1+IF(changes[[#This Row],[Type of change]] = "Edit",COUNTIFS($I$4:changes[[#This Row],[Name]],changes[[#This Row],[Name]], $E$4:changes[[#This Row],[Type of change]], "Edit")),B1019)</f>
        <v>1</v>
      </c>
      <c r="C1020" s="16">
        <v>44636</v>
      </c>
      <c r="D1020" s="1" t="s">
        <v>2393</v>
      </c>
      <c r="E1020" t="s">
        <v>19</v>
      </c>
      <c r="F1020" s="10" t="s">
        <v>52</v>
      </c>
      <c r="G1020" s="10" t="s">
        <v>2663</v>
      </c>
      <c r="H1020" t="s">
        <v>951</v>
      </c>
      <c r="I1020" t="s">
        <v>2621</v>
      </c>
      <c r="K1020" s="2"/>
      <c r="M1020" t="s">
        <v>2586</v>
      </c>
    </row>
    <row r="1021" spans="1:13">
      <c r="A1021" t="s">
        <v>28</v>
      </c>
      <c r="B1021">
        <f ca="1">IF(OR(changes[[#This Row],[Type]]="Checklist",changes[[#This Row],[Type]]="checklist-flat"),1+IF(changes[[#This Row],[Type of change]] = "Edit",COUNTIFS($I$4:changes[[#This Row],[Name]],changes[[#This Row],[Name]], $E$4:changes[[#This Row],[Type of change]], "Edit")),B1020)</f>
        <v>1</v>
      </c>
      <c r="C1021" s="16">
        <v>44636</v>
      </c>
      <c r="D1021" s="1" t="s">
        <v>2393</v>
      </c>
      <c r="E1021" t="s">
        <v>19</v>
      </c>
      <c r="F1021" s="10" t="s">
        <v>52</v>
      </c>
      <c r="G1021" s="10" t="s">
        <v>2663</v>
      </c>
      <c r="H1021" t="s">
        <v>951</v>
      </c>
      <c r="I1021" t="s">
        <v>2622</v>
      </c>
      <c r="K1021" s="2"/>
      <c r="M1021" t="s">
        <v>2586</v>
      </c>
    </row>
    <row r="1022" spans="1:13">
      <c r="A1022" t="s">
        <v>28</v>
      </c>
      <c r="B1022">
        <f ca="1">IF(OR(changes[[#This Row],[Type]]="Checklist",changes[[#This Row],[Type]]="checklist-flat"),1+IF(changes[[#This Row],[Type of change]] = "Edit",COUNTIFS($I$4:changes[[#This Row],[Name]],changes[[#This Row],[Name]], $E$4:changes[[#This Row],[Type of change]], "Edit")),B1021)</f>
        <v>1</v>
      </c>
      <c r="C1022" s="16">
        <v>44636</v>
      </c>
      <c r="D1022" s="1" t="s">
        <v>2393</v>
      </c>
      <c r="E1022" t="s">
        <v>19</v>
      </c>
      <c r="F1022" s="10" t="s">
        <v>52</v>
      </c>
      <c r="G1022" s="10" t="s">
        <v>2663</v>
      </c>
      <c r="H1022" t="s">
        <v>437</v>
      </c>
      <c r="I1022" t="s">
        <v>2635</v>
      </c>
      <c r="K1022" s="2"/>
      <c r="M1022" t="s">
        <v>2586</v>
      </c>
    </row>
    <row r="1023" spans="1:13">
      <c r="A1023" t="s">
        <v>28</v>
      </c>
      <c r="B1023">
        <f ca="1">IF(OR(changes[[#This Row],[Type]]="Checklist",changes[[#This Row],[Type]]="checklist-flat"),1+IF(changes[[#This Row],[Type of change]] = "Edit",COUNTIFS($I$4:changes[[#This Row],[Name]],changes[[#This Row],[Name]], $E$4:changes[[#This Row],[Type of change]], "Edit")),B1022)</f>
        <v>1</v>
      </c>
      <c r="C1023" s="16">
        <v>44636</v>
      </c>
      <c r="D1023" s="1" t="s">
        <v>2393</v>
      </c>
      <c r="E1023" t="s">
        <v>19</v>
      </c>
      <c r="F1023" s="10" t="s">
        <v>52</v>
      </c>
      <c r="G1023" s="10" t="s">
        <v>2663</v>
      </c>
      <c r="H1023" t="s">
        <v>64</v>
      </c>
      <c r="I1023" t="s">
        <v>2612</v>
      </c>
      <c r="K1023" s="2"/>
      <c r="M1023" t="s">
        <v>2586</v>
      </c>
    </row>
    <row r="1024" spans="1:13">
      <c r="A1024" t="s">
        <v>28</v>
      </c>
      <c r="B1024">
        <f ca="1">IF(OR(changes[[#This Row],[Type]]="Checklist",changes[[#This Row],[Type]]="checklist-flat"),1+IF(changes[[#This Row],[Type of change]] = "Edit",COUNTIFS($I$4:changes[[#This Row],[Name]],changes[[#This Row],[Name]], $E$4:changes[[#This Row],[Type of change]], "Edit")),B1023)</f>
        <v>1</v>
      </c>
      <c r="C1024" s="16">
        <v>44636</v>
      </c>
      <c r="D1024" s="1" t="s">
        <v>2393</v>
      </c>
      <c r="E1024" t="s">
        <v>19</v>
      </c>
      <c r="F1024" s="10" t="s">
        <v>52</v>
      </c>
      <c r="G1024" s="10" t="s">
        <v>2670</v>
      </c>
      <c r="H1024" t="s">
        <v>478</v>
      </c>
      <c r="I1024" t="s">
        <v>2670</v>
      </c>
      <c r="K1024" s="2"/>
      <c r="M1024" t="s">
        <v>2586</v>
      </c>
    </row>
    <row r="1025" spans="1:13">
      <c r="A1025" t="s">
        <v>28</v>
      </c>
      <c r="B1025">
        <f ca="1">IF(OR(changes[[#This Row],[Type]]="Checklist",changes[[#This Row],[Type]]="checklist-flat"),1+IF(changes[[#This Row],[Type of change]] = "Edit",COUNTIFS($I$4:changes[[#This Row],[Name]],changes[[#This Row],[Name]], $E$4:changes[[#This Row],[Type of change]], "Edit")),B1024)</f>
        <v>1</v>
      </c>
      <c r="C1025" s="16">
        <v>44636</v>
      </c>
      <c r="D1025" s="1" t="s">
        <v>2393</v>
      </c>
      <c r="E1025" t="s">
        <v>19</v>
      </c>
      <c r="F1025" s="10" t="s">
        <v>52</v>
      </c>
      <c r="G1025" s="10" t="s">
        <v>2670</v>
      </c>
      <c r="H1025" t="s">
        <v>55</v>
      </c>
      <c r="I1025" t="s">
        <v>2641</v>
      </c>
      <c r="K1025" s="2"/>
      <c r="M1025" t="s">
        <v>2586</v>
      </c>
    </row>
    <row r="1026" spans="1:13">
      <c r="A1026" t="s">
        <v>28</v>
      </c>
      <c r="B1026">
        <f ca="1">IF(OR(changes[[#This Row],[Type]]="Checklist",changes[[#This Row],[Type]]="checklist-flat"),1+IF(changes[[#This Row],[Type of change]] = "Edit",COUNTIFS($I$4:changes[[#This Row],[Name]],changes[[#This Row],[Name]], $E$4:changes[[#This Row],[Type of change]], "Edit")),B1025)</f>
        <v>1</v>
      </c>
      <c r="C1026" s="16">
        <v>44636</v>
      </c>
      <c r="D1026" s="1" t="s">
        <v>2393</v>
      </c>
      <c r="E1026" t="s">
        <v>19</v>
      </c>
      <c r="F1026" s="10" t="s">
        <v>52</v>
      </c>
      <c r="G1026" s="10" t="s">
        <v>2670</v>
      </c>
      <c r="H1026" t="s">
        <v>437</v>
      </c>
      <c r="I1026" t="s">
        <v>2642</v>
      </c>
      <c r="K1026" s="2"/>
      <c r="M1026" t="s">
        <v>2586</v>
      </c>
    </row>
    <row r="1027" spans="1:13">
      <c r="A1027" t="s">
        <v>28</v>
      </c>
      <c r="B1027">
        <f ca="1">IF(OR(changes[[#This Row],[Type]]="Checklist",changes[[#This Row],[Type]]="checklist-flat"),1+IF(changes[[#This Row],[Type of change]] = "Edit",COUNTIFS($I$4:changes[[#This Row],[Name]],changes[[#This Row],[Name]], $E$4:changes[[#This Row],[Type of change]], "Edit")),B1026)</f>
        <v>1</v>
      </c>
      <c r="C1027" s="16">
        <v>44636</v>
      </c>
      <c r="D1027" s="1" t="s">
        <v>2393</v>
      </c>
      <c r="E1027" t="s">
        <v>19</v>
      </c>
      <c r="F1027" s="10" t="s">
        <v>52</v>
      </c>
      <c r="G1027" s="10" t="s">
        <v>2670</v>
      </c>
      <c r="H1027" t="s">
        <v>437</v>
      </c>
      <c r="I1027" t="s">
        <v>2643</v>
      </c>
      <c r="K1027" s="2"/>
      <c r="M1027" t="s">
        <v>2586</v>
      </c>
    </row>
    <row r="1028" spans="1:13">
      <c r="A1028" t="s">
        <v>28</v>
      </c>
      <c r="B1028">
        <f ca="1">IF(OR(changes[[#This Row],[Type]]="Checklist",changes[[#This Row],[Type]]="checklist-flat"),1+IF(changes[[#This Row],[Type of change]] = "Edit",COUNTIFS($I$4:changes[[#This Row],[Name]],changes[[#This Row],[Name]], $E$4:changes[[#This Row],[Type of change]], "Edit")),B1027)</f>
        <v>1</v>
      </c>
      <c r="C1028" s="16">
        <v>44636</v>
      </c>
      <c r="D1028" s="1" t="s">
        <v>2393</v>
      </c>
      <c r="E1028" t="s">
        <v>19</v>
      </c>
      <c r="F1028" s="10" t="s">
        <v>52</v>
      </c>
      <c r="G1028" s="10" t="s">
        <v>2670</v>
      </c>
      <c r="H1028" t="s">
        <v>437</v>
      </c>
      <c r="I1028" t="s">
        <v>2644</v>
      </c>
      <c r="K1028" s="2"/>
      <c r="M1028" t="s">
        <v>2586</v>
      </c>
    </row>
    <row r="1029" spans="1:13">
      <c r="A1029" t="s">
        <v>28</v>
      </c>
      <c r="B1029">
        <f ca="1">IF(OR(changes[[#This Row],[Type]]="Checklist",changes[[#This Row],[Type]]="checklist-flat"),1+IF(changes[[#This Row],[Type of change]] = "Edit",COUNTIFS($I$4:changes[[#This Row],[Name]],changes[[#This Row],[Name]], $E$4:changes[[#This Row],[Type of change]], "Edit")),B1028)</f>
        <v>1</v>
      </c>
      <c r="C1029" s="16">
        <v>44636</v>
      </c>
      <c r="D1029" s="1" t="s">
        <v>2393</v>
      </c>
      <c r="E1029" t="s">
        <v>19</v>
      </c>
      <c r="F1029" s="10" t="s">
        <v>52</v>
      </c>
      <c r="G1029" s="10" t="s">
        <v>2670</v>
      </c>
      <c r="H1029" t="s">
        <v>437</v>
      </c>
      <c r="I1029" t="s">
        <v>2645</v>
      </c>
      <c r="K1029" s="2"/>
      <c r="M1029" t="s">
        <v>2586</v>
      </c>
    </row>
    <row r="1030" spans="1:13">
      <c r="A1030" t="s">
        <v>28</v>
      </c>
      <c r="B1030">
        <f ca="1">IF(OR(changes[[#This Row],[Type]]="Checklist",changes[[#This Row],[Type]]="checklist-flat"),1+IF(changes[[#This Row],[Type of change]] = "Edit",COUNTIFS($I$4:changes[[#This Row],[Name]],changes[[#This Row],[Name]], $E$4:changes[[#This Row],[Type of change]], "Edit")),B1029)</f>
        <v>1</v>
      </c>
      <c r="C1030" s="16">
        <v>44636</v>
      </c>
      <c r="D1030" s="1" t="s">
        <v>2393</v>
      </c>
      <c r="E1030" t="s">
        <v>19</v>
      </c>
      <c r="F1030" s="10" t="s">
        <v>52</v>
      </c>
      <c r="G1030" s="10" t="s">
        <v>2670</v>
      </c>
      <c r="H1030" t="s">
        <v>437</v>
      </c>
      <c r="I1030" t="s">
        <v>2646</v>
      </c>
      <c r="K1030" s="2"/>
      <c r="M1030" t="s">
        <v>2586</v>
      </c>
    </row>
    <row r="1031" spans="1:13">
      <c r="A1031" t="s">
        <v>28</v>
      </c>
      <c r="B1031">
        <f ca="1">IF(OR(changes[[#This Row],[Type]]="Checklist",changes[[#This Row],[Type]]="checklist-flat"),1+IF(changes[[#This Row],[Type of change]] = "Edit",COUNTIFS($I$4:changes[[#This Row],[Name]],changes[[#This Row],[Name]], $E$4:changes[[#This Row],[Type of change]], "Edit")),B1030)</f>
        <v>1</v>
      </c>
      <c r="C1031" s="16">
        <v>44636</v>
      </c>
      <c r="D1031" s="1" t="s">
        <v>2393</v>
      </c>
      <c r="E1031" t="s">
        <v>19</v>
      </c>
      <c r="F1031" s="10" t="s">
        <v>52</v>
      </c>
      <c r="G1031" s="10" t="s">
        <v>2670</v>
      </c>
      <c r="H1031" t="s">
        <v>437</v>
      </c>
      <c r="I1031" t="s">
        <v>2647</v>
      </c>
      <c r="K1031" s="2"/>
      <c r="M1031" t="s">
        <v>2586</v>
      </c>
    </row>
    <row r="1032" spans="1:13">
      <c r="A1032" t="s">
        <v>28</v>
      </c>
      <c r="B1032">
        <f ca="1">IF(OR(changes[[#This Row],[Type]]="Checklist",changes[[#This Row],[Type]]="checklist-flat"),1+IF(changes[[#This Row],[Type of change]] = "Edit",COUNTIFS($I$4:changes[[#This Row],[Name]],changes[[#This Row],[Name]], $E$4:changes[[#This Row],[Type of change]], "Edit")),B1031)</f>
        <v>1</v>
      </c>
      <c r="C1032" s="16">
        <v>44636</v>
      </c>
      <c r="D1032" s="1" t="s">
        <v>2393</v>
      </c>
      <c r="E1032" t="s">
        <v>19</v>
      </c>
      <c r="F1032" s="10" t="s">
        <v>52</v>
      </c>
      <c r="G1032" s="10" t="s">
        <v>2670</v>
      </c>
      <c r="H1032" t="s">
        <v>437</v>
      </c>
      <c r="I1032" t="s">
        <v>2648</v>
      </c>
      <c r="K1032" s="2"/>
      <c r="M1032" t="s">
        <v>2586</v>
      </c>
    </row>
    <row r="1033" spans="1:13">
      <c r="A1033" t="s">
        <v>28</v>
      </c>
      <c r="B1033">
        <f ca="1">IF(OR(changes[[#This Row],[Type]]="Checklist",changes[[#This Row],[Type]]="checklist-flat"),1+IF(changes[[#This Row],[Type of change]] = "Edit",COUNTIFS($I$4:changes[[#This Row],[Name]],changes[[#This Row],[Name]], $E$4:changes[[#This Row],[Type of change]], "Edit")),B1032)</f>
        <v>1</v>
      </c>
      <c r="C1033" s="16">
        <v>44636</v>
      </c>
      <c r="D1033" s="1" t="s">
        <v>2393</v>
      </c>
      <c r="E1033" t="s">
        <v>19</v>
      </c>
      <c r="F1033" s="10" t="s">
        <v>52</v>
      </c>
      <c r="G1033" s="10" t="s">
        <v>2670</v>
      </c>
      <c r="H1033" t="s">
        <v>437</v>
      </c>
      <c r="I1033" t="s">
        <v>2649</v>
      </c>
      <c r="K1033" s="2"/>
      <c r="M1033" t="s">
        <v>2586</v>
      </c>
    </row>
    <row r="1034" spans="1:13">
      <c r="A1034" t="s">
        <v>28</v>
      </c>
      <c r="B1034">
        <f ca="1">IF(OR(changes[[#This Row],[Type]]="Checklist",changes[[#This Row],[Type]]="checklist-flat"),1+IF(changes[[#This Row],[Type of change]] = "Edit",COUNTIFS($I$4:changes[[#This Row],[Name]],changes[[#This Row],[Name]], $E$4:changes[[#This Row],[Type of change]], "Edit")),B1033)</f>
        <v>1</v>
      </c>
      <c r="C1034" s="16">
        <v>44636</v>
      </c>
      <c r="D1034" s="1" t="s">
        <v>2393</v>
      </c>
      <c r="E1034" t="s">
        <v>19</v>
      </c>
      <c r="F1034" s="10" t="s">
        <v>52</v>
      </c>
      <c r="G1034" s="10" t="s">
        <v>2670</v>
      </c>
      <c r="H1034" t="s">
        <v>437</v>
      </c>
      <c r="I1034" t="s">
        <v>2650</v>
      </c>
      <c r="K1034" s="2"/>
      <c r="M1034" t="s">
        <v>2586</v>
      </c>
    </row>
    <row r="1035" spans="1:13">
      <c r="A1035" t="s">
        <v>28</v>
      </c>
      <c r="B1035">
        <f ca="1">IF(OR(changes[[#This Row],[Type]]="Checklist",changes[[#This Row],[Type]]="checklist-flat"),1+IF(changes[[#This Row],[Type of change]] = "Edit",COUNTIFS($I$4:changes[[#This Row],[Name]],changes[[#This Row],[Name]], $E$4:changes[[#This Row],[Type of change]], "Edit")),B1034)</f>
        <v>1</v>
      </c>
      <c r="C1035" s="16">
        <v>44636</v>
      </c>
      <c r="D1035" s="1" t="s">
        <v>2393</v>
      </c>
      <c r="E1035" t="s">
        <v>19</v>
      </c>
      <c r="F1035" s="10" t="s">
        <v>52</v>
      </c>
      <c r="G1035" s="10" t="s">
        <v>2670</v>
      </c>
      <c r="H1035" t="s">
        <v>437</v>
      </c>
      <c r="I1035" t="s">
        <v>2651</v>
      </c>
      <c r="K1035" s="2"/>
      <c r="M1035" t="s">
        <v>2586</v>
      </c>
    </row>
    <row r="1036" spans="1:13">
      <c r="A1036" t="s">
        <v>28</v>
      </c>
      <c r="B1036">
        <f ca="1">IF(OR(changes[[#This Row],[Type]]="Checklist",changes[[#This Row],[Type]]="checklist-flat"),1+IF(changes[[#This Row],[Type of change]] = "Edit",COUNTIFS($I$4:changes[[#This Row],[Name]],changes[[#This Row],[Name]], $E$4:changes[[#This Row],[Type of change]], "Edit")),B1035)</f>
        <v>1</v>
      </c>
      <c r="C1036" s="16">
        <v>44636</v>
      </c>
      <c r="D1036" s="1" t="s">
        <v>2393</v>
      </c>
      <c r="E1036" t="s">
        <v>19</v>
      </c>
      <c r="F1036" s="10" t="s">
        <v>52</v>
      </c>
      <c r="G1036" s="10" t="s">
        <v>2670</v>
      </c>
      <c r="H1036" t="s">
        <v>437</v>
      </c>
      <c r="I1036" t="s">
        <v>2652</v>
      </c>
      <c r="K1036" s="2"/>
      <c r="M1036" t="s">
        <v>2586</v>
      </c>
    </row>
    <row r="1037" spans="1:13">
      <c r="A1037" t="s">
        <v>28</v>
      </c>
      <c r="B1037">
        <f ca="1">IF(OR(changes[[#This Row],[Type]]="Checklist",changes[[#This Row],[Type]]="checklist-flat"),1+IF(changes[[#This Row],[Type of change]] = "Edit",COUNTIFS($I$4:changes[[#This Row],[Name]],changes[[#This Row],[Name]], $E$4:changes[[#This Row],[Type of change]], "Edit")),B1036)</f>
        <v>1</v>
      </c>
      <c r="C1037" s="16">
        <v>44636</v>
      </c>
      <c r="D1037" s="1" t="s">
        <v>2393</v>
      </c>
      <c r="E1037" t="s">
        <v>19</v>
      </c>
      <c r="F1037" s="10" t="s">
        <v>52</v>
      </c>
      <c r="G1037" s="10" t="s">
        <v>2670</v>
      </c>
      <c r="H1037" t="s">
        <v>437</v>
      </c>
      <c r="I1037" t="s">
        <v>2653</v>
      </c>
      <c r="K1037" s="2"/>
      <c r="M1037" t="s">
        <v>2586</v>
      </c>
    </row>
    <row r="1038" spans="1:13">
      <c r="A1038" t="s">
        <v>28</v>
      </c>
      <c r="B1038">
        <f ca="1">IF(OR(changes[[#This Row],[Type]]="Checklist",changes[[#This Row],[Type]]="checklist-flat"),1+IF(changes[[#This Row],[Type of change]] = "Edit",COUNTIFS($I$4:changes[[#This Row],[Name]],changes[[#This Row],[Name]], $E$4:changes[[#This Row],[Type of change]], "Edit")),B1037)</f>
        <v>1</v>
      </c>
      <c r="C1038" s="16">
        <v>44636</v>
      </c>
      <c r="D1038" s="1" t="s">
        <v>2393</v>
      </c>
      <c r="E1038" t="s">
        <v>19</v>
      </c>
      <c r="F1038" s="10" t="s">
        <v>52</v>
      </c>
      <c r="G1038" s="10" t="s">
        <v>2670</v>
      </c>
      <c r="H1038" t="s">
        <v>437</v>
      </c>
      <c r="I1038" t="s">
        <v>2654</v>
      </c>
      <c r="K1038" s="2"/>
      <c r="M1038" t="s">
        <v>2586</v>
      </c>
    </row>
    <row r="1039" spans="1:13">
      <c r="A1039" t="s">
        <v>28</v>
      </c>
      <c r="B1039">
        <f ca="1">IF(OR(changes[[#This Row],[Type]]="Checklist",changes[[#This Row],[Type]]="checklist-flat"),1+IF(changes[[#This Row],[Type of change]] = "Edit",COUNTIFS($I$4:changes[[#This Row],[Name]],changes[[#This Row],[Name]], $E$4:changes[[#This Row],[Type of change]], "Edit")),B1038)</f>
        <v>1</v>
      </c>
      <c r="C1039" s="16">
        <v>44636</v>
      </c>
      <c r="D1039" s="1" t="s">
        <v>2393</v>
      </c>
      <c r="E1039" t="s">
        <v>19</v>
      </c>
      <c r="F1039" s="10" t="s">
        <v>52</v>
      </c>
      <c r="G1039" s="10" t="s">
        <v>2670</v>
      </c>
      <c r="H1039" t="s">
        <v>437</v>
      </c>
      <c r="I1039" t="s">
        <v>2655</v>
      </c>
      <c r="K1039" s="2"/>
      <c r="M1039" t="s">
        <v>2586</v>
      </c>
    </row>
    <row r="1040" spans="1:13">
      <c r="A1040" t="s">
        <v>28</v>
      </c>
      <c r="B1040">
        <f ca="1">IF(OR(changes[[#This Row],[Type]]="Checklist",changes[[#This Row],[Type]]="checklist-flat"),1+IF(changes[[#This Row],[Type of change]] = "Edit",COUNTIFS($I$4:changes[[#This Row],[Name]],changes[[#This Row],[Name]], $E$4:changes[[#This Row],[Type of change]], "Edit")),B1039)</f>
        <v>1</v>
      </c>
      <c r="C1040" s="16">
        <v>44636</v>
      </c>
      <c r="D1040" s="1" t="s">
        <v>2393</v>
      </c>
      <c r="E1040" t="s">
        <v>19</v>
      </c>
      <c r="F1040" s="10" t="s">
        <v>52</v>
      </c>
      <c r="G1040" s="10" t="s">
        <v>2670</v>
      </c>
      <c r="H1040" t="s">
        <v>437</v>
      </c>
      <c r="I1040" t="s">
        <v>2656</v>
      </c>
      <c r="K1040" s="2"/>
      <c r="M1040" t="s">
        <v>2586</v>
      </c>
    </row>
    <row r="1041" spans="1:13">
      <c r="A1041" t="s">
        <v>28</v>
      </c>
      <c r="B1041">
        <f ca="1">IF(OR(changes[[#This Row],[Type]]="Checklist",changes[[#This Row],[Type]]="checklist-flat"),1+IF(changes[[#This Row],[Type of change]] = "Edit",COUNTIFS($I$4:changes[[#This Row],[Name]],changes[[#This Row],[Name]], $E$4:changes[[#This Row],[Type of change]], "Edit")),B1040)</f>
        <v>1</v>
      </c>
      <c r="C1041" s="16">
        <v>44636</v>
      </c>
      <c r="D1041" s="1" t="s">
        <v>2393</v>
      </c>
      <c r="E1041" t="s">
        <v>19</v>
      </c>
      <c r="F1041" s="10" t="s">
        <v>52</v>
      </c>
      <c r="G1041" s="10" t="s">
        <v>2670</v>
      </c>
      <c r="H1041" t="s">
        <v>437</v>
      </c>
      <c r="I1041" t="s">
        <v>2657</v>
      </c>
      <c r="K1041" s="2"/>
      <c r="M1041" t="s">
        <v>2586</v>
      </c>
    </row>
    <row r="1042" spans="1:13">
      <c r="A1042" t="s">
        <v>28</v>
      </c>
      <c r="B1042">
        <f ca="1">IF(OR(changes[[#This Row],[Type]]="Checklist",changes[[#This Row],[Type]]="checklist-flat"),1+IF(changes[[#This Row],[Type of change]] = "Edit",COUNTIFS($I$4:changes[[#This Row],[Name]],changes[[#This Row],[Name]], $E$4:changes[[#This Row],[Type of change]], "Edit")),B1041)</f>
        <v>1</v>
      </c>
      <c r="C1042" s="16">
        <v>44636</v>
      </c>
      <c r="D1042" s="1" t="s">
        <v>2393</v>
      </c>
      <c r="E1042" t="s">
        <v>19</v>
      </c>
      <c r="F1042" s="10" t="s">
        <v>52</v>
      </c>
      <c r="G1042" s="10" t="s">
        <v>2670</v>
      </c>
      <c r="H1042" t="s">
        <v>437</v>
      </c>
      <c r="I1042" t="s">
        <v>2658</v>
      </c>
      <c r="K1042" s="2"/>
      <c r="M1042" t="s">
        <v>2586</v>
      </c>
    </row>
    <row r="1043" spans="1:13">
      <c r="A1043" t="s">
        <v>28</v>
      </c>
      <c r="B1043">
        <f ca="1">IF(OR(changes[[#This Row],[Type]]="Checklist",changes[[#This Row],[Type]]="checklist-flat"),1+IF(changes[[#This Row],[Type of change]] = "Edit",COUNTIFS($I$4:changes[[#This Row],[Name]],changes[[#This Row],[Name]], $E$4:changes[[#This Row],[Type of change]], "Edit")),B1042)</f>
        <v>1</v>
      </c>
      <c r="C1043" s="16">
        <v>44636</v>
      </c>
      <c r="D1043" s="1" t="s">
        <v>2393</v>
      </c>
      <c r="E1043" t="s">
        <v>19</v>
      </c>
      <c r="F1043" s="10" t="s">
        <v>52</v>
      </c>
      <c r="G1043" s="10" t="s">
        <v>2670</v>
      </c>
      <c r="H1043" t="s">
        <v>437</v>
      </c>
      <c r="I1043" t="s">
        <v>2659</v>
      </c>
      <c r="K1043" s="2"/>
      <c r="M1043" t="s">
        <v>2586</v>
      </c>
    </row>
    <row r="1044" spans="1:13">
      <c r="A1044" t="s">
        <v>28</v>
      </c>
      <c r="B1044">
        <f ca="1">IF(OR(changes[[#This Row],[Type]]="Checklist",changes[[#This Row],[Type]]="checklist-flat"),1+IF(changes[[#This Row],[Type of change]] = "Edit",COUNTIFS($I$4:changes[[#This Row],[Name]],changes[[#This Row],[Name]], $E$4:changes[[#This Row],[Type of change]], "Edit")),B1043)</f>
        <v>1</v>
      </c>
      <c r="C1044" s="16">
        <v>44636</v>
      </c>
      <c r="D1044" s="1" t="s">
        <v>2393</v>
      </c>
      <c r="E1044" t="s">
        <v>19</v>
      </c>
      <c r="F1044" s="10" t="s">
        <v>52</v>
      </c>
      <c r="G1044" s="10" t="s">
        <v>2670</v>
      </c>
      <c r="H1044" t="s">
        <v>437</v>
      </c>
      <c r="I1044" t="s">
        <v>2660</v>
      </c>
      <c r="K1044" s="2"/>
      <c r="M1044" t="s">
        <v>2586</v>
      </c>
    </row>
    <row r="1045" spans="1:13">
      <c r="A1045" t="s">
        <v>28</v>
      </c>
      <c r="B1045">
        <f ca="1">IF(OR(changes[[#This Row],[Type]]="Checklist",changes[[#This Row],[Type]]="checklist-flat"),1+IF(changes[[#This Row],[Type of change]] = "Edit",COUNTIFS($I$4:changes[[#This Row],[Name]],changes[[#This Row],[Name]], $E$4:changes[[#This Row],[Type of change]], "Edit")),B1044)</f>
        <v>1</v>
      </c>
      <c r="C1045" s="16">
        <v>44636</v>
      </c>
      <c r="D1045" s="1" t="s">
        <v>2393</v>
      </c>
      <c r="E1045" t="s">
        <v>19</v>
      </c>
      <c r="F1045" s="10" t="s">
        <v>52</v>
      </c>
      <c r="G1045" s="10" t="s">
        <v>2670</v>
      </c>
      <c r="H1045" t="s">
        <v>437</v>
      </c>
      <c r="I1045" t="s">
        <v>2661</v>
      </c>
      <c r="K1045" s="2"/>
      <c r="M1045" t="s">
        <v>2586</v>
      </c>
    </row>
    <row r="1046" spans="1:13">
      <c r="A1046" t="s">
        <v>28</v>
      </c>
      <c r="B1046">
        <f ca="1">IF(OR(changes[[#This Row],[Type]]="Checklist",changes[[#This Row],[Type]]="checklist-flat"),1+IF(changes[[#This Row],[Type of change]] = "Edit",COUNTIFS($I$4:changes[[#This Row],[Name]],changes[[#This Row],[Name]], $E$4:changes[[#This Row],[Type of change]], "Edit")),B1045)</f>
        <v>1</v>
      </c>
      <c r="C1046" s="16">
        <v>44636</v>
      </c>
      <c r="D1046" s="1" t="s">
        <v>2393</v>
      </c>
      <c r="E1046" t="s">
        <v>19</v>
      </c>
      <c r="F1046" s="10" t="s">
        <v>52</v>
      </c>
      <c r="G1046" s="10" t="s">
        <v>2670</v>
      </c>
      <c r="H1046" t="s">
        <v>437</v>
      </c>
      <c r="I1046" t="s">
        <v>2662</v>
      </c>
      <c r="K1046" s="2"/>
      <c r="M1046" t="s">
        <v>2586</v>
      </c>
    </row>
    <row r="1047" spans="1:13">
      <c r="A1047" t="s">
        <v>28</v>
      </c>
      <c r="B1047">
        <f ca="1">IF(OR(changes[[#This Row],[Type]]="Checklist",changes[[#This Row],[Type]]="checklist-flat"),1+IF(changes[[#This Row],[Type of change]] = "Edit",COUNTIFS($I$4:changes[[#This Row],[Name]],changes[[#This Row],[Name]], $E$4:changes[[#This Row],[Type of change]], "Edit")),B1046)</f>
        <v>1</v>
      </c>
      <c r="C1047" s="16">
        <v>44636</v>
      </c>
      <c r="D1047" s="1" t="s">
        <v>2393</v>
      </c>
      <c r="E1047" t="s">
        <v>19</v>
      </c>
      <c r="F1047" s="10" t="s">
        <v>52</v>
      </c>
      <c r="G1047" s="10" t="s">
        <v>2670</v>
      </c>
      <c r="H1047" t="s">
        <v>437</v>
      </c>
      <c r="I1047" t="s">
        <v>2442</v>
      </c>
      <c r="K1047" s="2"/>
      <c r="M1047" t="s">
        <v>2586</v>
      </c>
    </row>
    <row r="1048" spans="1:13">
      <c r="A1048" t="s">
        <v>28</v>
      </c>
      <c r="B1048">
        <f ca="1">IF(OR(changes[[#This Row],[Type]]="Checklist",changes[[#This Row],[Type]]="checklist-flat"),1+IF(changes[[#This Row],[Type of change]] = "Edit",COUNTIFS($I$4:changes[[#This Row],[Name]],changes[[#This Row],[Name]], $E$4:changes[[#This Row],[Type of change]], "Edit")),B1047)</f>
        <v>1</v>
      </c>
      <c r="C1048" s="16">
        <v>44636</v>
      </c>
      <c r="D1048" s="1" t="s">
        <v>2393</v>
      </c>
      <c r="E1048" t="s">
        <v>19</v>
      </c>
      <c r="F1048" s="10" t="s">
        <v>52</v>
      </c>
      <c r="G1048" s="10" t="s">
        <v>2670</v>
      </c>
      <c r="H1048" t="s">
        <v>951</v>
      </c>
      <c r="I1048" t="s">
        <v>377</v>
      </c>
      <c r="K1048" s="2"/>
      <c r="M1048" t="s">
        <v>2586</v>
      </c>
    </row>
    <row r="1049" spans="1:13">
      <c r="A1049" t="s">
        <v>28</v>
      </c>
      <c r="B1049">
        <f ca="1">IF(OR(changes[[#This Row],[Type]]="Checklist",changes[[#This Row],[Type]]="checklist-flat"),1+IF(changes[[#This Row],[Type of change]] = "Edit",COUNTIFS($I$4:changes[[#This Row],[Name]],changes[[#This Row],[Name]], $E$4:changes[[#This Row],[Type of change]], "Edit")),B1048)</f>
        <v>1</v>
      </c>
      <c r="C1049" s="16">
        <v>44636</v>
      </c>
      <c r="D1049" s="1" t="s">
        <v>2393</v>
      </c>
      <c r="E1049" t="s">
        <v>19</v>
      </c>
      <c r="F1049" s="10" t="s">
        <v>52</v>
      </c>
      <c r="G1049" s="10" t="s">
        <v>2670</v>
      </c>
      <c r="H1049" t="s">
        <v>951</v>
      </c>
      <c r="I1049" t="s">
        <v>2444</v>
      </c>
      <c r="K1049" s="2"/>
      <c r="M1049" t="s">
        <v>2586</v>
      </c>
    </row>
    <row r="1050" spans="1:13">
      <c r="A1050" t="s">
        <v>28</v>
      </c>
      <c r="B1050">
        <f ca="1">IF(OR(changes[[#This Row],[Type]]="Checklist",changes[[#This Row],[Type]]="checklist-flat"),1+IF(changes[[#This Row],[Type of change]] = "Edit",COUNTIFS($I$4:changes[[#This Row],[Name]],changes[[#This Row],[Name]], $E$4:changes[[#This Row],[Type of change]], "Edit")),B1049)</f>
        <v>1</v>
      </c>
      <c r="C1050" s="16">
        <v>44636</v>
      </c>
      <c r="D1050" s="1" t="s">
        <v>2393</v>
      </c>
      <c r="E1050" t="s">
        <v>19</v>
      </c>
      <c r="F1050" s="10" t="s">
        <v>52</v>
      </c>
      <c r="G1050" s="10" t="s">
        <v>2670</v>
      </c>
      <c r="H1050" t="s">
        <v>951</v>
      </c>
      <c r="I1050" t="s">
        <v>2621</v>
      </c>
      <c r="K1050" s="2"/>
      <c r="M1050" t="s">
        <v>2586</v>
      </c>
    </row>
    <row r="1051" spans="1:13">
      <c r="A1051" t="s">
        <v>28</v>
      </c>
      <c r="B1051">
        <f ca="1">IF(OR(changes[[#This Row],[Type]]="Checklist",changes[[#This Row],[Type]]="checklist-flat"),1+IF(changes[[#This Row],[Type of change]] = "Edit",COUNTIFS($I$4:changes[[#This Row],[Name]],changes[[#This Row],[Name]], $E$4:changes[[#This Row],[Type of change]], "Edit")),B1050)</f>
        <v>1</v>
      </c>
      <c r="C1051" s="16">
        <v>44636</v>
      </c>
      <c r="D1051" s="1" t="s">
        <v>2393</v>
      </c>
      <c r="E1051" t="s">
        <v>19</v>
      </c>
      <c r="F1051" s="10" t="s">
        <v>52</v>
      </c>
      <c r="G1051" s="10" t="s">
        <v>2670</v>
      </c>
      <c r="H1051" t="s">
        <v>951</v>
      </c>
      <c r="I1051" t="s">
        <v>2622</v>
      </c>
      <c r="K1051" s="2"/>
      <c r="M1051" t="s">
        <v>2586</v>
      </c>
    </row>
    <row r="1052" spans="1:13">
      <c r="A1052" t="s">
        <v>28</v>
      </c>
      <c r="B1052">
        <f ca="1">IF(OR(changes[[#This Row],[Type]]="Checklist",changes[[#This Row],[Type]]="checklist-flat"),1+IF(changes[[#This Row],[Type of change]] = "Edit",COUNTIFS($I$4:changes[[#This Row],[Name]],changes[[#This Row],[Name]], $E$4:changes[[#This Row],[Type of change]], "Edit")),B1051)</f>
        <v>1</v>
      </c>
      <c r="C1052" s="16">
        <v>44636</v>
      </c>
      <c r="D1052" s="1" t="s">
        <v>2393</v>
      </c>
      <c r="E1052" t="s">
        <v>19</v>
      </c>
      <c r="F1052" s="10" t="s">
        <v>52</v>
      </c>
      <c r="G1052" s="10" t="s">
        <v>2670</v>
      </c>
      <c r="H1052" t="s">
        <v>437</v>
      </c>
      <c r="I1052" t="s">
        <v>2635</v>
      </c>
      <c r="K1052" s="2"/>
      <c r="M1052" t="s">
        <v>2586</v>
      </c>
    </row>
    <row r="1053" spans="1:13">
      <c r="A1053" t="s">
        <v>28</v>
      </c>
      <c r="B1053">
        <f ca="1">IF(OR(changes[[#This Row],[Type]]="Checklist",changes[[#This Row],[Type]]="checklist-flat"),1+IF(changes[[#This Row],[Type of change]] = "Edit",COUNTIFS($I$4:changes[[#This Row],[Name]],changes[[#This Row],[Name]], $E$4:changes[[#This Row],[Type of change]], "Edit")),B1052)</f>
        <v>1</v>
      </c>
      <c r="C1053" s="16">
        <v>44636</v>
      </c>
      <c r="D1053" s="1" t="s">
        <v>2393</v>
      </c>
      <c r="E1053" t="s">
        <v>19</v>
      </c>
      <c r="F1053" s="10" t="s">
        <v>52</v>
      </c>
      <c r="G1053" s="10" t="s">
        <v>2670</v>
      </c>
      <c r="H1053" t="s">
        <v>64</v>
      </c>
      <c r="I1053" t="s">
        <v>2612</v>
      </c>
      <c r="K1053" s="2"/>
      <c r="M1053" t="s">
        <v>2586</v>
      </c>
    </row>
    <row r="1054" spans="1:13">
      <c r="A1054" t="s">
        <v>28</v>
      </c>
      <c r="B1054">
        <f ca="1">IF(OR(changes[[#This Row],[Type]]="Checklist",changes[[#This Row],[Type]]="checklist-flat"),1+IF(changes[[#This Row],[Type of change]] = "Edit",COUNTIFS($I$4:changes[[#This Row],[Name]],changes[[#This Row],[Name]], $E$4:changes[[#This Row],[Type of change]], "Edit")),B1053)</f>
        <v>1</v>
      </c>
      <c r="C1054" s="16">
        <v>44636</v>
      </c>
      <c r="D1054" s="1" t="s">
        <v>2393</v>
      </c>
      <c r="E1054" t="s">
        <v>19</v>
      </c>
      <c r="F1054" s="10" t="s">
        <v>52</v>
      </c>
      <c r="G1054" s="10" t="s">
        <v>2671</v>
      </c>
      <c r="H1054" t="s">
        <v>478</v>
      </c>
      <c r="I1054" t="s">
        <v>2671</v>
      </c>
      <c r="K1054" s="2"/>
      <c r="M1054" t="s">
        <v>2586</v>
      </c>
    </row>
    <row r="1055" spans="1:13">
      <c r="A1055" t="s">
        <v>28</v>
      </c>
      <c r="B1055">
        <f ca="1">IF(OR(changes[[#This Row],[Type]]="Checklist",changes[[#This Row],[Type]]="checklist-flat"),1+IF(changes[[#This Row],[Type of change]] = "Edit",COUNTIFS($I$4:changes[[#This Row],[Name]],changes[[#This Row],[Name]], $E$4:changes[[#This Row],[Type of change]], "Edit")),B1054)</f>
        <v>1</v>
      </c>
      <c r="C1055" s="16">
        <v>44636</v>
      </c>
      <c r="D1055" s="1" t="s">
        <v>2393</v>
      </c>
      <c r="E1055" t="s">
        <v>19</v>
      </c>
      <c r="F1055" s="10" t="s">
        <v>52</v>
      </c>
      <c r="G1055" s="10" t="s">
        <v>2671</v>
      </c>
      <c r="H1055" t="s">
        <v>55</v>
      </c>
      <c r="I1055" t="s">
        <v>2672</v>
      </c>
      <c r="K1055" s="2"/>
      <c r="M1055" t="s">
        <v>2586</v>
      </c>
    </row>
    <row r="1056" spans="1:13">
      <c r="A1056" t="s">
        <v>28</v>
      </c>
      <c r="B1056">
        <f ca="1">IF(OR(changes[[#This Row],[Type]]="Checklist",changes[[#This Row],[Type]]="checklist-flat"),1+IF(changes[[#This Row],[Type of change]] = "Edit",COUNTIFS($I$4:changes[[#This Row],[Name]],changes[[#This Row],[Name]], $E$4:changes[[#This Row],[Type of change]], "Edit")),B1055)</f>
        <v>1</v>
      </c>
      <c r="C1056" s="16">
        <v>44636</v>
      </c>
      <c r="D1056" s="1" t="s">
        <v>2393</v>
      </c>
      <c r="E1056" t="s">
        <v>19</v>
      </c>
      <c r="F1056" s="10" t="s">
        <v>52</v>
      </c>
      <c r="G1056" s="10" t="s">
        <v>2671</v>
      </c>
      <c r="H1056" t="s">
        <v>64</v>
      </c>
      <c r="I1056" t="s">
        <v>2612</v>
      </c>
      <c r="K1056" s="2"/>
      <c r="M1056" t="s">
        <v>2586</v>
      </c>
    </row>
    <row r="1057" spans="1:13">
      <c r="A1057" t="s">
        <v>28</v>
      </c>
      <c r="B1057">
        <f ca="1">IF(OR(changes[[#This Row],[Type]]="Checklist",changes[[#This Row],[Type]]="checklist-flat"),1+IF(changes[[#This Row],[Type of change]] = "Edit",COUNTIFS($I$4:changes[[#This Row],[Name]],changes[[#This Row],[Name]], $E$4:changes[[#This Row],[Type of change]], "Edit")),B1056)</f>
        <v>1</v>
      </c>
      <c r="C1057" s="16">
        <v>44636</v>
      </c>
      <c r="D1057" s="1" t="s">
        <v>2393</v>
      </c>
      <c r="E1057" t="s">
        <v>19</v>
      </c>
      <c r="F1057" s="10" t="s">
        <v>52</v>
      </c>
      <c r="G1057" s="10" t="s">
        <v>2673</v>
      </c>
      <c r="H1057" t="s">
        <v>47</v>
      </c>
      <c r="I1057" t="s">
        <v>2673</v>
      </c>
      <c r="K1057" s="2"/>
      <c r="M1057" t="s">
        <v>2586</v>
      </c>
    </row>
    <row r="1058" spans="1:13">
      <c r="A1058" t="s">
        <v>28</v>
      </c>
      <c r="B1058">
        <f ca="1">IF(OR(changes[[#This Row],[Type]]="Checklist",changes[[#This Row],[Type]]="checklist-flat"),1+IF(changes[[#This Row],[Type of change]] = "Edit",COUNTIFS($I$4:changes[[#This Row],[Name]],changes[[#This Row],[Name]], $E$4:changes[[#This Row],[Type of change]], "Edit")),B1057)</f>
        <v>1</v>
      </c>
      <c r="C1058" s="16">
        <v>44636</v>
      </c>
      <c r="D1058" s="1" t="s">
        <v>2393</v>
      </c>
      <c r="E1058" t="s">
        <v>19</v>
      </c>
      <c r="F1058" s="10" t="s">
        <v>52</v>
      </c>
      <c r="G1058" s="10" t="s">
        <v>2673</v>
      </c>
      <c r="H1058" t="s">
        <v>269</v>
      </c>
      <c r="I1058" t="s">
        <v>2674</v>
      </c>
      <c r="K1058" s="2"/>
      <c r="M1058" t="s">
        <v>2586</v>
      </c>
    </row>
    <row r="1059" spans="1:13">
      <c r="A1059" t="s">
        <v>28</v>
      </c>
      <c r="B1059">
        <f ca="1">IF(OR(changes[[#This Row],[Type]]="Checklist",changes[[#This Row],[Type]]="checklist-flat"),1+IF(changes[[#This Row],[Type of change]] = "Edit",COUNTIFS($I$4:changes[[#This Row],[Name]],changes[[#This Row],[Name]], $E$4:changes[[#This Row],[Type of change]], "Edit")),B1058)</f>
        <v>1</v>
      </c>
      <c r="C1059" s="16">
        <v>44636</v>
      </c>
      <c r="D1059" s="1" t="s">
        <v>2393</v>
      </c>
      <c r="E1059" t="s">
        <v>19</v>
      </c>
      <c r="F1059" s="10" t="s">
        <v>52</v>
      </c>
      <c r="G1059" s="10" t="s">
        <v>2673</v>
      </c>
      <c r="H1059" t="s">
        <v>2433</v>
      </c>
      <c r="I1059" t="s">
        <v>2675</v>
      </c>
      <c r="K1059" s="2"/>
      <c r="M1059" t="s">
        <v>2586</v>
      </c>
    </row>
    <row r="1060" spans="1:13">
      <c r="A1060" t="s">
        <v>28</v>
      </c>
      <c r="B1060">
        <f ca="1">IF(OR(changes[[#This Row],[Type]]="Checklist",changes[[#This Row],[Type]]="checklist-flat"),1+IF(changes[[#This Row],[Type of change]] = "Edit",COUNTIFS($I$4:changes[[#This Row],[Name]],changes[[#This Row],[Name]], $E$4:changes[[#This Row],[Type of change]], "Edit")),B1059)</f>
        <v>1</v>
      </c>
      <c r="C1060" s="16">
        <v>44636</v>
      </c>
      <c r="D1060" s="1" t="s">
        <v>2393</v>
      </c>
      <c r="E1060" t="s">
        <v>19</v>
      </c>
      <c r="F1060" s="10" t="s">
        <v>52</v>
      </c>
      <c r="G1060" s="10" t="s">
        <v>2673</v>
      </c>
      <c r="H1060" t="s">
        <v>2433</v>
      </c>
      <c r="I1060" t="s">
        <v>2676</v>
      </c>
      <c r="K1060" s="2"/>
      <c r="M1060" t="s">
        <v>2586</v>
      </c>
    </row>
    <row r="1061" spans="1:13">
      <c r="A1061" t="s">
        <v>28</v>
      </c>
      <c r="B1061">
        <f ca="1">IF(OR(changes[[#This Row],[Type]]="Checklist",changes[[#This Row],[Type]]="checklist-flat"),1+IF(changes[[#This Row],[Type of change]] = "Edit",COUNTIFS($I$4:changes[[#This Row],[Name]],changes[[#This Row],[Name]], $E$4:changes[[#This Row],[Type of change]], "Edit")),B1060)</f>
        <v>1</v>
      </c>
      <c r="C1061" s="16">
        <v>44636</v>
      </c>
      <c r="D1061" s="1" t="s">
        <v>2393</v>
      </c>
      <c r="E1061" t="s">
        <v>19</v>
      </c>
      <c r="F1061" s="10" t="s">
        <v>52</v>
      </c>
      <c r="G1061" s="10" t="s">
        <v>2673</v>
      </c>
      <c r="H1061" t="s">
        <v>2443</v>
      </c>
      <c r="I1061" t="s">
        <v>2677</v>
      </c>
      <c r="K1061" s="2"/>
      <c r="M1061" t="s">
        <v>2586</v>
      </c>
    </row>
    <row r="1062" spans="1:13">
      <c r="A1062" t="s">
        <v>28</v>
      </c>
      <c r="B1062">
        <f ca="1">IF(OR(changes[[#This Row],[Type]]="Checklist",changes[[#This Row],[Type]]="checklist-flat"),1+IF(changes[[#This Row],[Type of change]] = "Edit",COUNTIFS($I$4:changes[[#This Row],[Name]],changes[[#This Row],[Name]], $E$4:changes[[#This Row],[Type of change]], "Edit")),B1061)</f>
        <v>1</v>
      </c>
      <c r="C1062" s="16">
        <v>44636</v>
      </c>
      <c r="D1062" s="1" t="s">
        <v>2393</v>
      </c>
      <c r="E1062" t="s">
        <v>19</v>
      </c>
      <c r="F1062" s="10" t="s">
        <v>52</v>
      </c>
      <c r="G1062" s="10" t="s">
        <v>2673</v>
      </c>
      <c r="H1062" t="s">
        <v>2433</v>
      </c>
      <c r="I1062" t="s">
        <v>2678</v>
      </c>
      <c r="K1062" s="2"/>
      <c r="M1062" t="s">
        <v>2586</v>
      </c>
    </row>
    <row r="1063" spans="1:13">
      <c r="A1063" t="s">
        <v>28</v>
      </c>
      <c r="B1063">
        <f ca="1">IF(OR(changes[[#This Row],[Type]]="Checklist",changes[[#This Row],[Type]]="checklist-flat"),1+IF(changes[[#This Row],[Type of change]] = "Edit",COUNTIFS($I$4:changes[[#This Row],[Name]],changes[[#This Row],[Name]], $E$4:changes[[#This Row],[Type of change]], "Edit")),B1062)</f>
        <v>1</v>
      </c>
      <c r="C1063" s="16">
        <v>44636</v>
      </c>
      <c r="D1063" s="1" t="s">
        <v>2393</v>
      </c>
      <c r="E1063" t="s">
        <v>19</v>
      </c>
      <c r="F1063" s="10" t="s">
        <v>52</v>
      </c>
      <c r="G1063" s="10" t="s">
        <v>2673</v>
      </c>
      <c r="H1063" t="s">
        <v>2433</v>
      </c>
      <c r="I1063" t="s">
        <v>2679</v>
      </c>
      <c r="K1063" s="2"/>
      <c r="M1063" t="s">
        <v>2586</v>
      </c>
    </row>
    <row r="1064" spans="1:13">
      <c r="A1064" t="s">
        <v>28</v>
      </c>
      <c r="B1064">
        <f ca="1">IF(OR(changes[[#This Row],[Type]]="Checklist",changes[[#This Row],[Type]]="checklist-flat"),1+IF(changes[[#This Row],[Type of change]] = "Edit",COUNTIFS($I$4:changes[[#This Row],[Name]],changes[[#This Row],[Name]], $E$4:changes[[#This Row],[Type of change]], "Edit")),B1063)</f>
        <v>1</v>
      </c>
      <c r="C1064" s="16">
        <v>44636</v>
      </c>
      <c r="D1064" s="1" t="s">
        <v>2393</v>
      </c>
      <c r="E1064" t="s">
        <v>19</v>
      </c>
      <c r="F1064" s="10" t="s">
        <v>52</v>
      </c>
      <c r="G1064" s="10" t="s">
        <v>2673</v>
      </c>
      <c r="H1064" t="s">
        <v>2433</v>
      </c>
      <c r="I1064" t="s">
        <v>2680</v>
      </c>
      <c r="K1064" s="2"/>
      <c r="M1064" t="s">
        <v>2586</v>
      </c>
    </row>
    <row r="1065" spans="1:13">
      <c r="A1065" t="s">
        <v>28</v>
      </c>
      <c r="B1065">
        <f ca="1">IF(OR(changes[[#This Row],[Type]]="Checklist",changes[[#This Row],[Type]]="checklist-flat"),1+IF(changes[[#This Row],[Type of change]] = "Edit",COUNTIFS($I$4:changes[[#This Row],[Name]],changes[[#This Row],[Name]], $E$4:changes[[#This Row],[Type of change]], "Edit")),B1064)</f>
        <v>1</v>
      </c>
      <c r="C1065" s="16">
        <v>44636</v>
      </c>
      <c r="D1065" s="1" t="s">
        <v>2393</v>
      </c>
      <c r="E1065" t="s">
        <v>19</v>
      </c>
      <c r="F1065" s="10" t="s">
        <v>52</v>
      </c>
      <c r="G1065" s="10" t="s">
        <v>2673</v>
      </c>
      <c r="H1065" t="s">
        <v>2433</v>
      </c>
      <c r="I1065" t="s">
        <v>2681</v>
      </c>
      <c r="K1065" s="2"/>
      <c r="M1065" t="s">
        <v>2586</v>
      </c>
    </row>
    <row r="1066" spans="1:13">
      <c r="A1066" t="s">
        <v>28</v>
      </c>
      <c r="B1066">
        <f ca="1">IF(OR(changes[[#This Row],[Type]]="Checklist",changes[[#This Row],[Type]]="checklist-flat"),1+IF(changes[[#This Row],[Type of change]] = "Edit",COUNTIFS($I$4:changes[[#This Row],[Name]],changes[[#This Row],[Name]], $E$4:changes[[#This Row],[Type of change]], "Edit")),B1065)</f>
        <v>1</v>
      </c>
      <c r="C1066" s="16">
        <v>44636</v>
      </c>
      <c r="D1066" s="1" t="s">
        <v>2393</v>
      </c>
      <c r="E1066" t="s">
        <v>19</v>
      </c>
      <c r="F1066" s="10" t="s">
        <v>52</v>
      </c>
      <c r="G1066" s="10" t="s">
        <v>2673</v>
      </c>
      <c r="H1066" t="s">
        <v>2433</v>
      </c>
      <c r="I1066" t="s">
        <v>2682</v>
      </c>
      <c r="K1066" s="2"/>
      <c r="M1066" t="s">
        <v>2586</v>
      </c>
    </row>
    <row r="1067" spans="1:13">
      <c r="A1067" t="s">
        <v>28</v>
      </c>
      <c r="B1067">
        <f ca="1">IF(OR(changes[[#This Row],[Type]]="Checklist",changes[[#This Row],[Type]]="checklist-flat"),1+IF(changes[[#This Row],[Type of change]] = "Edit",COUNTIFS($I$4:changes[[#This Row],[Name]],changes[[#This Row],[Name]], $E$4:changes[[#This Row],[Type of change]], "Edit")),B1066)</f>
        <v>1</v>
      </c>
      <c r="C1067" s="16">
        <v>44636</v>
      </c>
      <c r="D1067" s="1" t="s">
        <v>2393</v>
      </c>
      <c r="E1067" t="s">
        <v>19</v>
      </c>
      <c r="F1067" s="10" t="s">
        <v>52</v>
      </c>
      <c r="G1067" s="10" t="s">
        <v>2673</v>
      </c>
      <c r="H1067" t="s">
        <v>2433</v>
      </c>
      <c r="I1067" t="s">
        <v>2683</v>
      </c>
      <c r="K1067" s="2"/>
      <c r="M1067" t="s">
        <v>2586</v>
      </c>
    </row>
    <row r="1068" spans="1:13">
      <c r="A1068" t="s">
        <v>28</v>
      </c>
      <c r="B1068">
        <f ca="1">IF(OR(changes[[#This Row],[Type]]="Checklist",changes[[#This Row],[Type]]="checklist-flat"),1+IF(changes[[#This Row],[Type of change]] = "Edit",COUNTIFS($I$4:changes[[#This Row],[Name]],changes[[#This Row],[Name]], $E$4:changes[[#This Row],[Type of change]], "Edit")),B1067)</f>
        <v>1</v>
      </c>
      <c r="C1068" s="16">
        <v>44636</v>
      </c>
      <c r="D1068" s="1" t="s">
        <v>2393</v>
      </c>
      <c r="E1068" t="s">
        <v>19</v>
      </c>
      <c r="F1068" s="10" t="s">
        <v>52</v>
      </c>
      <c r="G1068" s="10" t="s">
        <v>2673</v>
      </c>
      <c r="H1068" t="s">
        <v>2433</v>
      </c>
      <c r="I1068" t="s">
        <v>2684</v>
      </c>
      <c r="K1068" s="2"/>
      <c r="M1068" t="s">
        <v>2586</v>
      </c>
    </row>
    <row r="1069" spans="1:13">
      <c r="A1069" t="s">
        <v>28</v>
      </c>
      <c r="B1069">
        <f ca="1">IF(OR(changes[[#This Row],[Type]]="Checklist",changes[[#This Row],[Type]]="checklist-flat"),1+IF(changes[[#This Row],[Type of change]] = "Edit",COUNTIFS($I$4:changes[[#This Row],[Name]],changes[[#This Row],[Name]], $E$4:changes[[#This Row],[Type of change]], "Edit")),B1068)</f>
        <v>1</v>
      </c>
      <c r="C1069" s="16">
        <v>44636</v>
      </c>
      <c r="D1069" s="1" t="s">
        <v>2393</v>
      </c>
      <c r="E1069" t="s">
        <v>19</v>
      </c>
      <c r="F1069" s="10" t="s">
        <v>52</v>
      </c>
      <c r="G1069" s="10" t="s">
        <v>2673</v>
      </c>
      <c r="H1069" t="s">
        <v>2433</v>
      </c>
      <c r="I1069" t="s">
        <v>2685</v>
      </c>
      <c r="K1069" s="2"/>
      <c r="M1069" t="s">
        <v>2586</v>
      </c>
    </row>
    <row r="1070" spans="1:13">
      <c r="A1070" t="s">
        <v>28</v>
      </c>
      <c r="B1070">
        <f ca="1">IF(OR(changes[[#This Row],[Type]]="Checklist",changes[[#This Row],[Type]]="checklist-flat"),1+IF(changes[[#This Row],[Type of change]] = "Edit",COUNTIFS($I$4:changes[[#This Row],[Name]],changes[[#This Row],[Name]], $E$4:changes[[#This Row],[Type of change]], "Edit")),B1069)</f>
        <v>1</v>
      </c>
      <c r="C1070" s="16">
        <v>44636</v>
      </c>
      <c r="D1070" s="1" t="s">
        <v>2393</v>
      </c>
      <c r="E1070" t="s">
        <v>19</v>
      </c>
      <c r="F1070" s="10" t="s">
        <v>52</v>
      </c>
      <c r="G1070" s="10" t="s">
        <v>2673</v>
      </c>
      <c r="H1070" t="s">
        <v>2433</v>
      </c>
      <c r="I1070" t="s">
        <v>2686</v>
      </c>
      <c r="K1070" s="2"/>
      <c r="M1070" t="s">
        <v>2586</v>
      </c>
    </row>
    <row r="1071" spans="1:13">
      <c r="A1071" t="s">
        <v>28</v>
      </c>
      <c r="B1071">
        <f ca="1">IF(OR(changes[[#This Row],[Type]]="Checklist",changes[[#This Row],[Type]]="checklist-flat"),1+IF(changes[[#This Row],[Type of change]] = "Edit",COUNTIFS($I$4:changes[[#This Row],[Name]],changes[[#This Row],[Name]], $E$4:changes[[#This Row],[Type of change]], "Edit")),B1070)</f>
        <v>1</v>
      </c>
      <c r="C1071" s="16">
        <v>44636</v>
      </c>
      <c r="D1071" s="1" t="s">
        <v>2393</v>
      </c>
      <c r="E1071" t="s">
        <v>19</v>
      </c>
      <c r="F1071" s="10" t="s">
        <v>52</v>
      </c>
      <c r="G1071" s="10" t="s">
        <v>2673</v>
      </c>
      <c r="H1071" t="s">
        <v>2433</v>
      </c>
      <c r="I1071" t="s">
        <v>2687</v>
      </c>
      <c r="K1071" s="2"/>
      <c r="M1071" t="s">
        <v>2586</v>
      </c>
    </row>
    <row r="1072" spans="1:13">
      <c r="A1072" t="s">
        <v>28</v>
      </c>
      <c r="B1072">
        <f ca="1">IF(OR(changes[[#This Row],[Type]]="Checklist",changes[[#This Row],[Type]]="checklist-flat"),1+IF(changes[[#This Row],[Type of change]] = "Edit",COUNTIFS($I$4:changes[[#This Row],[Name]],changes[[#This Row],[Name]], $E$4:changes[[#This Row],[Type of change]], "Edit")),B1071)</f>
        <v>1</v>
      </c>
      <c r="C1072" s="16">
        <v>44636</v>
      </c>
      <c r="D1072" s="1" t="s">
        <v>2393</v>
      </c>
      <c r="E1072" t="s">
        <v>19</v>
      </c>
      <c r="F1072" s="10" t="s">
        <v>52</v>
      </c>
      <c r="G1072" s="10" t="s">
        <v>2673</v>
      </c>
      <c r="H1072" t="s">
        <v>2433</v>
      </c>
      <c r="I1072" t="s">
        <v>2688</v>
      </c>
      <c r="K1072" s="2"/>
      <c r="M1072" t="s">
        <v>2586</v>
      </c>
    </row>
    <row r="1073" spans="1:13">
      <c r="A1073" t="s">
        <v>28</v>
      </c>
      <c r="B1073">
        <f ca="1">IF(OR(changes[[#This Row],[Type]]="Checklist",changes[[#This Row],[Type]]="checklist-flat"),1+IF(changes[[#This Row],[Type of change]] = "Edit",COUNTIFS($I$4:changes[[#This Row],[Name]],changes[[#This Row],[Name]], $E$4:changes[[#This Row],[Type of change]], "Edit")),B1072)</f>
        <v>1</v>
      </c>
      <c r="C1073" s="16">
        <v>44636</v>
      </c>
      <c r="D1073" s="1" t="s">
        <v>2393</v>
      </c>
      <c r="E1073" t="s">
        <v>19</v>
      </c>
      <c r="F1073" s="10" t="s">
        <v>52</v>
      </c>
      <c r="G1073" s="10" t="s">
        <v>2673</v>
      </c>
      <c r="H1073" t="s">
        <v>2433</v>
      </c>
      <c r="I1073" t="s">
        <v>2689</v>
      </c>
      <c r="K1073" s="2"/>
      <c r="M1073" t="s">
        <v>2586</v>
      </c>
    </row>
    <row r="1074" spans="1:13">
      <c r="A1074" t="s">
        <v>28</v>
      </c>
      <c r="B1074">
        <f ca="1">IF(OR(changes[[#This Row],[Type]]="Checklist",changes[[#This Row],[Type]]="checklist-flat"),1+IF(changes[[#This Row],[Type of change]] = "Edit",COUNTIFS($I$4:changes[[#This Row],[Name]],changes[[#This Row],[Name]], $E$4:changes[[#This Row],[Type of change]], "Edit")),B1073)</f>
        <v>1</v>
      </c>
      <c r="C1074" s="16">
        <v>44636</v>
      </c>
      <c r="D1074" s="1" t="s">
        <v>2393</v>
      </c>
      <c r="E1074" t="s">
        <v>19</v>
      </c>
      <c r="F1074" s="10" t="s">
        <v>52</v>
      </c>
      <c r="G1074" s="10" t="s">
        <v>2673</v>
      </c>
      <c r="H1074" t="s">
        <v>2433</v>
      </c>
      <c r="I1074" t="s">
        <v>2690</v>
      </c>
      <c r="K1074" s="2"/>
      <c r="M1074" t="s">
        <v>2586</v>
      </c>
    </row>
    <row r="1075" spans="1:13">
      <c r="A1075" t="s">
        <v>28</v>
      </c>
      <c r="B1075">
        <f ca="1">IF(OR(changes[[#This Row],[Type]]="Checklist",changes[[#This Row],[Type]]="checklist-flat"),1+IF(changes[[#This Row],[Type of change]] = "Edit",COUNTIFS($I$4:changes[[#This Row],[Name]],changes[[#This Row],[Name]], $E$4:changes[[#This Row],[Type of change]], "Edit")),B1074)</f>
        <v>1</v>
      </c>
      <c r="C1075" s="16">
        <v>44636</v>
      </c>
      <c r="D1075" s="1" t="s">
        <v>2393</v>
      </c>
      <c r="E1075" t="s">
        <v>19</v>
      </c>
      <c r="F1075" s="10" t="s">
        <v>52</v>
      </c>
      <c r="G1075" s="10" t="s">
        <v>2673</v>
      </c>
      <c r="H1075" t="s">
        <v>2433</v>
      </c>
      <c r="I1075" t="s">
        <v>2442</v>
      </c>
      <c r="K1075" s="2"/>
      <c r="M1075" t="s">
        <v>2586</v>
      </c>
    </row>
    <row r="1076" spans="1:13">
      <c r="A1076" t="s">
        <v>28</v>
      </c>
      <c r="B1076">
        <f ca="1">IF(OR(changes[[#This Row],[Type]]="Checklist",changes[[#This Row],[Type]]="checklist-flat"),1+IF(changes[[#This Row],[Type of change]] = "Edit",COUNTIFS($I$4:changes[[#This Row],[Name]],changes[[#This Row],[Name]], $E$4:changes[[#This Row],[Type of change]], "Edit")),B1075)</f>
        <v>1</v>
      </c>
      <c r="C1076" s="16">
        <v>44636</v>
      </c>
      <c r="D1076" s="1" t="s">
        <v>2393</v>
      </c>
      <c r="E1076" t="s">
        <v>19</v>
      </c>
      <c r="F1076" s="10" t="s">
        <v>52</v>
      </c>
      <c r="G1076" s="10" t="s">
        <v>2673</v>
      </c>
      <c r="H1076" t="s">
        <v>2443</v>
      </c>
      <c r="I1076" t="s">
        <v>2691</v>
      </c>
      <c r="K1076" s="2"/>
      <c r="M1076" t="s">
        <v>2586</v>
      </c>
    </row>
    <row r="1077" spans="1:13">
      <c r="A1077" t="s">
        <v>28</v>
      </c>
      <c r="B1077">
        <f ca="1">IF(OR(changes[[#This Row],[Type]]="Checklist",changes[[#This Row],[Type]]="checklist-flat"),1+IF(changes[[#This Row],[Type of change]] = "Edit",COUNTIFS($I$4:changes[[#This Row],[Name]],changes[[#This Row],[Name]], $E$4:changes[[#This Row],[Type of change]], "Edit")),B1076)</f>
        <v>1</v>
      </c>
      <c r="C1077" s="16">
        <v>44636</v>
      </c>
      <c r="D1077" s="1" t="s">
        <v>2393</v>
      </c>
      <c r="E1077" t="s">
        <v>19</v>
      </c>
      <c r="F1077" s="10" t="s">
        <v>52</v>
      </c>
      <c r="G1077" s="10" t="s">
        <v>2673</v>
      </c>
      <c r="H1077" t="s">
        <v>2443</v>
      </c>
      <c r="I1077" t="s">
        <v>2692</v>
      </c>
      <c r="K1077" s="2"/>
      <c r="M1077" t="s">
        <v>2586</v>
      </c>
    </row>
    <row r="1078" spans="1:13">
      <c r="A1078" t="s">
        <v>28</v>
      </c>
      <c r="B1078">
        <f ca="1">IF(OR(changes[[#This Row],[Type]]="Checklist",changes[[#This Row],[Type]]="checklist-flat"),1+IF(changes[[#This Row],[Type of change]] = "Edit",COUNTIFS($I$4:changes[[#This Row],[Name]],changes[[#This Row],[Name]], $E$4:changes[[#This Row],[Type of change]], "Edit")),B1077)</f>
        <v>1</v>
      </c>
      <c r="C1078" s="16">
        <v>44636</v>
      </c>
      <c r="D1078" s="1" t="s">
        <v>2393</v>
      </c>
      <c r="E1078" t="s">
        <v>19</v>
      </c>
      <c r="F1078" s="10" t="s">
        <v>52</v>
      </c>
      <c r="G1078" s="10" t="s">
        <v>2673</v>
      </c>
      <c r="H1078" t="s">
        <v>2443</v>
      </c>
      <c r="I1078" t="s">
        <v>2621</v>
      </c>
      <c r="K1078" s="2"/>
      <c r="M1078" t="s">
        <v>2586</v>
      </c>
    </row>
    <row r="1079" spans="1:13">
      <c r="A1079" t="s">
        <v>28</v>
      </c>
      <c r="B1079">
        <f ca="1">IF(OR(changes[[#This Row],[Type]]="Checklist",changes[[#This Row],[Type]]="checklist-flat"),1+IF(changes[[#This Row],[Type of change]] = "Edit",COUNTIFS($I$4:changes[[#This Row],[Name]],changes[[#This Row],[Name]], $E$4:changes[[#This Row],[Type of change]], "Edit")),B1078)</f>
        <v>1</v>
      </c>
      <c r="C1079" s="16">
        <v>44636</v>
      </c>
      <c r="D1079" s="1" t="s">
        <v>2393</v>
      </c>
      <c r="E1079" t="s">
        <v>19</v>
      </c>
      <c r="F1079" s="10" t="s">
        <v>52</v>
      </c>
      <c r="G1079" s="10" t="s">
        <v>2673</v>
      </c>
      <c r="H1079" t="s">
        <v>2443</v>
      </c>
      <c r="I1079" t="s">
        <v>2693</v>
      </c>
      <c r="K1079" s="2"/>
      <c r="M1079" t="s">
        <v>2586</v>
      </c>
    </row>
    <row r="1080" spans="1:13">
      <c r="A1080" t="s">
        <v>28</v>
      </c>
      <c r="B1080">
        <f ca="1">IF(OR(changes[[#This Row],[Type]]="Checklist",changes[[#This Row],[Type]]="checklist-flat"),1+IF(changes[[#This Row],[Type of change]] = "Edit",COUNTIFS($I$4:changes[[#This Row],[Name]],changes[[#This Row],[Name]], $E$4:changes[[#This Row],[Type of change]], "Edit")),B1079)</f>
        <v>1</v>
      </c>
      <c r="C1080" s="16">
        <v>44636</v>
      </c>
      <c r="D1080" s="1" t="s">
        <v>2393</v>
      </c>
      <c r="E1080" t="s">
        <v>19</v>
      </c>
      <c r="F1080" s="10" t="s">
        <v>52</v>
      </c>
      <c r="G1080" s="10" t="s">
        <v>2673</v>
      </c>
      <c r="H1080" t="s">
        <v>2433</v>
      </c>
      <c r="I1080" t="s">
        <v>2694</v>
      </c>
      <c r="K1080" s="2"/>
      <c r="M1080" t="s">
        <v>2586</v>
      </c>
    </row>
    <row r="1081" spans="1:13">
      <c r="A1081" t="s">
        <v>28</v>
      </c>
      <c r="B1081">
        <f ca="1">IF(OR(changes[[#This Row],[Type]]="Checklist",changes[[#This Row],[Type]]="checklist-flat"),1+IF(changes[[#This Row],[Type of change]] = "Edit",COUNTIFS($I$4:changes[[#This Row],[Name]],changes[[#This Row],[Name]], $E$4:changes[[#This Row],[Type of change]], "Edit")),B1080)</f>
        <v>1</v>
      </c>
      <c r="C1081" s="16">
        <v>44636</v>
      </c>
      <c r="D1081" s="1" t="s">
        <v>2393</v>
      </c>
      <c r="E1081" t="s">
        <v>19</v>
      </c>
      <c r="F1081" s="10" t="s">
        <v>52</v>
      </c>
      <c r="G1081" s="10" t="s">
        <v>2673</v>
      </c>
      <c r="H1081" t="s">
        <v>64</v>
      </c>
      <c r="I1081" t="s">
        <v>1273</v>
      </c>
      <c r="K1081" s="2"/>
      <c r="M1081" t="s">
        <v>2586</v>
      </c>
    </row>
    <row r="1082" spans="1:13">
      <c r="A1082" t="s">
        <v>28</v>
      </c>
      <c r="B1082">
        <f ca="1">IF(OR(changes[[#This Row],[Type]]="Checklist",changes[[#This Row],[Type]]="checklist-flat"),1+IF(changes[[#This Row],[Type of change]] = "Edit",COUNTIFS($I$4:changes[[#This Row],[Name]],changes[[#This Row],[Name]], $E$4:changes[[#This Row],[Type of change]], "Edit")),B1081)</f>
        <v>1</v>
      </c>
      <c r="C1082" s="16">
        <v>44636</v>
      </c>
      <c r="D1082" s="1" t="s">
        <v>2393</v>
      </c>
      <c r="E1082" t="s">
        <v>19</v>
      </c>
      <c r="F1082" s="10" t="s">
        <v>52</v>
      </c>
      <c r="G1082" s="10" t="s">
        <v>2695</v>
      </c>
      <c r="H1082" t="s">
        <v>47</v>
      </c>
      <c r="I1082" t="s">
        <v>2695</v>
      </c>
      <c r="K1082" s="2"/>
      <c r="M1082" t="s">
        <v>2586</v>
      </c>
    </row>
    <row r="1083" spans="1:13">
      <c r="A1083" t="s">
        <v>28</v>
      </c>
      <c r="B1083">
        <f ca="1">IF(OR(changes[[#This Row],[Type]]="Checklist",changes[[#This Row],[Type]]="checklist-flat"),1+IF(changes[[#This Row],[Type of change]] = "Edit",COUNTIFS($I$4:changes[[#This Row],[Name]],changes[[#This Row],[Name]], $E$4:changes[[#This Row],[Type of change]], "Edit")),B1082)</f>
        <v>1</v>
      </c>
      <c r="C1083" s="16">
        <v>44636</v>
      </c>
      <c r="D1083" s="1" t="s">
        <v>2393</v>
      </c>
      <c r="E1083" t="s">
        <v>19</v>
      </c>
      <c r="F1083" s="10" t="s">
        <v>52</v>
      </c>
      <c r="G1083" s="10" t="s">
        <v>2695</v>
      </c>
      <c r="H1083" t="s">
        <v>269</v>
      </c>
      <c r="I1083" t="s">
        <v>2696</v>
      </c>
      <c r="K1083" s="2"/>
      <c r="M1083" t="s">
        <v>2586</v>
      </c>
    </row>
    <row r="1084" spans="1:13">
      <c r="A1084" t="s">
        <v>28</v>
      </c>
      <c r="B1084">
        <f ca="1">IF(OR(changes[[#This Row],[Type]]="Checklist",changes[[#This Row],[Type]]="checklist-flat"),1+IF(changes[[#This Row],[Type of change]] = "Edit",COUNTIFS($I$4:changes[[#This Row],[Name]],changes[[#This Row],[Name]], $E$4:changes[[#This Row],[Type of change]], "Edit")),B1083)</f>
        <v>1</v>
      </c>
      <c r="C1084" s="16">
        <v>44636</v>
      </c>
      <c r="D1084" s="1" t="s">
        <v>2393</v>
      </c>
      <c r="E1084" t="s">
        <v>19</v>
      </c>
      <c r="F1084" s="10" t="s">
        <v>52</v>
      </c>
      <c r="G1084" s="10" t="s">
        <v>2695</v>
      </c>
      <c r="H1084" t="s">
        <v>2433</v>
      </c>
      <c r="I1084" t="s">
        <v>2697</v>
      </c>
      <c r="K1084" s="2"/>
      <c r="M1084" t="s">
        <v>2586</v>
      </c>
    </row>
    <row r="1085" spans="1:13">
      <c r="A1085" t="s">
        <v>28</v>
      </c>
      <c r="B1085">
        <f ca="1">IF(OR(changes[[#This Row],[Type]]="Checklist",changes[[#This Row],[Type]]="checklist-flat"),1+IF(changes[[#This Row],[Type of change]] = "Edit",COUNTIFS($I$4:changes[[#This Row],[Name]],changes[[#This Row],[Name]], $E$4:changes[[#This Row],[Type of change]], "Edit")),B1084)</f>
        <v>1</v>
      </c>
      <c r="C1085" s="16">
        <v>44636</v>
      </c>
      <c r="D1085" s="1" t="s">
        <v>2393</v>
      </c>
      <c r="E1085" t="s">
        <v>19</v>
      </c>
      <c r="F1085" s="10" t="s">
        <v>52</v>
      </c>
      <c r="G1085" s="10" t="s">
        <v>2695</v>
      </c>
      <c r="H1085" t="s">
        <v>2433</v>
      </c>
      <c r="I1085" t="s">
        <v>2698</v>
      </c>
      <c r="K1085" s="2"/>
      <c r="M1085" t="s">
        <v>2586</v>
      </c>
    </row>
    <row r="1086" spans="1:13">
      <c r="A1086" t="s">
        <v>28</v>
      </c>
      <c r="B1086">
        <f ca="1">IF(OR(changes[[#This Row],[Type]]="Checklist",changes[[#This Row],[Type]]="checklist-flat"),1+IF(changes[[#This Row],[Type of change]] = "Edit",COUNTIFS($I$4:changes[[#This Row],[Name]],changes[[#This Row],[Name]], $E$4:changes[[#This Row],[Type of change]], "Edit")),B1085)</f>
        <v>1</v>
      </c>
      <c r="C1086" s="16">
        <v>44636</v>
      </c>
      <c r="D1086" s="1" t="s">
        <v>2393</v>
      </c>
      <c r="E1086" t="s">
        <v>19</v>
      </c>
      <c r="F1086" s="10" t="s">
        <v>52</v>
      </c>
      <c r="G1086" s="10" t="s">
        <v>2695</v>
      </c>
      <c r="H1086" t="s">
        <v>2433</v>
      </c>
      <c r="I1086" t="s">
        <v>2699</v>
      </c>
      <c r="K1086" s="2"/>
      <c r="M1086" t="s">
        <v>2586</v>
      </c>
    </row>
    <row r="1087" spans="1:13">
      <c r="A1087" t="s">
        <v>28</v>
      </c>
      <c r="B1087">
        <f ca="1">IF(OR(changes[[#This Row],[Type]]="Checklist",changes[[#This Row],[Type]]="checklist-flat"),1+IF(changes[[#This Row],[Type of change]] = "Edit",COUNTIFS($I$4:changes[[#This Row],[Name]],changes[[#This Row],[Name]], $E$4:changes[[#This Row],[Type of change]], "Edit")),B1086)</f>
        <v>1</v>
      </c>
      <c r="C1087" s="16">
        <v>44636</v>
      </c>
      <c r="D1087" s="1" t="s">
        <v>2393</v>
      </c>
      <c r="E1087" t="s">
        <v>19</v>
      </c>
      <c r="F1087" s="10" t="s">
        <v>52</v>
      </c>
      <c r="G1087" s="10" t="s">
        <v>2695</v>
      </c>
      <c r="H1087" t="s">
        <v>2433</v>
      </c>
      <c r="I1087" t="s">
        <v>2700</v>
      </c>
      <c r="K1087" s="2"/>
      <c r="M1087" t="s">
        <v>2586</v>
      </c>
    </row>
    <row r="1088" spans="1:13">
      <c r="A1088" t="s">
        <v>28</v>
      </c>
      <c r="B1088">
        <f ca="1">IF(OR(changes[[#This Row],[Type]]="Checklist",changes[[#This Row],[Type]]="checklist-flat"),1+IF(changes[[#This Row],[Type of change]] = "Edit",COUNTIFS($I$4:changes[[#This Row],[Name]],changes[[#This Row],[Name]], $E$4:changes[[#This Row],[Type of change]], "Edit")),B1087)</f>
        <v>1</v>
      </c>
      <c r="C1088" s="16">
        <v>44636</v>
      </c>
      <c r="D1088" s="1" t="s">
        <v>2393</v>
      </c>
      <c r="E1088" t="s">
        <v>19</v>
      </c>
      <c r="F1088" s="10" t="s">
        <v>52</v>
      </c>
      <c r="G1088" s="10" t="s">
        <v>2695</v>
      </c>
      <c r="H1088" t="s">
        <v>2433</v>
      </c>
      <c r="I1088" t="s">
        <v>2442</v>
      </c>
      <c r="K1088" s="2"/>
      <c r="M1088" t="s">
        <v>2586</v>
      </c>
    </row>
    <row r="1089" spans="1:13">
      <c r="A1089" t="s">
        <v>28</v>
      </c>
      <c r="B1089">
        <f ca="1">IF(OR(changes[[#This Row],[Type]]="Checklist",changes[[#This Row],[Type]]="checklist-flat"),1+IF(changes[[#This Row],[Type of change]] = "Edit",COUNTIFS($I$4:changes[[#This Row],[Name]],changes[[#This Row],[Name]], $E$4:changes[[#This Row],[Type of change]], "Edit")),B1088)</f>
        <v>1</v>
      </c>
      <c r="C1089" s="16">
        <v>44636</v>
      </c>
      <c r="D1089" s="1" t="s">
        <v>2393</v>
      </c>
      <c r="E1089" t="s">
        <v>19</v>
      </c>
      <c r="F1089" s="10" t="s">
        <v>52</v>
      </c>
      <c r="G1089" s="10" t="s">
        <v>2695</v>
      </c>
      <c r="H1089" t="s">
        <v>2443</v>
      </c>
      <c r="I1089" t="s">
        <v>2691</v>
      </c>
      <c r="K1089" s="2"/>
      <c r="M1089" t="s">
        <v>2586</v>
      </c>
    </row>
    <row r="1090" spans="1:13">
      <c r="A1090" t="s">
        <v>28</v>
      </c>
      <c r="B1090">
        <f ca="1">IF(OR(changes[[#This Row],[Type]]="Checklist",changes[[#This Row],[Type]]="checklist-flat"),1+IF(changes[[#This Row],[Type of change]] = "Edit",COUNTIFS($I$4:changes[[#This Row],[Name]],changes[[#This Row],[Name]], $E$4:changes[[#This Row],[Type of change]], "Edit")),B1089)</f>
        <v>1</v>
      </c>
      <c r="C1090" s="16">
        <v>44636</v>
      </c>
      <c r="D1090" s="1" t="s">
        <v>2393</v>
      </c>
      <c r="E1090" t="s">
        <v>19</v>
      </c>
      <c r="F1090" s="10" t="s">
        <v>52</v>
      </c>
      <c r="G1090" s="10" t="s">
        <v>2695</v>
      </c>
      <c r="H1090" t="s">
        <v>2443</v>
      </c>
      <c r="I1090" t="s">
        <v>2692</v>
      </c>
      <c r="K1090" s="2"/>
      <c r="M1090" t="s">
        <v>2586</v>
      </c>
    </row>
    <row r="1091" spans="1:13">
      <c r="A1091" t="s">
        <v>28</v>
      </c>
      <c r="B1091">
        <f ca="1">IF(OR(changes[[#This Row],[Type]]="Checklist",changes[[#This Row],[Type]]="checklist-flat"),1+IF(changes[[#This Row],[Type of change]] = "Edit",COUNTIFS($I$4:changes[[#This Row],[Name]],changes[[#This Row],[Name]], $E$4:changes[[#This Row],[Type of change]], "Edit")),B1090)</f>
        <v>1</v>
      </c>
      <c r="C1091" s="16">
        <v>44636</v>
      </c>
      <c r="D1091" s="1" t="s">
        <v>2393</v>
      </c>
      <c r="E1091" t="s">
        <v>19</v>
      </c>
      <c r="F1091" s="10" t="s">
        <v>52</v>
      </c>
      <c r="G1091" s="10" t="s">
        <v>2695</v>
      </c>
      <c r="H1091" t="s">
        <v>2443</v>
      </c>
      <c r="I1091" t="s">
        <v>2621</v>
      </c>
      <c r="K1091" s="2"/>
      <c r="M1091" t="s">
        <v>2586</v>
      </c>
    </row>
    <row r="1092" spans="1:13">
      <c r="A1092" t="s">
        <v>28</v>
      </c>
      <c r="B1092">
        <f ca="1">IF(OR(changes[[#This Row],[Type]]="Checklist",changes[[#This Row],[Type]]="checklist-flat"),1+IF(changes[[#This Row],[Type of change]] = "Edit",COUNTIFS($I$4:changes[[#This Row],[Name]],changes[[#This Row],[Name]], $E$4:changes[[#This Row],[Type of change]], "Edit")),B1091)</f>
        <v>1</v>
      </c>
      <c r="C1092" s="16">
        <v>44636</v>
      </c>
      <c r="D1092" s="1" t="s">
        <v>2393</v>
      </c>
      <c r="E1092" t="s">
        <v>19</v>
      </c>
      <c r="F1092" s="10" t="s">
        <v>52</v>
      </c>
      <c r="G1092" s="10" t="s">
        <v>2695</v>
      </c>
      <c r="H1092" t="s">
        <v>2443</v>
      </c>
      <c r="I1092" t="s">
        <v>2693</v>
      </c>
      <c r="K1092" s="2"/>
      <c r="M1092" t="s">
        <v>2586</v>
      </c>
    </row>
    <row r="1093" spans="1:13">
      <c r="A1093" t="s">
        <v>28</v>
      </c>
      <c r="B1093">
        <f ca="1">IF(OR(changes[[#This Row],[Type]]="Checklist",changes[[#This Row],[Type]]="checklist-flat"),1+IF(changes[[#This Row],[Type of change]] = "Edit",COUNTIFS($I$4:changes[[#This Row],[Name]],changes[[#This Row],[Name]], $E$4:changes[[#This Row],[Type of change]], "Edit")),B1092)</f>
        <v>1</v>
      </c>
      <c r="C1093" s="16">
        <v>44636</v>
      </c>
      <c r="D1093" s="1" t="s">
        <v>2393</v>
      </c>
      <c r="E1093" t="s">
        <v>19</v>
      </c>
      <c r="F1093" s="10" t="s">
        <v>52</v>
      </c>
      <c r="G1093" s="10" t="s">
        <v>2695</v>
      </c>
      <c r="H1093" t="s">
        <v>2433</v>
      </c>
      <c r="I1093" t="s">
        <v>2635</v>
      </c>
      <c r="K1093" s="2"/>
      <c r="M1093" t="s">
        <v>2586</v>
      </c>
    </row>
    <row r="1094" spans="1:13">
      <c r="A1094" t="s">
        <v>28</v>
      </c>
      <c r="B1094">
        <f ca="1">IF(OR(changes[[#This Row],[Type]]="Checklist",changes[[#This Row],[Type]]="checklist-flat"),1+IF(changes[[#This Row],[Type of change]] = "Edit",COUNTIFS($I$4:changes[[#This Row],[Name]],changes[[#This Row],[Name]], $E$4:changes[[#This Row],[Type of change]], "Edit")),B1093)</f>
        <v>1</v>
      </c>
      <c r="C1094" s="16">
        <v>44636</v>
      </c>
      <c r="D1094" s="1" t="s">
        <v>2393</v>
      </c>
      <c r="E1094" t="s">
        <v>19</v>
      </c>
      <c r="F1094" s="10" t="s">
        <v>52</v>
      </c>
      <c r="G1094" s="10" t="s">
        <v>2695</v>
      </c>
      <c r="H1094" t="s">
        <v>2433</v>
      </c>
      <c r="I1094" t="s">
        <v>2694</v>
      </c>
      <c r="K1094" s="2"/>
      <c r="M1094" t="s">
        <v>2586</v>
      </c>
    </row>
    <row r="1095" spans="1:13">
      <c r="A1095" t="s">
        <v>28</v>
      </c>
      <c r="B1095">
        <f ca="1">IF(OR(changes[[#This Row],[Type]]="Checklist",changes[[#This Row],[Type]]="checklist-flat"),1+IF(changes[[#This Row],[Type of change]] = "Edit",COUNTIFS($I$4:changes[[#This Row],[Name]],changes[[#This Row],[Name]], $E$4:changes[[#This Row],[Type of change]], "Edit")),B1094)</f>
        <v>1</v>
      </c>
      <c r="C1095" s="16">
        <v>44636</v>
      </c>
      <c r="D1095" s="1" t="s">
        <v>2393</v>
      </c>
      <c r="E1095" t="s">
        <v>19</v>
      </c>
      <c r="F1095" s="10" t="s">
        <v>52</v>
      </c>
      <c r="G1095" s="10" t="s">
        <v>2695</v>
      </c>
      <c r="H1095" t="s">
        <v>64</v>
      </c>
      <c r="I1095" t="s">
        <v>1273</v>
      </c>
      <c r="K1095" s="2"/>
      <c r="M1095" t="s">
        <v>2586</v>
      </c>
    </row>
    <row r="1096" spans="1:13">
      <c r="A1096" t="s">
        <v>28</v>
      </c>
      <c r="B1096">
        <f ca="1">IF(OR(changes[[#This Row],[Type]]="Checklist",changes[[#This Row],[Type]]="checklist-flat"),1+IF(changes[[#This Row],[Type of change]] = "Edit",COUNTIFS($I$4:changes[[#This Row],[Name]],changes[[#This Row],[Name]], $E$4:changes[[#This Row],[Type of change]], "Edit")),B1095)</f>
        <v>1</v>
      </c>
      <c r="C1096" s="16">
        <v>44636</v>
      </c>
      <c r="D1096" s="1" t="s">
        <v>2393</v>
      </c>
      <c r="E1096" t="s">
        <v>19</v>
      </c>
      <c r="F1096" s="10" t="s">
        <v>52</v>
      </c>
      <c r="G1096" s="10" t="s">
        <v>2701</v>
      </c>
      <c r="H1096" t="s">
        <v>47</v>
      </c>
      <c r="I1096" t="s">
        <v>2701</v>
      </c>
      <c r="K1096" s="2"/>
      <c r="M1096" t="s">
        <v>2586</v>
      </c>
    </row>
    <row r="1097" spans="1:13">
      <c r="A1097" t="s">
        <v>28</v>
      </c>
      <c r="B1097">
        <f ca="1">IF(OR(changes[[#This Row],[Type]]="Checklist",changes[[#This Row],[Type]]="checklist-flat"),1+IF(changes[[#This Row],[Type of change]] = "Edit",COUNTIFS($I$4:changes[[#This Row],[Name]],changes[[#This Row],[Name]], $E$4:changes[[#This Row],[Type of change]], "Edit")),B1096)</f>
        <v>1</v>
      </c>
      <c r="C1097" s="16">
        <v>44636</v>
      </c>
      <c r="D1097" s="1" t="s">
        <v>2393</v>
      </c>
      <c r="E1097" t="s">
        <v>19</v>
      </c>
      <c r="F1097" s="10" t="s">
        <v>52</v>
      </c>
      <c r="G1097" s="10" t="s">
        <v>2701</v>
      </c>
      <c r="H1097" t="s">
        <v>269</v>
      </c>
      <c r="I1097" t="s">
        <v>2674</v>
      </c>
      <c r="K1097" s="2"/>
      <c r="M1097" t="s">
        <v>2586</v>
      </c>
    </row>
    <row r="1098" spans="1:13">
      <c r="A1098" t="s">
        <v>28</v>
      </c>
      <c r="B1098">
        <f ca="1">IF(OR(changes[[#This Row],[Type]]="Checklist",changes[[#This Row],[Type]]="checklist-flat"),1+IF(changes[[#This Row],[Type of change]] = "Edit",COUNTIFS($I$4:changes[[#This Row],[Name]],changes[[#This Row],[Name]], $E$4:changes[[#This Row],[Type of change]], "Edit")),B1097)</f>
        <v>1</v>
      </c>
      <c r="C1098" s="16">
        <v>44636</v>
      </c>
      <c r="D1098" s="1" t="s">
        <v>2393</v>
      </c>
      <c r="E1098" t="s">
        <v>19</v>
      </c>
      <c r="F1098" s="10" t="s">
        <v>52</v>
      </c>
      <c r="G1098" s="10" t="s">
        <v>2701</v>
      </c>
      <c r="H1098" t="s">
        <v>2433</v>
      </c>
      <c r="I1098" t="s">
        <v>2702</v>
      </c>
      <c r="K1098" s="2"/>
      <c r="M1098" t="s">
        <v>2586</v>
      </c>
    </row>
    <row r="1099" spans="1:13">
      <c r="A1099" t="s">
        <v>28</v>
      </c>
      <c r="B1099">
        <f ca="1">IF(OR(changes[[#This Row],[Type]]="Checklist",changes[[#This Row],[Type]]="checklist-flat"),1+IF(changes[[#This Row],[Type of change]] = "Edit",COUNTIFS($I$4:changes[[#This Row],[Name]],changes[[#This Row],[Name]], $E$4:changes[[#This Row],[Type of change]], "Edit")),B1098)</f>
        <v>1</v>
      </c>
      <c r="C1099" s="16">
        <v>44636</v>
      </c>
      <c r="D1099" s="1" t="s">
        <v>2393</v>
      </c>
      <c r="E1099" t="s">
        <v>19</v>
      </c>
      <c r="F1099" s="10" t="s">
        <v>52</v>
      </c>
      <c r="G1099" s="10" t="s">
        <v>2701</v>
      </c>
      <c r="H1099" t="s">
        <v>2433</v>
      </c>
      <c r="I1099" t="s">
        <v>2703</v>
      </c>
      <c r="K1099" s="2"/>
      <c r="M1099" t="s">
        <v>2586</v>
      </c>
    </row>
    <row r="1100" spans="1:13">
      <c r="A1100" t="s">
        <v>28</v>
      </c>
      <c r="B1100">
        <f ca="1">IF(OR(changes[[#This Row],[Type]]="Checklist",changes[[#This Row],[Type]]="checklist-flat"),1+IF(changes[[#This Row],[Type of change]] = "Edit",COUNTIFS($I$4:changes[[#This Row],[Name]],changes[[#This Row],[Name]], $E$4:changes[[#This Row],[Type of change]], "Edit")),B1099)</f>
        <v>1</v>
      </c>
      <c r="C1100" s="16">
        <v>44636</v>
      </c>
      <c r="D1100" s="1" t="s">
        <v>2393</v>
      </c>
      <c r="E1100" t="s">
        <v>19</v>
      </c>
      <c r="F1100" s="10" t="s">
        <v>52</v>
      </c>
      <c r="G1100" s="10" t="s">
        <v>2701</v>
      </c>
      <c r="H1100" t="s">
        <v>437</v>
      </c>
      <c r="I1100" t="s">
        <v>2704</v>
      </c>
      <c r="K1100" s="2"/>
      <c r="M1100" t="s">
        <v>2586</v>
      </c>
    </row>
    <row r="1101" spans="1:13">
      <c r="A1101" t="s">
        <v>28</v>
      </c>
      <c r="B1101">
        <f ca="1">IF(OR(changes[[#This Row],[Type]]="Checklist",changes[[#This Row],[Type]]="checklist-flat"),1+IF(changes[[#This Row],[Type of change]] = "Edit",COUNTIFS($I$4:changes[[#This Row],[Name]],changes[[#This Row],[Name]], $E$4:changes[[#This Row],[Type of change]], "Edit")),B1100)</f>
        <v>1</v>
      </c>
      <c r="C1101" s="16">
        <v>44636</v>
      </c>
      <c r="D1101" s="1" t="s">
        <v>2393</v>
      </c>
      <c r="E1101" t="s">
        <v>19</v>
      </c>
      <c r="F1101" s="10" t="s">
        <v>52</v>
      </c>
      <c r="G1101" s="10" t="s">
        <v>2701</v>
      </c>
      <c r="H1101" t="s">
        <v>437</v>
      </c>
      <c r="I1101" t="s">
        <v>2705</v>
      </c>
      <c r="K1101" s="2"/>
      <c r="M1101" t="s">
        <v>2586</v>
      </c>
    </row>
    <row r="1102" spans="1:13">
      <c r="A1102" t="s">
        <v>28</v>
      </c>
      <c r="B1102">
        <f ca="1">IF(OR(changes[[#This Row],[Type]]="Checklist",changes[[#This Row],[Type]]="checklist-flat"),1+IF(changes[[#This Row],[Type of change]] = "Edit",COUNTIFS($I$4:changes[[#This Row],[Name]],changes[[#This Row],[Name]], $E$4:changes[[#This Row],[Type of change]], "Edit")),B1101)</f>
        <v>1</v>
      </c>
      <c r="C1102" s="16">
        <v>44636</v>
      </c>
      <c r="D1102" s="1" t="s">
        <v>2393</v>
      </c>
      <c r="E1102" t="s">
        <v>19</v>
      </c>
      <c r="F1102" s="10" t="s">
        <v>52</v>
      </c>
      <c r="G1102" s="10" t="s">
        <v>2701</v>
      </c>
      <c r="H1102" t="s">
        <v>437</v>
      </c>
      <c r="I1102" t="s">
        <v>2706</v>
      </c>
      <c r="K1102" s="2"/>
      <c r="M1102" t="s">
        <v>2586</v>
      </c>
    </row>
    <row r="1103" spans="1:13">
      <c r="A1103" t="s">
        <v>28</v>
      </c>
      <c r="B1103">
        <f ca="1">IF(OR(changes[[#This Row],[Type]]="Checklist",changes[[#This Row],[Type]]="checklist-flat"),1+IF(changes[[#This Row],[Type of change]] = "Edit",COUNTIFS($I$4:changes[[#This Row],[Name]],changes[[#This Row],[Name]], $E$4:changes[[#This Row],[Type of change]], "Edit")),B1102)</f>
        <v>1</v>
      </c>
      <c r="C1103" s="16">
        <v>44636</v>
      </c>
      <c r="D1103" s="1" t="s">
        <v>2393</v>
      </c>
      <c r="E1103" t="s">
        <v>19</v>
      </c>
      <c r="F1103" s="10" t="s">
        <v>52</v>
      </c>
      <c r="G1103" s="10" t="s">
        <v>2701</v>
      </c>
      <c r="H1103" t="s">
        <v>437</v>
      </c>
      <c r="I1103" t="s">
        <v>2707</v>
      </c>
      <c r="K1103" s="2"/>
      <c r="M1103" t="s">
        <v>2586</v>
      </c>
    </row>
    <row r="1104" spans="1:13">
      <c r="A1104" t="s">
        <v>28</v>
      </c>
      <c r="B1104">
        <f ca="1">IF(OR(changes[[#This Row],[Type]]="Checklist",changes[[#This Row],[Type]]="checklist-flat"),1+IF(changes[[#This Row],[Type of change]] = "Edit",COUNTIFS($I$4:changes[[#This Row],[Name]],changes[[#This Row],[Name]], $E$4:changes[[#This Row],[Type of change]], "Edit")),B1103)</f>
        <v>1</v>
      </c>
      <c r="C1104" s="16">
        <v>44636</v>
      </c>
      <c r="D1104" s="1" t="s">
        <v>2393</v>
      </c>
      <c r="E1104" t="s">
        <v>19</v>
      </c>
      <c r="F1104" s="10" t="s">
        <v>52</v>
      </c>
      <c r="G1104" s="10" t="s">
        <v>2701</v>
      </c>
      <c r="H1104" t="s">
        <v>2433</v>
      </c>
      <c r="I1104" t="s">
        <v>2708</v>
      </c>
      <c r="K1104" s="2"/>
      <c r="M1104" t="s">
        <v>2586</v>
      </c>
    </row>
    <row r="1105" spans="1:13">
      <c r="A1105" t="s">
        <v>28</v>
      </c>
      <c r="B1105">
        <f ca="1">IF(OR(changes[[#This Row],[Type]]="Checklist",changes[[#This Row],[Type]]="checklist-flat"),1+IF(changes[[#This Row],[Type of change]] = "Edit",COUNTIFS($I$4:changes[[#This Row],[Name]],changes[[#This Row],[Name]], $E$4:changes[[#This Row],[Type of change]], "Edit")),B1104)</f>
        <v>1</v>
      </c>
      <c r="C1105" s="16">
        <v>44636</v>
      </c>
      <c r="D1105" s="1" t="s">
        <v>2393</v>
      </c>
      <c r="E1105" t="s">
        <v>19</v>
      </c>
      <c r="F1105" s="10" t="s">
        <v>52</v>
      </c>
      <c r="G1105" s="10" t="s">
        <v>2701</v>
      </c>
      <c r="H1105" t="s">
        <v>2433</v>
      </c>
      <c r="I1105" t="s">
        <v>2709</v>
      </c>
      <c r="K1105" s="2"/>
      <c r="M1105" t="s">
        <v>2586</v>
      </c>
    </row>
    <row r="1106" spans="1:13">
      <c r="A1106" t="s">
        <v>28</v>
      </c>
      <c r="B1106">
        <f ca="1">IF(OR(changes[[#This Row],[Type]]="Checklist",changes[[#This Row],[Type]]="checklist-flat"),1+IF(changes[[#This Row],[Type of change]] = "Edit",COUNTIFS($I$4:changes[[#This Row],[Name]],changes[[#This Row],[Name]], $E$4:changes[[#This Row],[Type of change]], "Edit")),B1105)</f>
        <v>1</v>
      </c>
      <c r="C1106" s="16">
        <v>44636</v>
      </c>
      <c r="D1106" s="1" t="s">
        <v>2393</v>
      </c>
      <c r="E1106" t="s">
        <v>19</v>
      </c>
      <c r="F1106" s="10" t="s">
        <v>52</v>
      </c>
      <c r="G1106" s="10" t="s">
        <v>2701</v>
      </c>
      <c r="H1106" t="s">
        <v>2433</v>
      </c>
      <c r="I1106" t="s">
        <v>2710</v>
      </c>
      <c r="K1106" s="2"/>
      <c r="M1106" t="s">
        <v>2586</v>
      </c>
    </row>
    <row r="1107" spans="1:13">
      <c r="A1107" t="s">
        <v>28</v>
      </c>
      <c r="B1107">
        <f ca="1">IF(OR(changes[[#This Row],[Type]]="Checklist",changes[[#This Row],[Type]]="checklist-flat"),1+IF(changes[[#This Row],[Type of change]] = "Edit",COUNTIFS($I$4:changes[[#This Row],[Name]],changes[[#This Row],[Name]], $E$4:changes[[#This Row],[Type of change]], "Edit")),B1106)</f>
        <v>1</v>
      </c>
      <c r="C1107" s="16">
        <v>44636</v>
      </c>
      <c r="D1107" s="1" t="s">
        <v>2393</v>
      </c>
      <c r="E1107" t="s">
        <v>19</v>
      </c>
      <c r="F1107" s="10" t="s">
        <v>52</v>
      </c>
      <c r="G1107" s="10" t="s">
        <v>2701</v>
      </c>
      <c r="H1107" t="s">
        <v>2433</v>
      </c>
      <c r="I1107" t="s">
        <v>2711</v>
      </c>
      <c r="K1107" s="2"/>
      <c r="M1107" t="s">
        <v>2586</v>
      </c>
    </row>
    <row r="1108" spans="1:13">
      <c r="A1108" t="s">
        <v>28</v>
      </c>
      <c r="B1108">
        <f ca="1">IF(OR(changes[[#This Row],[Type]]="Checklist",changes[[#This Row],[Type]]="checklist-flat"),1+IF(changes[[#This Row],[Type of change]] = "Edit",COUNTIFS($I$4:changes[[#This Row],[Name]],changes[[#This Row],[Name]], $E$4:changes[[#This Row],[Type of change]], "Edit")),B1107)</f>
        <v>1</v>
      </c>
      <c r="C1108" s="16">
        <v>44636</v>
      </c>
      <c r="D1108" s="1" t="s">
        <v>2393</v>
      </c>
      <c r="E1108" t="s">
        <v>19</v>
      </c>
      <c r="F1108" s="10" t="s">
        <v>52</v>
      </c>
      <c r="G1108" s="10" t="s">
        <v>2701</v>
      </c>
      <c r="H1108" t="s">
        <v>2433</v>
      </c>
      <c r="I1108" t="s">
        <v>2683</v>
      </c>
      <c r="K1108" s="2"/>
      <c r="M1108" t="s">
        <v>2586</v>
      </c>
    </row>
    <row r="1109" spans="1:13">
      <c r="A1109" t="s">
        <v>28</v>
      </c>
      <c r="B1109">
        <f ca="1">IF(OR(changes[[#This Row],[Type]]="Checklist",changes[[#This Row],[Type]]="checklist-flat"),1+IF(changes[[#This Row],[Type of change]] = "Edit",COUNTIFS($I$4:changes[[#This Row],[Name]],changes[[#This Row],[Name]], $E$4:changes[[#This Row],[Type of change]], "Edit")),B1108)</f>
        <v>1</v>
      </c>
      <c r="C1109" s="16">
        <v>44636</v>
      </c>
      <c r="D1109" s="1" t="s">
        <v>2393</v>
      </c>
      <c r="E1109" t="s">
        <v>19</v>
      </c>
      <c r="F1109" s="10" t="s">
        <v>52</v>
      </c>
      <c r="G1109" s="10" t="s">
        <v>2701</v>
      </c>
      <c r="H1109" t="s">
        <v>2433</v>
      </c>
      <c r="I1109" t="s">
        <v>2442</v>
      </c>
      <c r="K1109" s="2"/>
      <c r="M1109" t="s">
        <v>2586</v>
      </c>
    </row>
    <row r="1110" spans="1:13">
      <c r="A1110" t="s">
        <v>28</v>
      </c>
      <c r="B1110">
        <f ca="1">IF(OR(changes[[#This Row],[Type]]="Checklist",changes[[#This Row],[Type]]="checklist-flat"),1+IF(changes[[#This Row],[Type of change]] = "Edit",COUNTIFS($I$4:changes[[#This Row],[Name]],changes[[#This Row],[Name]], $E$4:changes[[#This Row],[Type of change]], "Edit")),B1109)</f>
        <v>1</v>
      </c>
      <c r="C1110" s="16">
        <v>44636</v>
      </c>
      <c r="D1110" s="1" t="s">
        <v>2393</v>
      </c>
      <c r="E1110" t="s">
        <v>19</v>
      </c>
      <c r="F1110" s="10" t="s">
        <v>52</v>
      </c>
      <c r="G1110" s="10" t="s">
        <v>2701</v>
      </c>
      <c r="H1110" t="s">
        <v>2443</v>
      </c>
      <c r="I1110" t="s">
        <v>2691</v>
      </c>
      <c r="K1110" s="2"/>
      <c r="M1110" t="s">
        <v>2586</v>
      </c>
    </row>
    <row r="1111" spans="1:13">
      <c r="A1111" t="s">
        <v>28</v>
      </c>
      <c r="B1111">
        <f ca="1">IF(OR(changes[[#This Row],[Type]]="Checklist",changes[[#This Row],[Type]]="checklist-flat"),1+IF(changes[[#This Row],[Type of change]] = "Edit",COUNTIFS($I$4:changes[[#This Row],[Name]],changes[[#This Row],[Name]], $E$4:changes[[#This Row],[Type of change]], "Edit")),B1110)</f>
        <v>1</v>
      </c>
      <c r="C1111" s="16">
        <v>44636</v>
      </c>
      <c r="D1111" s="1" t="s">
        <v>2393</v>
      </c>
      <c r="E1111" t="s">
        <v>19</v>
      </c>
      <c r="F1111" s="10" t="s">
        <v>52</v>
      </c>
      <c r="G1111" s="10" t="s">
        <v>2701</v>
      </c>
      <c r="H1111" t="s">
        <v>2443</v>
      </c>
      <c r="I1111" t="s">
        <v>2692</v>
      </c>
      <c r="K1111" s="2"/>
      <c r="M1111" t="s">
        <v>2586</v>
      </c>
    </row>
    <row r="1112" spans="1:13">
      <c r="A1112" t="s">
        <v>28</v>
      </c>
      <c r="B1112">
        <f ca="1">IF(OR(changes[[#This Row],[Type]]="Checklist",changes[[#This Row],[Type]]="checklist-flat"),1+IF(changes[[#This Row],[Type of change]] = "Edit",COUNTIFS($I$4:changes[[#This Row],[Name]],changes[[#This Row],[Name]], $E$4:changes[[#This Row],[Type of change]], "Edit")),B1111)</f>
        <v>1</v>
      </c>
      <c r="C1112" s="16">
        <v>44636</v>
      </c>
      <c r="D1112" s="1" t="s">
        <v>2393</v>
      </c>
      <c r="E1112" t="s">
        <v>19</v>
      </c>
      <c r="F1112" s="10" t="s">
        <v>52</v>
      </c>
      <c r="G1112" s="10" t="s">
        <v>2701</v>
      </c>
      <c r="H1112" t="s">
        <v>2443</v>
      </c>
      <c r="I1112" t="s">
        <v>2621</v>
      </c>
      <c r="K1112" s="2"/>
      <c r="M1112" t="s">
        <v>2586</v>
      </c>
    </row>
    <row r="1113" spans="1:13">
      <c r="A1113" t="s">
        <v>28</v>
      </c>
      <c r="B1113">
        <f ca="1">IF(OR(changes[[#This Row],[Type]]="Checklist",changes[[#This Row],[Type]]="checklist-flat"),1+IF(changes[[#This Row],[Type of change]] = "Edit",COUNTIFS($I$4:changes[[#This Row],[Name]],changes[[#This Row],[Name]], $E$4:changes[[#This Row],[Type of change]], "Edit")),B1112)</f>
        <v>1</v>
      </c>
      <c r="C1113" s="16">
        <v>44636</v>
      </c>
      <c r="D1113" s="1" t="s">
        <v>2393</v>
      </c>
      <c r="E1113" t="s">
        <v>19</v>
      </c>
      <c r="F1113" s="10" t="s">
        <v>52</v>
      </c>
      <c r="G1113" s="10" t="s">
        <v>2701</v>
      </c>
      <c r="H1113" t="s">
        <v>2443</v>
      </c>
      <c r="I1113" t="s">
        <v>2693</v>
      </c>
      <c r="K1113" s="2"/>
      <c r="M1113" t="s">
        <v>2586</v>
      </c>
    </row>
    <row r="1114" spans="1:13">
      <c r="A1114" t="s">
        <v>28</v>
      </c>
      <c r="B1114">
        <f ca="1">IF(OR(changes[[#This Row],[Type]]="Checklist",changes[[#This Row],[Type]]="checklist-flat"),1+IF(changes[[#This Row],[Type of change]] = "Edit",COUNTIFS($I$4:changes[[#This Row],[Name]],changes[[#This Row],[Name]], $E$4:changes[[#This Row],[Type of change]], "Edit")),B1113)</f>
        <v>1</v>
      </c>
      <c r="C1114" s="16">
        <v>44636</v>
      </c>
      <c r="D1114" s="1" t="s">
        <v>2393</v>
      </c>
      <c r="E1114" t="s">
        <v>19</v>
      </c>
      <c r="F1114" s="10" t="s">
        <v>52</v>
      </c>
      <c r="G1114" s="10" t="s">
        <v>2701</v>
      </c>
      <c r="H1114" t="s">
        <v>2433</v>
      </c>
      <c r="I1114" t="s">
        <v>2694</v>
      </c>
      <c r="K1114" s="2"/>
      <c r="M1114" t="s">
        <v>2586</v>
      </c>
    </row>
    <row r="1115" spans="1:13">
      <c r="A1115" t="s">
        <v>28</v>
      </c>
      <c r="B1115">
        <f ca="1">IF(OR(changes[[#This Row],[Type]]="Checklist",changes[[#This Row],[Type]]="checklist-flat"),1+IF(changes[[#This Row],[Type of change]] = "Edit",COUNTIFS($I$4:changes[[#This Row],[Name]],changes[[#This Row],[Name]], $E$4:changes[[#This Row],[Type of change]], "Edit")),B1114)</f>
        <v>1</v>
      </c>
      <c r="C1115" s="16">
        <v>44636</v>
      </c>
      <c r="D1115" s="1" t="s">
        <v>2393</v>
      </c>
      <c r="E1115" t="s">
        <v>19</v>
      </c>
      <c r="F1115" s="10" t="s">
        <v>52</v>
      </c>
      <c r="G1115" s="10" t="s">
        <v>2701</v>
      </c>
      <c r="H1115" t="s">
        <v>64</v>
      </c>
      <c r="I1115" t="s">
        <v>1273</v>
      </c>
      <c r="K1115" s="2"/>
      <c r="M1115" t="s">
        <v>2586</v>
      </c>
    </row>
    <row r="1116" spans="1:13">
      <c r="A1116" t="s">
        <v>28</v>
      </c>
      <c r="B1116">
        <f ca="1">IF(OR(changes[[#This Row],[Type]]="Checklist",changes[[#This Row],[Type]]="checklist-flat"),1+IF(changes[[#This Row],[Type of change]] = "Edit",COUNTIFS($I$4:changes[[#This Row],[Name]],changes[[#This Row],[Name]], $E$4:changes[[#This Row],[Type of change]], "Edit")),B1115)</f>
        <v>1</v>
      </c>
      <c r="C1116" s="16">
        <v>44636</v>
      </c>
      <c r="D1116" s="1" t="s">
        <v>2393</v>
      </c>
      <c r="E1116" t="s">
        <v>19</v>
      </c>
      <c r="F1116" s="10" t="s">
        <v>52</v>
      </c>
      <c r="G1116" s="10" t="s">
        <v>2712</v>
      </c>
      <c r="H1116" t="s">
        <v>478</v>
      </c>
      <c r="I1116" t="s">
        <v>2712</v>
      </c>
      <c r="K1116" s="2"/>
      <c r="M1116" t="s">
        <v>2586</v>
      </c>
    </row>
    <row r="1117" spans="1:13">
      <c r="A1117" t="s">
        <v>28</v>
      </c>
      <c r="B1117">
        <f ca="1">IF(OR(changes[[#This Row],[Type]]="Checklist",changes[[#This Row],[Type]]="checklist-flat"),1+IF(changes[[#This Row],[Type of change]] = "Edit",COUNTIFS($I$4:changes[[#This Row],[Name]],changes[[#This Row],[Name]], $E$4:changes[[#This Row],[Type of change]], "Edit")),B1116)</f>
        <v>1</v>
      </c>
      <c r="C1117" s="16">
        <v>44636</v>
      </c>
      <c r="D1117" s="1" t="s">
        <v>2393</v>
      </c>
      <c r="E1117" t="s">
        <v>19</v>
      </c>
      <c r="F1117" s="10" t="s">
        <v>52</v>
      </c>
      <c r="G1117" s="10" t="s">
        <v>2712</v>
      </c>
      <c r="H1117" t="s">
        <v>55</v>
      </c>
      <c r="I1117" t="s">
        <v>2713</v>
      </c>
      <c r="K1117" s="2"/>
      <c r="M1117" t="s">
        <v>2586</v>
      </c>
    </row>
    <row r="1118" spans="1:13">
      <c r="A1118" t="s">
        <v>28</v>
      </c>
      <c r="B1118">
        <f ca="1">IF(OR(changes[[#This Row],[Type]]="Checklist",changes[[#This Row],[Type]]="checklist-flat"),1+IF(changes[[#This Row],[Type of change]] = "Edit",COUNTIFS($I$4:changes[[#This Row],[Name]],changes[[#This Row],[Name]], $E$4:changes[[#This Row],[Type of change]], "Edit")),B1117)</f>
        <v>1</v>
      </c>
      <c r="C1118" s="16">
        <v>44636</v>
      </c>
      <c r="D1118" s="1" t="s">
        <v>2393</v>
      </c>
      <c r="E1118" t="s">
        <v>19</v>
      </c>
      <c r="F1118" s="10" t="s">
        <v>52</v>
      </c>
      <c r="G1118" s="10" t="s">
        <v>2712</v>
      </c>
      <c r="H1118" t="s">
        <v>437</v>
      </c>
      <c r="I1118" t="s">
        <v>2650</v>
      </c>
      <c r="K1118" s="2"/>
      <c r="M1118" t="s">
        <v>2586</v>
      </c>
    </row>
    <row r="1119" spans="1:13">
      <c r="A1119" t="s">
        <v>28</v>
      </c>
      <c r="B1119">
        <f ca="1">IF(OR(changes[[#This Row],[Type]]="Checklist",changes[[#This Row],[Type]]="checklist-flat"),1+IF(changes[[#This Row],[Type of change]] = "Edit",COUNTIFS($I$4:changes[[#This Row],[Name]],changes[[#This Row],[Name]], $E$4:changes[[#This Row],[Type of change]], "Edit")),B1118)</f>
        <v>1</v>
      </c>
      <c r="C1119" s="16">
        <v>44636</v>
      </c>
      <c r="D1119" s="1" t="s">
        <v>2393</v>
      </c>
      <c r="E1119" t="s">
        <v>19</v>
      </c>
      <c r="F1119" s="10" t="s">
        <v>52</v>
      </c>
      <c r="G1119" s="10" t="s">
        <v>2712</v>
      </c>
      <c r="H1119" t="s">
        <v>437</v>
      </c>
      <c r="I1119" t="s">
        <v>2651</v>
      </c>
      <c r="K1119" s="2"/>
      <c r="M1119" t="s">
        <v>2586</v>
      </c>
    </row>
    <row r="1120" spans="1:13">
      <c r="A1120" t="s">
        <v>28</v>
      </c>
      <c r="B1120">
        <f ca="1">IF(OR(changes[[#This Row],[Type]]="Checklist",changes[[#This Row],[Type]]="checklist-flat"),1+IF(changes[[#This Row],[Type of change]] = "Edit",COUNTIFS($I$4:changes[[#This Row],[Name]],changes[[#This Row],[Name]], $E$4:changes[[#This Row],[Type of change]], "Edit")),B1119)</f>
        <v>1</v>
      </c>
      <c r="C1120" s="16">
        <v>44636</v>
      </c>
      <c r="D1120" s="1" t="s">
        <v>2393</v>
      </c>
      <c r="E1120" t="s">
        <v>19</v>
      </c>
      <c r="F1120" s="10" t="s">
        <v>52</v>
      </c>
      <c r="G1120" s="10" t="s">
        <v>2712</v>
      </c>
      <c r="H1120" t="s">
        <v>437</v>
      </c>
      <c r="I1120" t="s">
        <v>2652</v>
      </c>
      <c r="K1120" s="2"/>
      <c r="M1120" t="s">
        <v>2586</v>
      </c>
    </row>
    <row r="1121" spans="1:13">
      <c r="A1121" t="s">
        <v>28</v>
      </c>
      <c r="B1121">
        <f ca="1">IF(OR(changes[[#This Row],[Type]]="Checklist",changes[[#This Row],[Type]]="checklist-flat"),1+IF(changes[[#This Row],[Type of change]] = "Edit",COUNTIFS($I$4:changes[[#This Row],[Name]],changes[[#This Row],[Name]], $E$4:changes[[#This Row],[Type of change]], "Edit")),B1120)</f>
        <v>1</v>
      </c>
      <c r="C1121" s="16">
        <v>44636</v>
      </c>
      <c r="D1121" s="1" t="s">
        <v>2393</v>
      </c>
      <c r="E1121" t="s">
        <v>19</v>
      </c>
      <c r="F1121" s="10" t="s">
        <v>52</v>
      </c>
      <c r="G1121" s="10" t="s">
        <v>2712</v>
      </c>
      <c r="H1121" t="s">
        <v>437</v>
      </c>
      <c r="I1121" t="s">
        <v>2714</v>
      </c>
      <c r="K1121" s="2"/>
      <c r="M1121" t="s">
        <v>2586</v>
      </c>
    </row>
    <row r="1122" spans="1:13">
      <c r="A1122" t="s">
        <v>28</v>
      </c>
      <c r="B1122">
        <f ca="1">IF(OR(changes[[#This Row],[Type]]="Checklist",changes[[#This Row],[Type]]="checklist-flat"),1+IF(changes[[#This Row],[Type of change]] = "Edit",COUNTIFS($I$4:changes[[#This Row],[Name]],changes[[#This Row],[Name]], $E$4:changes[[#This Row],[Type of change]], "Edit")),B1121)</f>
        <v>1</v>
      </c>
      <c r="C1122" s="16">
        <v>44636</v>
      </c>
      <c r="D1122" s="1" t="s">
        <v>2393</v>
      </c>
      <c r="E1122" t="s">
        <v>19</v>
      </c>
      <c r="F1122" s="10" t="s">
        <v>52</v>
      </c>
      <c r="G1122" s="10" t="s">
        <v>2712</v>
      </c>
      <c r="H1122" t="s">
        <v>437</v>
      </c>
      <c r="I1122" t="s">
        <v>2655</v>
      </c>
      <c r="K1122" s="2"/>
      <c r="M1122" t="s">
        <v>2586</v>
      </c>
    </row>
    <row r="1123" spans="1:13">
      <c r="A1123" t="s">
        <v>28</v>
      </c>
      <c r="B1123">
        <f ca="1">IF(OR(changes[[#This Row],[Type]]="Checklist",changes[[#This Row],[Type]]="checklist-flat"),1+IF(changes[[#This Row],[Type of change]] = "Edit",COUNTIFS($I$4:changes[[#This Row],[Name]],changes[[#This Row],[Name]], $E$4:changes[[#This Row],[Type of change]], "Edit")),B1122)</f>
        <v>1</v>
      </c>
      <c r="C1123" s="16">
        <v>44636</v>
      </c>
      <c r="D1123" s="1" t="s">
        <v>2393</v>
      </c>
      <c r="E1123" t="s">
        <v>19</v>
      </c>
      <c r="F1123" s="10" t="s">
        <v>52</v>
      </c>
      <c r="G1123" s="10" t="s">
        <v>2712</v>
      </c>
      <c r="H1123" t="s">
        <v>437</v>
      </c>
      <c r="I1123" t="s">
        <v>2715</v>
      </c>
      <c r="K1123" s="2"/>
      <c r="M1123" t="s">
        <v>2586</v>
      </c>
    </row>
    <row r="1124" spans="1:13">
      <c r="A1124" t="s">
        <v>28</v>
      </c>
      <c r="B1124">
        <f ca="1">IF(OR(changes[[#This Row],[Type]]="Checklist",changes[[#This Row],[Type]]="checklist-flat"),1+IF(changes[[#This Row],[Type of change]] = "Edit",COUNTIFS($I$4:changes[[#This Row],[Name]],changes[[#This Row],[Name]], $E$4:changes[[#This Row],[Type of change]], "Edit")),B1123)</f>
        <v>1</v>
      </c>
      <c r="C1124" s="16">
        <v>44636</v>
      </c>
      <c r="D1124" s="1" t="s">
        <v>2393</v>
      </c>
      <c r="E1124" t="s">
        <v>19</v>
      </c>
      <c r="F1124" s="10" t="s">
        <v>52</v>
      </c>
      <c r="G1124" s="10" t="s">
        <v>2712</v>
      </c>
      <c r="H1124" t="s">
        <v>437</v>
      </c>
      <c r="I1124" t="s">
        <v>2661</v>
      </c>
      <c r="K1124" s="2"/>
      <c r="M1124" t="s">
        <v>2586</v>
      </c>
    </row>
    <row r="1125" spans="1:13">
      <c r="A1125" t="s">
        <v>28</v>
      </c>
      <c r="B1125">
        <f ca="1">IF(OR(changes[[#This Row],[Type]]="Checklist",changes[[#This Row],[Type]]="checklist-flat"),1+IF(changes[[#This Row],[Type of change]] = "Edit",COUNTIFS($I$4:changes[[#This Row],[Name]],changes[[#This Row],[Name]], $E$4:changes[[#This Row],[Type of change]], "Edit")),B1124)</f>
        <v>1</v>
      </c>
      <c r="C1125" s="16">
        <v>44636</v>
      </c>
      <c r="D1125" s="1" t="s">
        <v>2393</v>
      </c>
      <c r="E1125" t="s">
        <v>19</v>
      </c>
      <c r="F1125" s="10" t="s">
        <v>52</v>
      </c>
      <c r="G1125" s="10" t="s">
        <v>2712</v>
      </c>
      <c r="H1125" t="s">
        <v>437</v>
      </c>
      <c r="I1125" t="s">
        <v>2442</v>
      </c>
      <c r="K1125" s="2"/>
      <c r="M1125" t="s">
        <v>2586</v>
      </c>
    </row>
    <row r="1126" spans="1:13">
      <c r="A1126" t="s">
        <v>28</v>
      </c>
      <c r="B1126">
        <f ca="1">IF(OR(changes[[#This Row],[Type]]="Checklist",changes[[#This Row],[Type]]="checklist-flat"),1+IF(changes[[#This Row],[Type of change]] = "Edit",COUNTIFS($I$4:changes[[#This Row],[Name]],changes[[#This Row],[Name]], $E$4:changes[[#This Row],[Type of change]], "Edit")),B1125)</f>
        <v>1</v>
      </c>
      <c r="C1126" s="16">
        <v>44636</v>
      </c>
      <c r="D1126" s="1" t="s">
        <v>2393</v>
      </c>
      <c r="E1126" t="s">
        <v>19</v>
      </c>
      <c r="F1126" s="10" t="s">
        <v>52</v>
      </c>
      <c r="G1126" s="10" t="s">
        <v>2712</v>
      </c>
      <c r="H1126" t="s">
        <v>951</v>
      </c>
      <c r="I1126" t="s">
        <v>377</v>
      </c>
      <c r="K1126" s="2"/>
      <c r="M1126" t="s">
        <v>2586</v>
      </c>
    </row>
    <row r="1127" spans="1:13">
      <c r="A1127" t="s">
        <v>28</v>
      </c>
      <c r="B1127">
        <f ca="1">IF(OR(changes[[#This Row],[Type]]="Checklist",changes[[#This Row],[Type]]="checklist-flat"),1+IF(changes[[#This Row],[Type of change]] = "Edit",COUNTIFS($I$4:changes[[#This Row],[Name]],changes[[#This Row],[Name]], $E$4:changes[[#This Row],[Type of change]], "Edit")),B1126)</f>
        <v>1</v>
      </c>
      <c r="C1127" s="16">
        <v>44636</v>
      </c>
      <c r="D1127" s="1" t="s">
        <v>2393</v>
      </c>
      <c r="E1127" t="s">
        <v>19</v>
      </c>
      <c r="F1127" s="10" t="s">
        <v>52</v>
      </c>
      <c r="G1127" s="10" t="s">
        <v>2712</v>
      </c>
      <c r="H1127" t="s">
        <v>951</v>
      </c>
      <c r="I1127" t="s">
        <v>2444</v>
      </c>
      <c r="K1127" s="2"/>
      <c r="M1127" t="s">
        <v>2586</v>
      </c>
    </row>
    <row r="1128" spans="1:13">
      <c r="A1128" t="s">
        <v>28</v>
      </c>
      <c r="B1128">
        <f ca="1">IF(OR(changes[[#This Row],[Type]]="Checklist",changes[[#This Row],[Type]]="checklist-flat"),1+IF(changes[[#This Row],[Type of change]] = "Edit",COUNTIFS($I$4:changes[[#This Row],[Name]],changes[[#This Row],[Name]], $E$4:changes[[#This Row],[Type of change]], "Edit")),B1127)</f>
        <v>1</v>
      </c>
      <c r="C1128" s="16">
        <v>44636</v>
      </c>
      <c r="D1128" s="1" t="s">
        <v>2393</v>
      </c>
      <c r="E1128" t="s">
        <v>19</v>
      </c>
      <c r="F1128" s="10" t="s">
        <v>52</v>
      </c>
      <c r="G1128" s="10" t="s">
        <v>2712</v>
      </c>
      <c r="H1128" t="s">
        <v>951</v>
      </c>
      <c r="I1128" t="s">
        <v>2621</v>
      </c>
      <c r="K1128" s="2"/>
      <c r="M1128" t="s">
        <v>2586</v>
      </c>
    </row>
    <row r="1129" spans="1:13">
      <c r="A1129" t="s">
        <v>28</v>
      </c>
      <c r="B1129">
        <f ca="1">IF(OR(changes[[#This Row],[Type]]="Checklist",changes[[#This Row],[Type]]="checklist-flat"),1+IF(changes[[#This Row],[Type of change]] = "Edit",COUNTIFS($I$4:changes[[#This Row],[Name]],changes[[#This Row],[Name]], $E$4:changes[[#This Row],[Type of change]], "Edit")),B1128)</f>
        <v>1</v>
      </c>
      <c r="C1129" s="16">
        <v>44636</v>
      </c>
      <c r="D1129" s="1" t="s">
        <v>2393</v>
      </c>
      <c r="E1129" t="s">
        <v>19</v>
      </c>
      <c r="F1129" s="10" t="s">
        <v>52</v>
      </c>
      <c r="G1129" s="10" t="s">
        <v>2712</v>
      </c>
      <c r="H1129" t="s">
        <v>951</v>
      </c>
      <c r="I1129" t="s">
        <v>2622</v>
      </c>
      <c r="K1129" s="2"/>
      <c r="M1129" t="s">
        <v>2586</v>
      </c>
    </row>
    <row r="1130" spans="1:13">
      <c r="A1130" t="s">
        <v>28</v>
      </c>
      <c r="B1130">
        <f ca="1">IF(OR(changes[[#This Row],[Type]]="Checklist",changes[[#This Row],[Type]]="checklist-flat"),1+IF(changes[[#This Row],[Type of change]] = "Edit",COUNTIFS($I$4:changes[[#This Row],[Name]],changes[[#This Row],[Name]], $E$4:changes[[#This Row],[Type of change]], "Edit")),B1129)</f>
        <v>1</v>
      </c>
      <c r="C1130" s="16">
        <v>44636</v>
      </c>
      <c r="D1130" s="1" t="s">
        <v>2393</v>
      </c>
      <c r="E1130" t="s">
        <v>19</v>
      </c>
      <c r="F1130" s="10" t="s">
        <v>52</v>
      </c>
      <c r="G1130" s="10" t="s">
        <v>2712</v>
      </c>
      <c r="H1130" t="s">
        <v>64</v>
      </c>
      <c r="I1130" t="s">
        <v>2612</v>
      </c>
      <c r="K1130" s="2"/>
      <c r="M1130" t="s">
        <v>2586</v>
      </c>
    </row>
    <row r="1131" spans="1:13">
      <c r="A1131" t="s">
        <v>28</v>
      </c>
      <c r="B1131">
        <f ca="1">IF(OR(changes[[#This Row],[Type]]="Checklist",changes[[#This Row],[Type]]="checklist-flat"),1+IF(changes[[#This Row],[Type of change]] = "Edit",COUNTIFS($I$4:changes[[#This Row],[Name]],changes[[#This Row],[Name]], $E$4:changes[[#This Row],[Type of change]], "Edit")),B1130)</f>
        <v>1</v>
      </c>
      <c r="C1131" s="16">
        <v>44636</v>
      </c>
      <c r="D1131" s="1" t="s">
        <v>2393</v>
      </c>
      <c r="E1131" t="s">
        <v>19</v>
      </c>
      <c r="F1131" s="10" t="s">
        <v>52</v>
      </c>
      <c r="G1131" s="10" t="s">
        <v>2716</v>
      </c>
      <c r="H1131" t="s">
        <v>47</v>
      </c>
      <c r="I1131" t="s">
        <v>2716</v>
      </c>
      <c r="K1131" s="2"/>
      <c r="M1131" t="s">
        <v>2586</v>
      </c>
    </row>
    <row r="1132" spans="1:13">
      <c r="A1132" t="s">
        <v>28</v>
      </c>
      <c r="B1132">
        <f ca="1">IF(OR(changes[[#This Row],[Type]]="Checklist",changes[[#This Row],[Type]]="checklist-flat"),1+IF(changes[[#This Row],[Type of change]] = "Edit",COUNTIFS($I$4:changes[[#This Row],[Name]],changes[[#This Row],[Name]], $E$4:changes[[#This Row],[Type of change]], "Edit")),B1131)</f>
        <v>1</v>
      </c>
      <c r="C1132" s="16">
        <v>44636</v>
      </c>
      <c r="D1132" s="1" t="s">
        <v>2393</v>
      </c>
      <c r="E1132" t="s">
        <v>19</v>
      </c>
      <c r="F1132" s="10" t="s">
        <v>52</v>
      </c>
      <c r="G1132" s="10" t="s">
        <v>2716</v>
      </c>
      <c r="H1132" t="s">
        <v>269</v>
      </c>
      <c r="I1132" t="s">
        <v>2717</v>
      </c>
      <c r="K1132" s="2"/>
      <c r="M1132" t="s">
        <v>2586</v>
      </c>
    </row>
    <row r="1133" spans="1:13">
      <c r="A1133" t="s">
        <v>28</v>
      </c>
      <c r="B1133">
        <f ca="1">IF(OR(changes[[#This Row],[Type]]="Checklist",changes[[#This Row],[Type]]="checklist-flat"),1+IF(changes[[#This Row],[Type of change]] = "Edit",COUNTIFS($I$4:changes[[#This Row],[Name]],changes[[#This Row],[Name]], $E$4:changes[[#This Row],[Type of change]], "Edit")),B1132)</f>
        <v>1</v>
      </c>
      <c r="C1133" s="16">
        <v>44636</v>
      </c>
      <c r="D1133" s="1" t="s">
        <v>2393</v>
      </c>
      <c r="E1133" t="s">
        <v>19</v>
      </c>
      <c r="F1133" s="10" t="s">
        <v>52</v>
      </c>
      <c r="G1133" s="10" t="s">
        <v>2716</v>
      </c>
      <c r="H1133" t="s">
        <v>2433</v>
      </c>
      <c r="I1133" t="s">
        <v>2718</v>
      </c>
      <c r="K1133" s="2"/>
      <c r="M1133" t="s">
        <v>2586</v>
      </c>
    </row>
    <row r="1134" spans="1:13">
      <c r="A1134" t="s">
        <v>28</v>
      </c>
      <c r="B1134">
        <f ca="1">IF(OR(changes[[#This Row],[Type]]="Checklist",changes[[#This Row],[Type]]="checklist-flat"),1+IF(changes[[#This Row],[Type of change]] = "Edit",COUNTIFS($I$4:changes[[#This Row],[Name]],changes[[#This Row],[Name]], $E$4:changes[[#This Row],[Type of change]], "Edit")),B1133)</f>
        <v>1</v>
      </c>
      <c r="C1134" s="16">
        <v>44636</v>
      </c>
      <c r="D1134" s="1" t="s">
        <v>2393</v>
      </c>
      <c r="E1134" t="s">
        <v>19</v>
      </c>
      <c r="F1134" s="10" t="s">
        <v>52</v>
      </c>
      <c r="G1134" s="10" t="s">
        <v>2716</v>
      </c>
      <c r="H1134" t="s">
        <v>2433</v>
      </c>
      <c r="I1134" t="s">
        <v>2719</v>
      </c>
      <c r="K1134" s="2"/>
      <c r="M1134" t="s">
        <v>2586</v>
      </c>
    </row>
    <row r="1135" spans="1:13">
      <c r="A1135" t="s">
        <v>28</v>
      </c>
      <c r="B1135">
        <f ca="1">IF(OR(changes[[#This Row],[Type]]="Checklist",changes[[#This Row],[Type]]="checklist-flat"),1+IF(changes[[#This Row],[Type of change]] = "Edit",COUNTIFS($I$4:changes[[#This Row],[Name]],changes[[#This Row],[Name]], $E$4:changes[[#This Row],[Type of change]], "Edit")),B1134)</f>
        <v>1</v>
      </c>
      <c r="C1135" s="16">
        <v>44636</v>
      </c>
      <c r="D1135" s="1" t="s">
        <v>2393</v>
      </c>
      <c r="E1135" t="s">
        <v>19</v>
      </c>
      <c r="F1135" s="10" t="s">
        <v>52</v>
      </c>
      <c r="G1135" s="10" t="s">
        <v>2716</v>
      </c>
      <c r="H1135" t="s">
        <v>2433</v>
      </c>
      <c r="I1135" t="s">
        <v>2720</v>
      </c>
      <c r="K1135" s="2"/>
      <c r="M1135" t="s">
        <v>2586</v>
      </c>
    </row>
    <row r="1136" spans="1:13">
      <c r="A1136" t="s">
        <v>28</v>
      </c>
      <c r="B1136">
        <f ca="1">IF(OR(changes[[#This Row],[Type]]="Checklist",changes[[#This Row],[Type]]="checklist-flat"),1+IF(changes[[#This Row],[Type of change]] = "Edit",COUNTIFS($I$4:changes[[#This Row],[Name]],changes[[#This Row],[Name]], $E$4:changes[[#This Row],[Type of change]], "Edit")),B1135)</f>
        <v>1</v>
      </c>
      <c r="C1136" s="16">
        <v>44636</v>
      </c>
      <c r="D1136" s="1" t="s">
        <v>2393</v>
      </c>
      <c r="E1136" t="s">
        <v>19</v>
      </c>
      <c r="F1136" s="10" t="s">
        <v>52</v>
      </c>
      <c r="G1136" s="10" t="s">
        <v>2716</v>
      </c>
      <c r="H1136" t="s">
        <v>2433</v>
      </c>
      <c r="I1136" t="s">
        <v>2721</v>
      </c>
      <c r="K1136" s="2"/>
      <c r="M1136" t="s">
        <v>2586</v>
      </c>
    </row>
    <row r="1137" spans="1:13">
      <c r="A1137" t="s">
        <v>28</v>
      </c>
      <c r="B1137">
        <f ca="1">IF(OR(changes[[#This Row],[Type]]="Checklist",changes[[#This Row],[Type]]="checklist-flat"),1+IF(changes[[#This Row],[Type of change]] = "Edit",COUNTIFS($I$4:changes[[#This Row],[Name]],changes[[#This Row],[Name]], $E$4:changes[[#This Row],[Type of change]], "Edit")),B1136)</f>
        <v>1</v>
      </c>
      <c r="C1137" s="16">
        <v>44636</v>
      </c>
      <c r="D1137" s="1" t="s">
        <v>2393</v>
      </c>
      <c r="E1137" t="s">
        <v>19</v>
      </c>
      <c r="F1137" s="10" t="s">
        <v>52</v>
      </c>
      <c r="G1137" s="10" t="s">
        <v>2716</v>
      </c>
      <c r="H1137" t="s">
        <v>2433</v>
      </c>
      <c r="I1137" t="s">
        <v>2722</v>
      </c>
      <c r="K1137" s="2"/>
      <c r="M1137" t="s">
        <v>2586</v>
      </c>
    </row>
    <row r="1138" spans="1:13">
      <c r="A1138" t="s">
        <v>28</v>
      </c>
      <c r="B1138">
        <f ca="1">IF(OR(changes[[#This Row],[Type]]="Checklist",changes[[#This Row],[Type]]="checklist-flat"),1+IF(changes[[#This Row],[Type of change]] = "Edit",COUNTIFS($I$4:changes[[#This Row],[Name]],changes[[#This Row],[Name]], $E$4:changes[[#This Row],[Type of change]], "Edit")),B1137)</f>
        <v>1</v>
      </c>
      <c r="C1138" s="16">
        <v>44636</v>
      </c>
      <c r="D1138" s="1" t="s">
        <v>2393</v>
      </c>
      <c r="E1138" t="s">
        <v>19</v>
      </c>
      <c r="F1138" s="10" t="s">
        <v>52</v>
      </c>
      <c r="G1138" s="10" t="s">
        <v>2716</v>
      </c>
      <c r="H1138" t="s">
        <v>2433</v>
      </c>
      <c r="I1138" t="s">
        <v>2684</v>
      </c>
      <c r="K1138" s="2"/>
      <c r="M1138" t="s">
        <v>2586</v>
      </c>
    </row>
    <row r="1139" spans="1:13">
      <c r="A1139" t="s">
        <v>28</v>
      </c>
      <c r="B1139">
        <f ca="1">IF(OR(changes[[#This Row],[Type]]="Checklist",changes[[#This Row],[Type]]="checklist-flat"),1+IF(changes[[#This Row],[Type of change]] = "Edit",COUNTIFS($I$4:changes[[#This Row],[Name]],changes[[#This Row],[Name]], $E$4:changes[[#This Row],[Type of change]], "Edit")),B1138)</f>
        <v>1</v>
      </c>
      <c r="C1139" s="16">
        <v>44636</v>
      </c>
      <c r="D1139" s="1" t="s">
        <v>2393</v>
      </c>
      <c r="E1139" t="s">
        <v>19</v>
      </c>
      <c r="F1139" s="10" t="s">
        <v>52</v>
      </c>
      <c r="G1139" s="10" t="s">
        <v>2716</v>
      </c>
      <c r="H1139" t="s">
        <v>2433</v>
      </c>
      <c r="I1139" t="s">
        <v>2685</v>
      </c>
      <c r="K1139" s="2"/>
      <c r="M1139" t="s">
        <v>2586</v>
      </c>
    </row>
    <row r="1140" spans="1:13">
      <c r="A1140" t="s">
        <v>28</v>
      </c>
      <c r="B1140">
        <f ca="1">IF(OR(changes[[#This Row],[Type]]="Checklist",changes[[#This Row],[Type]]="checklist-flat"),1+IF(changes[[#This Row],[Type of change]] = "Edit",COUNTIFS($I$4:changes[[#This Row],[Name]],changes[[#This Row],[Name]], $E$4:changes[[#This Row],[Type of change]], "Edit")),B1139)</f>
        <v>1</v>
      </c>
      <c r="C1140" s="16">
        <v>44636</v>
      </c>
      <c r="D1140" s="1" t="s">
        <v>2393</v>
      </c>
      <c r="E1140" t="s">
        <v>19</v>
      </c>
      <c r="F1140" s="10" t="s">
        <v>52</v>
      </c>
      <c r="G1140" s="10" t="s">
        <v>2716</v>
      </c>
      <c r="H1140" t="s">
        <v>2433</v>
      </c>
      <c r="I1140" t="s">
        <v>2723</v>
      </c>
      <c r="K1140" s="2"/>
      <c r="M1140" t="s">
        <v>2586</v>
      </c>
    </row>
    <row r="1141" spans="1:13">
      <c r="A1141" t="s">
        <v>28</v>
      </c>
      <c r="B1141">
        <f ca="1">IF(OR(changes[[#This Row],[Type]]="Checklist",changes[[#This Row],[Type]]="checklist-flat"),1+IF(changes[[#This Row],[Type of change]] = "Edit",COUNTIFS($I$4:changes[[#This Row],[Name]],changes[[#This Row],[Name]], $E$4:changes[[#This Row],[Type of change]], "Edit")),B1140)</f>
        <v>1</v>
      </c>
      <c r="C1141" s="16">
        <v>44636</v>
      </c>
      <c r="D1141" s="1" t="s">
        <v>2393</v>
      </c>
      <c r="E1141" t="s">
        <v>19</v>
      </c>
      <c r="F1141" s="10" t="s">
        <v>52</v>
      </c>
      <c r="G1141" s="10" t="s">
        <v>2716</v>
      </c>
      <c r="H1141" t="s">
        <v>2433</v>
      </c>
      <c r="I1141" t="s">
        <v>2724</v>
      </c>
      <c r="K1141" s="2"/>
      <c r="M1141" t="s">
        <v>2586</v>
      </c>
    </row>
    <row r="1142" spans="1:13">
      <c r="A1142" t="s">
        <v>28</v>
      </c>
      <c r="B1142">
        <f ca="1">IF(OR(changes[[#This Row],[Type]]="Checklist",changes[[#This Row],[Type]]="checklist-flat"),1+IF(changes[[#This Row],[Type of change]] = "Edit",COUNTIFS($I$4:changes[[#This Row],[Name]],changes[[#This Row],[Name]], $E$4:changes[[#This Row],[Type of change]], "Edit")),B1141)</f>
        <v>1</v>
      </c>
      <c r="C1142" s="16">
        <v>44636</v>
      </c>
      <c r="D1142" s="1" t="s">
        <v>2393</v>
      </c>
      <c r="E1142" t="s">
        <v>19</v>
      </c>
      <c r="F1142" s="10" t="s">
        <v>52</v>
      </c>
      <c r="G1142" s="10" t="s">
        <v>2716</v>
      </c>
      <c r="H1142" t="s">
        <v>2433</v>
      </c>
      <c r="I1142" t="s">
        <v>2725</v>
      </c>
      <c r="K1142" s="2"/>
      <c r="M1142" t="s">
        <v>2586</v>
      </c>
    </row>
    <row r="1143" spans="1:13">
      <c r="A1143" t="s">
        <v>28</v>
      </c>
      <c r="B1143">
        <f ca="1">IF(OR(changes[[#This Row],[Type]]="Checklist",changes[[#This Row],[Type]]="checklist-flat"),1+IF(changes[[#This Row],[Type of change]] = "Edit",COUNTIFS($I$4:changes[[#This Row],[Name]],changes[[#This Row],[Name]], $E$4:changes[[#This Row],[Type of change]], "Edit")),B1142)</f>
        <v>1</v>
      </c>
      <c r="C1143" s="16">
        <v>44636</v>
      </c>
      <c r="D1143" s="1" t="s">
        <v>2393</v>
      </c>
      <c r="E1143" t="s">
        <v>19</v>
      </c>
      <c r="F1143" s="10" t="s">
        <v>52</v>
      </c>
      <c r="G1143" s="10" t="s">
        <v>2716</v>
      </c>
      <c r="H1143" t="s">
        <v>2433</v>
      </c>
      <c r="I1143" t="s">
        <v>2442</v>
      </c>
      <c r="K1143" s="2"/>
      <c r="M1143" t="s">
        <v>2586</v>
      </c>
    </row>
    <row r="1144" spans="1:13">
      <c r="A1144" t="s">
        <v>28</v>
      </c>
      <c r="B1144">
        <f ca="1">IF(OR(changes[[#This Row],[Type]]="Checklist",changes[[#This Row],[Type]]="checklist-flat"),1+IF(changes[[#This Row],[Type of change]] = "Edit",COUNTIFS($I$4:changes[[#This Row],[Name]],changes[[#This Row],[Name]], $E$4:changes[[#This Row],[Type of change]], "Edit")),B1143)</f>
        <v>1</v>
      </c>
      <c r="C1144" s="16">
        <v>44636</v>
      </c>
      <c r="D1144" s="1" t="s">
        <v>2393</v>
      </c>
      <c r="E1144" t="s">
        <v>19</v>
      </c>
      <c r="F1144" s="10" t="s">
        <v>52</v>
      </c>
      <c r="G1144" s="10" t="s">
        <v>2716</v>
      </c>
      <c r="H1144" t="s">
        <v>2443</v>
      </c>
      <c r="I1144" t="s">
        <v>2691</v>
      </c>
      <c r="K1144" s="2"/>
      <c r="M1144" t="s">
        <v>2586</v>
      </c>
    </row>
    <row r="1145" spans="1:13">
      <c r="A1145" t="s">
        <v>28</v>
      </c>
      <c r="B1145">
        <f ca="1">IF(OR(changes[[#This Row],[Type]]="Checklist",changes[[#This Row],[Type]]="checklist-flat"),1+IF(changes[[#This Row],[Type of change]] = "Edit",COUNTIFS($I$4:changes[[#This Row],[Name]],changes[[#This Row],[Name]], $E$4:changes[[#This Row],[Type of change]], "Edit")),B1144)</f>
        <v>1</v>
      </c>
      <c r="C1145" s="16">
        <v>44636</v>
      </c>
      <c r="D1145" s="1" t="s">
        <v>2393</v>
      </c>
      <c r="E1145" t="s">
        <v>19</v>
      </c>
      <c r="F1145" s="10" t="s">
        <v>52</v>
      </c>
      <c r="G1145" s="10" t="s">
        <v>2716</v>
      </c>
      <c r="H1145" t="s">
        <v>2443</v>
      </c>
      <c r="I1145" t="s">
        <v>2692</v>
      </c>
      <c r="K1145" s="2"/>
      <c r="M1145" t="s">
        <v>2586</v>
      </c>
    </row>
    <row r="1146" spans="1:13">
      <c r="A1146" t="s">
        <v>28</v>
      </c>
      <c r="B1146">
        <f ca="1">IF(OR(changes[[#This Row],[Type]]="Checklist",changes[[#This Row],[Type]]="checklist-flat"),1+IF(changes[[#This Row],[Type of change]] = "Edit",COUNTIFS($I$4:changes[[#This Row],[Name]],changes[[#This Row],[Name]], $E$4:changes[[#This Row],[Type of change]], "Edit")),B1145)</f>
        <v>1</v>
      </c>
      <c r="C1146" s="16">
        <v>44636</v>
      </c>
      <c r="D1146" s="1" t="s">
        <v>2393</v>
      </c>
      <c r="E1146" t="s">
        <v>19</v>
      </c>
      <c r="F1146" s="10" t="s">
        <v>52</v>
      </c>
      <c r="G1146" s="10" t="s">
        <v>2716</v>
      </c>
      <c r="H1146" t="s">
        <v>2443</v>
      </c>
      <c r="I1146" t="s">
        <v>2621</v>
      </c>
      <c r="K1146" s="2"/>
      <c r="M1146" t="s">
        <v>2586</v>
      </c>
    </row>
    <row r="1147" spans="1:13">
      <c r="A1147" t="s">
        <v>28</v>
      </c>
      <c r="B1147">
        <f ca="1">IF(OR(changes[[#This Row],[Type]]="Checklist",changes[[#This Row],[Type]]="checklist-flat"),1+IF(changes[[#This Row],[Type of change]] = "Edit",COUNTIFS($I$4:changes[[#This Row],[Name]],changes[[#This Row],[Name]], $E$4:changes[[#This Row],[Type of change]], "Edit")),B1146)</f>
        <v>1</v>
      </c>
      <c r="C1147" s="16">
        <v>44636</v>
      </c>
      <c r="D1147" s="1" t="s">
        <v>2393</v>
      </c>
      <c r="E1147" t="s">
        <v>19</v>
      </c>
      <c r="F1147" s="10" t="s">
        <v>52</v>
      </c>
      <c r="G1147" s="10" t="s">
        <v>2716</v>
      </c>
      <c r="H1147" t="s">
        <v>2443</v>
      </c>
      <c r="I1147" t="s">
        <v>2693</v>
      </c>
      <c r="K1147" s="2"/>
      <c r="M1147" t="s">
        <v>2586</v>
      </c>
    </row>
    <row r="1148" spans="1:13">
      <c r="A1148" t="s">
        <v>28</v>
      </c>
      <c r="B1148">
        <f ca="1">IF(OR(changes[[#This Row],[Type]]="Checklist",changes[[#This Row],[Type]]="checklist-flat"),1+IF(changes[[#This Row],[Type of change]] = "Edit",COUNTIFS($I$4:changes[[#This Row],[Name]],changes[[#This Row],[Name]], $E$4:changes[[#This Row],[Type of change]], "Edit")),B1147)</f>
        <v>1</v>
      </c>
      <c r="C1148" s="16">
        <v>44636</v>
      </c>
      <c r="D1148" s="1" t="s">
        <v>2393</v>
      </c>
      <c r="E1148" t="s">
        <v>19</v>
      </c>
      <c r="F1148" s="10" t="s">
        <v>52</v>
      </c>
      <c r="G1148" s="10" t="s">
        <v>2716</v>
      </c>
      <c r="H1148" t="s">
        <v>2433</v>
      </c>
      <c r="I1148" t="s">
        <v>2694</v>
      </c>
      <c r="K1148" s="2"/>
      <c r="M1148" t="s">
        <v>2586</v>
      </c>
    </row>
    <row r="1149" spans="1:13">
      <c r="A1149" t="s">
        <v>28</v>
      </c>
      <c r="B1149">
        <f ca="1">IF(OR(changes[[#This Row],[Type]]="Checklist",changes[[#This Row],[Type]]="checklist-flat"),1+IF(changes[[#This Row],[Type of change]] = "Edit",COUNTIFS($I$4:changes[[#This Row],[Name]],changes[[#This Row],[Name]], $E$4:changes[[#This Row],[Type of change]], "Edit")),B1148)</f>
        <v>1</v>
      </c>
      <c r="C1149" s="16">
        <v>44636</v>
      </c>
      <c r="D1149" s="1" t="s">
        <v>2393</v>
      </c>
      <c r="E1149" t="s">
        <v>19</v>
      </c>
      <c r="F1149" s="10" t="s">
        <v>52</v>
      </c>
      <c r="G1149" s="10" t="s">
        <v>2716</v>
      </c>
      <c r="H1149" t="s">
        <v>64</v>
      </c>
      <c r="I1149" t="s">
        <v>1273</v>
      </c>
      <c r="K1149" s="2"/>
      <c r="M1149" t="s">
        <v>2586</v>
      </c>
    </row>
    <row r="1150" spans="1:13">
      <c r="A1150" t="s">
        <v>28</v>
      </c>
      <c r="B1150">
        <f ca="1">IF(OR(changes[[#This Row],[Type]]="Checklist",changes[[#This Row],[Type]]="checklist-flat"),1+IF(changes[[#This Row],[Type of change]] = "Edit",COUNTIFS($I$4:changes[[#This Row],[Name]],changes[[#This Row],[Name]], $E$4:changes[[#This Row],[Type of change]], "Edit")),B1149)</f>
        <v>1</v>
      </c>
      <c r="C1150" s="16">
        <v>44636</v>
      </c>
      <c r="D1150" s="1" t="s">
        <v>2393</v>
      </c>
      <c r="E1150" t="s">
        <v>19</v>
      </c>
      <c r="F1150" s="10" t="s">
        <v>52</v>
      </c>
      <c r="G1150" s="10" t="s">
        <v>2726</v>
      </c>
      <c r="H1150" t="s">
        <v>47</v>
      </c>
      <c r="I1150" t="s">
        <v>2726</v>
      </c>
      <c r="K1150" s="2"/>
      <c r="M1150" t="s">
        <v>2586</v>
      </c>
    </row>
    <row r="1151" spans="1:13">
      <c r="A1151" t="s">
        <v>28</v>
      </c>
      <c r="B1151">
        <f ca="1">IF(OR(changes[[#This Row],[Type]]="Checklist",changes[[#This Row],[Type]]="checklist-flat"),1+IF(changes[[#This Row],[Type of change]] = "Edit",COUNTIFS($I$4:changes[[#This Row],[Name]],changes[[#This Row],[Name]], $E$4:changes[[#This Row],[Type of change]], "Edit")),B1150)</f>
        <v>1</v>
      </c>
      <c r="C1151" s="16">
        <v>44636</v>
      </c>
      <c r="D1151" s="1" t="s">
        <v>2393</v>
      </c>
      <c r="E1151" t="s">
        <v>19</v>
      </c>
      <c r="F1151" s="10" t="s">
        <v>52</v>
      </c>
      <c r="G1151" s="10" t="s">
        <v>2726</v>
      </c>
      <c r="H1151" t="s">
        <v>55</v>
      </c>
      <c r="I1151" t="s">
        <v>2727</v>
      </c>
      <c r="K1151" s="2"/>
      <c r="M1151" t="s">
        <v>2586</v>
      </c>
    </row>
    <row r="1152" spans="1:13">
      <c r="A1152" t="s">
        <v>28</v>
      </c>
      <c r="B1152">
        <f ca="1">IF(OR(changes[[#This Row],[Type]]="Checklist",changes[[#This Row],[Type]]="checklist-flat"),1+IF(changes[[#This Row],[Type of change]] = "Edit",COUNTIFS($I$4:changes[[#This Row],[Name]],changes[[#This Row],[Name]], $E$4:changes[[#This Row],[Type of change]], "Edit")),B1151)</f>
        <v>1</v>
      </c>
      <c r="C1152" s="16">
        <v>44636</v>
      </c>
      <c r="D1152" s="1" t="s">
        <v>2393</v>
      </c>
      <c r="E1152" t="s">
        <v>19</v>
      </c>
      <c r="F1152" s="10" t="s">
        <v>52</v>
      </c>
      <c r="G1152" s="10" t="s">
        <v>2726</v>
      </c>
      <c r="H1152" t="s">
        <v>437</v>
      </c>
      <c r="I1152" t="s">
        <v>2728</v>
      </c>
      <c r="K1152" s="2"/>
      <c r="M1152" t="s">
        <v>2586</v>
      </c>
    </row>
    <row r="1153" spans="1:13">
      <c r="A1153" t="s">
        <v>28</v>
      </c>
      <c r="B1153">
        <f ca="1">IF(OR(changes[[#This Row],[Type]]="Checklist",changes[[#This Row],[Type]]="checklist-flat"),1+IF(changes[[#This Row],[Type of change]] = "Edit",COUNTIFS($I$4:changes[[#This Row],[Name]],changes[[#This Row],[Name]], $E$4:changes[[#This Row],[Type of change]], "Edit")),B1152)</f>
        <v>1</v>
      </c>
      <c r="C1153" s="16">
        <v>44636</v>
      </c>
      <c r="D1153" s="1" t="s">
        <v>2393</v>
      </c>
      <c r="E1153" t="s">
        <v>19</v>
      </c>
      <c r="F1153" s="10" t="s">
        <v>52</v>
      </c>
      <c r="G1153" s="10" t="s">
        <v>2726</v>
      </c>
      <c r="H1153" t="s">
        <v>437</v>
      </c>
      <c r="I1153" t="s">
        <v>2729</v>
      </c>
      <c r="K1153" s="2"/>
      <c r="M1153" t="s">
        <v>2586</v>
      </c>
    </row>
    <row r="1154" spans="1:13">
      <c r="A1154" t="s">
        <v>28</v>
      </c>
      <c r="B1154">
        <f ca="1">IF(OR(changes[[#This Row],[Type]]="Checklist",changes[[#This Row],[Type]]="checklist-flat"),1+IF(changes[[#This Row],[Type of change]] = "Edit",COUNTIFS($I$4:changes[[#This Row],[Name]],changes[[#This Row],[Name]], $E$4:changes[[#This Row],[Type of change]], "Edit")),B1153)</f>
        <v>1</v>
      </c>
      <c r="C1154" s="16">
        <v>44636</v>
      </c>
      <c r="D1154" s="1" t="s">
        <v>2393</v>
      </c>
      <c r="E1154" t="s">
        <v>19</v>
      </c>
      <c r="F1154" s="10" t="s">
        <v>52</v>
      </c>
      <c r="G1154" s="10" t="s">
        <v>2726</v>
      </c>
      <c r="H1154" t="s">
        <v>64</v>
      </c>
      <c r="I1154" t="s">
        <v>1273</v>
      </c>
      <c r="K1154" s="2"/>
      <c r="M1154" t="s">
        <v>2586</v>
      </c>
    </row>
    <row r="1155" spans="1:13">
      <c r="A1155" t="s">
        <v>28</v>
      </c>
      <c r="B1155">
        <f ca="1">IF(OR(changes[[#This Row],[Type]]="Checklist",changes[[#This Row],[Type]]="checklist-flat"),1+IF(changes[[#This Row],[Type of change]] = "Edit",COUNTIFS($I$4:changes[[#This Row],[Name]],changes[[#This Row],[Name]], $E$4:changes[[#This Row],[Type of change]], "Edit")),B1154)</f>
        <v>1</v>
      </c>
      <c r="C1155" s="16">
        <v>44636</v>
      </c>
      <c r="D1155" s="1" t="s">
        <v>2393</v>
      </c>
      <c r="E1155" t="s">
        <v>19</v>
      </c>
      <c r="F1155" s="10" t="s">
        <v>52</v>
      </c>
      <c r="G1155" s="10" t="s">
        <v>2730</v>
      </c>
      <c r="H1155" t="s">
        <v>47</v>
      </c>
      <c r="I1155" t="s">
        <v>2730</v>
      </c>
      <c r="K1155" s="2"/>
      <c r="M1155" t="s">
        <v>2586</v>
      </c>
    </row>
    <row r="1156" spans="1:13">
      <c r="A1156" t="s">
        <v>28</v>
      </c>
      <c r="B1156">
        <f ca="1">IF(OR(changes[[#This Row],[Type]]="Checklist",changes[[#This Row],[Type]]="checklist-flat"),1+IF(changes[[#This Row],[Type of change]] = "Edit",COUNTIFS($I$4:changes[[#This Row],[Name]],changes[[#This Row],[Name]], $E$4:changes[[#This Row],[Type of change]], "Edit")),B1155)</f>
        <v>1</v>
      </c>
      <c r="C1156" s="16">
        <v>44636</v>
      </c>
      <c r="D1156" s="1" t="s">
        <v>2393</v>
      </c>
      <c r="E1156" t="s">
        <v>19</v>
      </c>
      <c r="F1156" s="10" t="s">
        <v>52</v>
      </c>
      <c r="G1156" s="10" t="s">
        <v>2730</v>
      </c>
      <c r="H1156" t="s">
        <v>55</v>
      </c>
      <c r="I1156" t="s">
        <v>2731</v>
      </c>
      <c r="K1156" s="2"/>
      <c r="M1156" t="s">
        <v>2586</v>
      </c>
    </row>
    <row r="1157" spans="1:13">
      <c r="A1157" t="s">
        <v>28</v>
      </c>
      <c r="B1157">
        <f ca="1">IF(OR(changes[[#This Row],[Type]]="Checklist",changes[[#This Row],[Type]]="checklist-flat"),1+IF(changes[[#This Row],[Type of change]] = "Edit",COUNTIFS($I$4:changes[[#This Row],[Name]],changes[[#This Row],[Name]], $E$4:changes[[#This Row],[Type of change]], "Edit")),B1156)</f>
        <v>1</v>
      </c>
      <c r="C1157" s="16">
        <v>44636</v>
      </c>
      <c r="D1157" s="1" t="s">
        <v>2393</v>
      </c>
      <c r="E1157" t="s">
        <v>19</v>
      </c>
      <c r="F1157" s="10" t="s">
        <v>52</v>
      </c>
      <c r="G1157" s="10" t="s">
        <v>2730</v>
      </c>
      <c r="H1157" t="s">
        <v>437</v>
      </c>
      <c r="I1157" t="s">
        <v>2732</v>
      </c>
      <c r="K1157" s="2"/>
      <c r="M1157" t="s">
        <v>2586</v>
      </c>
    </row>
    <row r="1158" spans="1:13">
      <c r="A1158" t="s">
        <v>28</v>
      </c>
      <c r="B1158">
        <f ca="1">IF(OR(changes[[#This Row],[Type]]="Checklist",changes[[#This Row],[Type]]="checklist-flat"),1+IF(changes[[#This Row],[Type of change]] = "Edit",COUNTIFS($I$4:changes[[#This Row],[Name]],changes[[#This Row],[Name]], $E$4:changes[[#This Row],[Type of change]], "Edit")),B1157)</f>
        <v>1</v>
      </c>
      <c r="C1158" s="16">
        <v>44636</v>
      </c>
      <c r="D1158" s="1" t="s">
        <v>2393</v>
      </c>
      <c r="E1158" t="s">
        <v>19</v>
      </c>
      <c r="F1158" s="10" t="s">
        <v>52</v>
      </c>
      <c r="G1158" s="10" t="s">
        <v>2730</v>
      </c>
      <c r="H1158" t="s">
        <v>437</v>
      </c>
      <c r="I1158" t="s">
        <v>2733</v>
      </c>
      <c r="K1158" s="2"/>
      <c r="M1158" t="s">
        <v>2586</v>
      </c>
    </row>
    <row r="1159" spans="1:13">
      <c r="A1159" t="s">
        <v>28</v>
      </c>
      <c r="B1159">
        <f ca="1">IF(OR(changes[[#This Row],[Type]]="Checklist",changes[[#This Row],[Type]]="checklist-flat"),1+IF(changes[[#This Row],[Type of change]] = "Edit",COUNTIFS($I$4:changes[[#This Row],[Name]],changes[[#This Row],[Name]], $E$4:changes[[#This Row],[Type of change]], "Edit")),B1158)</f>
        <v>1</v>
      </c>
      <c r="C1159" s="16">
        <v>44636</v>
      </c>
      <c r="D1159" s="1" t="s">
        <v>2393</v>
      </c>
      <c r="E1159" t="s">
        <v>19</v>
      </c>
      <c r="F1159" s="10" t="s">
        <v>52</v>
      </c>
      <c r="G1159" s="10" t="s">
        <v>2730</v>
      </c>
      <c r="H1159" t="s">
        <v>437</v>
      </c>
      <c r="I1159" t="s">
        <v>2734</v>
      </c>
      <c r="K1159" s="2"/>
      <c r="M1159" t="s">
        <v>2586</v>
      </c>
    </row>
    <row r="1160" spans="1:13">
      <c r="A1160" t="s">
        <v>28</v>
      </c>
      <c r="B1160">
        <f ca="1">IF(OR(changes[[#This Row],[Type]]="Checklist",changes[[#This Row],[Type]]="checklist-flat"),1+IF(changes[[#This Row],[Type of change]] = "Edit",COUNTIFS($I$4:changes[[#This Row],[Name]],changes[[#This Row],[Name]], $E$4:changes[[#This Row],[Type of change]], "Edit")),B1159)</f>
        <v>1</v>
      </c>
      <c r="C1160" s="16">
        <v>44636</v>
      </c>
      <c r="D1160" s="1" t="s">
        <v>2393</v>
      </c>
      <c r="E1160" t="s">
        <v>19</v>
      </c>
      <c r="F1160" s="10" t="s">
        <v>52</v>
      </c>
      <c r="G1160" s="10" t="s">
        <v>2730</v>
      </c>
      <c r="H1160" t="s">
        <v>437</v>
      </c>
      <c r="I1160" t="s">
        <v>2735</v>
      </c>
      <c r="K1160" s="2"/>
      <c r="M1160" t="s">
        <v>2586</v>
      </c>
    </row>
    <row r="1161" spans="1:13">
      <c r="A1161" t="s">
        <v>28</v>
      </c>
      <c r="B1161">
        <f ca="1">IF(OR(changes[[#This Row],[Type]]="Checklist",changes[[#This Row],[Type]]="checklist-flat"),1+IF(changes[[#This Row],[Type of change]] = "Edit",COUNTIFS($I$4:changes[[#This Row],[Name]],changes[[#This Row],[Name]], $E$4:changes[[#This Row],[Type of change]], "Edit")),B1160)</f>
        <v>1</v>
      </c>
      <c r="C1161" s="16">
        <v>44636</v>
      </c>
      <c r="D1161" s="1" t="s">
        <v>2393</v>
      </c>
      <c r="E1161" t="s">
        <v>19</v>
      </c>
      <c r="F1161" s="10" t="s">
        <v>52</v>
      </c>
      <c r="G1161" s="10" t="s">
        <v>2730</v>
      </c>
      <c r="H1161" t="s">
        <v>951</v>
      </c>
      <c r="I1161" t="s">
        <v>2736</v>
      </c>
      <c r="K1161" s="2"/>
      <c r="M1161" t="s">
        <v>2586</v>
      </c>
    </row>
    <row r="1162" spans="1:13">
      <c r="A1162" t="s">
        <v>28</v>
      </c>
      <c r="B1162">
        <f ca="1">IF(OR(changes[[#This Row],[Type]]="Checklist",changes[[#This Row],[Type]]="checklist-flat"),1+IF(changes[[#This Row],[Type of change]] = "Edit",COUNTIFS($I$4:changes[[#This Row],[Name]],changes[[#This Row],[Name]], $E$4:changes[[#This Row],[Type of change]], "Edit")),B1161)</f>
        <v>1</v>
      </c>
      <c r="C1162" s="16">
        <v>44636</v>
      </c>
      <c r="D1162" s="1" t="s">
        <v>2393</v>
      </c>
      <c r="E1162" t="s">
        <v>19</v>
      </c>
      <c r="F1162" s="10" t="s">
        <v>52</v>
      </c>
      <c r="G1162" s="10" t="s">
        <v>2730</v>
      </c>
      <c r="H1162" t="s">
        <v>951</v>
      </c>
      <c r="I1162" t="s">
        <v>2737</v>
      </c>
      <c r="K1162" s="2"/>
      <c r="M1162" t="s">
        <v>2586</v>
      </c>
    </row>
    <row r="1163" spans="1:13">
      <c r="A1163" t="s">
        <v>28</v>
      </c>
      <c r="B1163">
        <f ca="1">IF(OR(changes[[#This Row],[Type]]="Checklist",changes[[#This Row],[Type]]="checklist-flat"),1+IF(changes[[#This Row],[Type of change]] = "Edit",COUNTIFS($I$4:changes[[#This Row],[Name]],changes[[#This Row],[Name]], $E$4:changes[[#This Row],[Type of change]], "Edit")),B1162)</f>
        <v>1</v>
      </c>
      <c r="C1163" s="16">
        <v>44636</v>
      </c>
      <c r="D1163" s="1" t="s">
        <v>2393</v>
      </c>
      <c r="E1163" t="s">
        <v>19</v>
      </c>
      <c r="F1163" s="10" t="s">
        <v>52</v>
      </c>
      <c r="G1163" s="10" t="s">
        <v>2730</v>
      </c>
      <c r="H1163" t="s">
        <v>437</v>
      </c>
      <c r="I1163" t="s">
        <v>2738</v>
      </c>
      <c r="K1163" s="2"/>
      <c r="M1163" t="s">
        <v>2586</v>
      </c>
    </row>
    <row r="1164" spans="1:13">
      <c r="A1164" t="s">
        <v>28</v>
      </c>
      <c r="B1164">
        <f ca="1">IF(OR(changes[[#This Row],[Type]]="Checklist",changes[[#This Row],[Type]]="checklist-flat"),1+IF(changes[[#This Row],[Type of change]] = "Edit",COUNTIFS($I$4:changes[[#This Row],[Name]],changes[[#This Row],[Name]], $E$4:changes[[#This Row],[Type of change]], "Edit")),B1163)</f>
        <v>1</v>
      </c>
      <c r="C1164" s="16">
        <v>44636</v>
      </c>
      <c r="D1164" s="1" t="s">
        <v>2393</v>
      </c>
      <c r="E1164" t="s">
        <v>19</v>
      </c>
      <c r="F1164" s="10" t="s">
        <v>52</v>
      </c>
      <c r="G1164" s="10" t="s">
        <v>2730</v>
      </c>
      <c r="H1164" t="s">
        <v>437</v>
      </c>
      <c r="I1164" t="s">
        <v>2739</v>
      </c>
      <c r="K1164" s="2"/>
      <c r="M1164" t="s">
        <v>2586</v>
      </c>
    </row>
    <row r="1165" spans="1:13">
      <c r="A1165" t="s">
        <v>28</v>
      </c>
      <c r="B1165">
        <f ca="1">IF(OR(changes[[#This Row],[Type]]="Checklist",changes[[#This Row],[Type]]="checklist-flat"),1+IF(changes[[#This Row],[Type of change]] = "Edit",COUNTIFS($I$4:changes[[#This Row],[Name]],changes[[#This Row],[Name]], $E$4:changes[[#This Row],[Type of change]], "Edit")),B1164)</f>
        <v>1</v>
      </c>
      <c r="C1165" s="16">
        <v>44636</v>
      </c>
      <c r="D1165" s="1" t="s">
        <v>2393</v>
      </c>
      <c r="E1165" t="s">
        <v>19</v>
      </c>
      <c r="F1165" s="10" t="s">
        <v>52</v>
      </c>
      <c r="G1165" s="10" t="s">
        <v>2730</v>
      </c>
      <c r="H1165" t="s">
        <v>437</v>
      </c>
      <c r="I1165" t="s">
        <v>2740</v>
      </c>
      <c r="K1165" s="2"/>
      <c r="M1165" t="s">
        <v>2586</v>
      </c>
    </row>
    <row r="1166" spans="1:13">
      <c r="A1166" t="s">
        <v>28</v>
      </c>
      <c r="B1166">
        <f ca="1">IF(OR(changes[[#This Row],[Type]]="Checklist",changes[[#This Row],[Type]]="checklist-flat"),1+IF(changes[[#This Row],[Type of change]] = "Edit",COUNTIFS($I$4:changes[[#This Row],[Name]],changes[[#This Row],[Name]], $E$4:changes[[#This Row],[Type of change]], "Edit")),B1165)</f>
        <v>1</v>
      </c>
      <c r="C1166" s="16">
        <v>44636</v>
      </c>
      <c r="D1166" s="1" t="s">
        <v>2393</v>
      </c>
      <c r="E1166" t="s">
        <v>19</v>
      </c>
      <c r="F1166" s="10" t="s">
        <v>52</v>
      </c>
      <c r="G1166" s="10" t="s">
        <v>2730</v>
      </c>
      <c r="H1166" t="s">
        <v>437</v>
      </c>
      <c r="I1166" t="s">
        <v>2741</v>
      </c>
      <c r="K1166" s="2"/>
      <c r="M1166" t="s">
        <v>2586</v>
      </c>
    </row>
    <row r="1167" spans="1:13">
      <c r="A1167" t="s">
        <v>28</v>
      </c>
      <c r="B1167">
        <f ca="1">IF(OR(changes[[#This Row],[Type]]="Checklist",changes[[#This Row],[Type]]="checklist-flat"),1+IF(changes[[#This Row],[Type of change]] = "Edit",COUNTIFS($I$4:changes[[#This Row],[Name]],changes[[#This Row],[Name]], $E$4:changes[[#This Row],[Type of change]], "Edit")),B1166)</f>
        <v>1</v>
      </c>
      <c r="C1167" s="16">
        <v>44636</v>
      </c>
      <c r="D1167" s="1" t="s">
        <v>2393</v>
      </c>
      <c r="E1167" t="s">
        <v>19</v>
      </c>
      <c r="F1167" s="10" t="s">
        <v>52</v>
      </c>
      <c r="G1167" s="10" t="s">
        <v>2730</v>
      </c>
      <c r="H1167" t="s">
        <v>64</v>
      </c>
      <c r="I1167" t="s">
        <v>1273</v>
      </c>
      <c r="K1167" s="2"/>
      <c r="M1167" t="s">
        <v>2586</v>
      </c>
    </row>
    <row r="1168" spans="1:13">
      <c r="A1168" t="s">
        <v>28</v>
      </c>
      <c r="B1168">
        <f ca="1">IF(OR(changes[[#This Row],[Type]]="Checklist",changes[[#This Row],[Type]]="checklist-flat"),1+IF(changes[[#This Row],[Type of change]] = "Edit",COUNTIFS($I$4:changes[[#This Row],[Name]],changes[[#This Row],[Name]], $E$4:changes[[#This Row],[Type of change]], "Edit")),B1167)</f>
        <v>1</v>
      </c>
      <c r="C1168" s="16">
        <v>44636</v>
      </c>
      <c r="D1168" s="1" t="s">
        <v>2393</v>
      </c>
      <c r="E1168" t="s">
        <v>19</v>
      </c>
      <c r="F1168" s="10" t="s">
        <v>52</v>
      </c>
      <c r="G1168" s="10" t="s">
        <v>2742</v>
      </c>
      <c r="H1168" t="s">
        <v>47</v>
      </c>
      <c r="I1168" t="s">
        <v>2742</v>
      </c>
      <c r="K1168" s="2"/>
      <c r="M1168" t="s">
        <v>2586</v>
      </c>
    </row>
    <row r="1169" spans="1:13">
      <c r="A1169" t="s">
        <v>28</v>
      </c>
      <c r="B1169">
        <f ca="1">IF(OR(changes[[#This Row],[Type]]="Checklist",changes[[#This Row],[Type]]="checklist-flat"),1+IF(changes[[#This Row],[Type of change]] = "Edit",COUNTIFS($I$4:changes[[#This Row],[Name]],changes[[#This Row],[Name]], $E$4:changes[[#This Row],[Type of change]], "Edit")),B1168)</f>
        <v>1</v>
      </c>
      <c r="C1169" s="16">
        <v>44636</v>
      </c>
      <c r="D1169" s="1" t="s">
        <v>2393</v>
      </c>
      <c r="E1169" t="s">
        <v>19</v>
      </c>
      <c r="F1169" s="10" t="s">
        <v>52</v>
      </c>
      <c r="G1169" s="10" t="s">
        <v>2742</v>
      </c>
      <c r="H1169" t="s">
        <v>55</v>
      </c>
      <c r="I1169" t="s">
        <v>2743</v>
      </c>
      <c r="K1169" s="2"/>
      <c r="M1169" t="s">
        <v>2586</v>
      </c>
    </row>
    <row r="1170" spans="1:13">
      <c r="A1170" t="s">
        <v>28</v>
      </c>
      <c r="B1170">
        <f ca="1">IF(OR(changes[[#This Row],[Type]]="Checklist",changes[[#This Row],[Type]]="checklist-flat"),1+IF(changes[[#This Row],[Type of change]] = "Edit",COUNTIFS($I$4:changes[[#This Row],[Name]],changes[[#This Row],[Name]], $E$4:changes[[#This Row],[Type of change]], "Edit")),B1169)</f>
        <v>1</v>
      </c>
      <c r="C1170" s="16">
        <v>44636</v>
      </c>
      <c r="D1170" s="1" t="s">
        <v>2393</v>
      </c>
      <c r="E1170" t="s">
        <v>19</v>
      </c>
      <c r="F1170" s="10" t="s">
        <v>52</v>
      </c>
      <c r="G1170" s="10" t="s">
        <v>2742</v>
      </c>
      <c r="H1170" t="s">
        <v>437</v>
      </c>
      <c r="I1170" t="s">
        <v>2697</v>
      </c>
      <c r="K1170" s="2"/>
      <c r="M1170" t="s">
        <v>2586</v>
      </c>
    </row>
    <row r="1171" spans="1:13">
      <c r="A1171" t="s">
        <v>28</v>
      </c>
      <c r="B1171">
        <f ca="1">IF(OR(changes[[#This Row],[Type]]="Checklist",changes[[#This Row],[Type]]="checklist-flat"),1+IF(changes[[#This Row],[Type of change]] = "Edit",COUNTIFS($I$4:changes[[#This Row],[Name]],changes[[#This Row],[Name]], $E$4:changes[[#This Row],[Type of change]], "Edit")),B1170)</f>
        <v>1</v>
      </c>
      <c r="C1171" s="16">
        <v>44636</v>
      </c>
      <c r="D1171" s="1" t="s">
        <v>2393</v>
      </c>
      <c r="E1171" t="s">
        <v>19</v>
      </c>
      <c r="F1171" s="10" t="s">
        <v>52</v>
      </c>
      <c r="G1171" s="10" t="s">
        <v>2742</v>
      </c>
      <c r="H1171" t="s">
        <v>437</v>
      </c>
      <c r="I1171" t="s">
        <v>2698</v>
      </c>
      <c r="K1171" s="2"/>
      <c r="M1171" t="s">
        <v>2586</v>
      </c>
    </row>
    <row r="1172" spans="1:13">
      <c r="A1172" t="s">
        <v>28</v>
      </c>
      <c r="B1172">
        <f ca="1">IF(OR(changes[[#This Row],[Type]]="Checklist",changes[[#This Row],[Type]]="checklist-flat"),1+IF(changes[[#This Row],[Type of change]] = "Edit",COUNTIFS($I$4:changes[[#This Row],[Name]],changes[[#This Row],[Name]], $E$4:changes[[#This Row],[Type of change]], "Edit")),B1171)</f>
        <v>1</v>
      </c>
      <c r="C1172" s="16">
        <v>44636</v>
      </c>
      <c r="D1172" s="1" t="s">
        <v>2393</v>
      </c>
      <c r="E1172" t="s">
        <v>19</v>
      </c>
      <c r="F1172" s="10" t="s">
        <v>52</v>
      </c>
      <c r="G1172" s="10" t="s">
        <v>2742</v>
      </c>
      <c r="H1172" t="s">
        <v>437</v>
      </c>
      <c r="I1172" t="s">
        <v>2744</v>
      </c>
      <c r="K1172" s="2"/>
      <c r="M1172" t="s">
        <v>2586</v>
      </c>
    </row>
    <row r="1173" spans="1:13">
      <c r="A1173" t="s">
        <v>28</v>
      </c>
      <c r="B1173">
        <f ca="1">IF(OR(changes[[#This Row],[Type]]="Checklist",changes[[#This Row],[Type]]="checklist-flat"),1+IF(changes[[#This Row],[Type of change]] = "Edit",COUNTIFS($I$4:changes[[#This Row],[Name]],changes[[#This Row],[Name]], $E$4:changes[[#This Row],[Type of change]], "Edit")),B1172)</f>
        <v>1</v>
      </c>
      <c r="C1173" s="16">
        <v>44636</v>
      </c>
      <c r="D1173" s="1" t="s">
        <v>2393</v>
      </c>
      <c r="E1173" t="s">
        <v>19</v>
      </c>
      <c r="F1173" s="10" t="s">
        <v>52</v>
      </c>
      <c r="G1173" s="10" t="s">
        <v>2742</v>
      </c>
      <c r="H1173" t="s">
        <v>437</v>
      </c>
      <c r="I1173" t="s">
        <v>2442</v>
      </c>
      <c r="K1173" s="2"/>
      <c r="M1173" t="s">
        <v>2586</v>
      </c>
    </row>
    <row r="1174" spans="1:13">
      <c r="A1174" t="s">
        <v>28</v>
      </c>
      <c r="B1174">
        <f ca="1">IF(OR(changes[[#This Row],[Type]]="Checklist",changes[[#This Row],[Type]]="checklist-flat"),1+IF(changes[[#This Row],[Type of change]] = "Edit",COUNTIFS($I$4:changes[[#This Row],[Name]],changes[[#This Row],[Name]], $E$4:changes[[#This Row],[Type of change]], "Edit")),B1173)</f>
        <v>1</v>
      </c>
      <c r="C1174" s="16">
        <v>44636</v>
      </c>
      <c r="D1174" s="1" t="s">
        <v>2393</v>
      </c>
      <c r="E1174" t="s">
        <v>19</v>
      </c>
      <c r="F1174" s="10" t="s">
        <v>52</v>
      </c>
      <c r="G1174" s="10" t="s">
        <v>2742</v>
      </c>
      <c r="H1174" t="s">
        <v>951</v>
      </c>
      <c r="I1174" t="s">
        <v>2691</v>
      </c>
      <c r="K1174" s="2"/>
      <c r="M1174" t="s">
        <v>2586</v>
      </c>
    </row>
    <row r="1175" spans="1:13">
      <c r="A1175" t="s">
        <v>28</v>
      </c>
      <c r="B1175">
        <f ca="1">IF(OR(changes[[#This Row],[Type]]="Checklist",changes[[#This Row],[Type]]="checklist-flat"),1+IF(changes[[#This Row],[Type of change]] = "Edit",COUNTIFS($I$4:changes[[#This Row],[Name]],changes[[#This Row],[Name]], $E$4:changes[[#This Row],[Type of change]], "Edit")),B1174)</f>
        <v>1</v>
      </c>
      <c r="C1175" s="16">
        <v>44636</v>
      </c>
      <c r="D1175" s="1" t="s">
        <v>2393</v>
      </c>
      <c r="E1175" t="s">
        <v>19</v>
      </c>
      <c r="F1175" s="10" t="s">
        <v>52</v>
      </c>
      <c r="G1175" s="10" t="s">
        <v>2742</v>
      </c>
      <c r="H1175" t="s">
        <v>951</v>
      </c>
      <c r="I1175" t="s">
        <v>2692</v>
      </c>
      <c r="K1175" s="2"/>
      <c r="M1175" t="s">
        <v>2586</v>
      </c>
    </row>
    <row r="1176" spans="1:13">
      <c r="A1176" t="s">
        <v>28</v>
      </c>
      <c r="B1176">
        <f ca="1">IF(OR(changes[[#This Row],[Type]]="Checklist",changes[[#This Row],[Type]]="checklist-flat"),1+IF(changes[[#This Row],[Type of change]] = "Edit",COUNTIFS($I$4:changes[[#This Row],[Name]],changes[[#This Row],[Name]], $E$4:changes[[#This Row],[Type of change]], "Edit")),B1175)</f>
        <v>1</v>
      </c>
      <c r="C1176" s="16">
        <v>44636</v>
      </c>
      <c r="D1176" s="1" t="s">
        <v>2393</v>
      </c>
      <c r="E1176" t="s">
        <v>19</v>
      </c>
      <c r="F1176" s="10" t="s">
        <v>52</v>
      </c>
      <c r="G1176" s="10" t="s">
        <v>2742</v>
      </c>
      <c r="H1176" t="s">
        <v>951</v>
      </c>
      <c r="I1176" t="s">
        <v>2621</v>
      </c>
      <c r="K1176" s="2"/>
      <c r="M1176" t="s">
        <v>2586</v>
      </c>
    </row>
    <row r="1177" spans="1:13">
      <c r="A1177" t="s">
        <v>28</v>
      </c>
      <c r="B1177">
        <f ca="1">IF(OR(changes[[#This Row],[Type]]="Checklist",changes[[#This Row],[Type]]="checklist-flat"),1+IF(changes[[#This Row],[Type of change]] = "Edit",COUNTIFS($I$4:changes[[#This Row],[Name]],changes[[#This Row],[Name]], $E$4:changes[[#This Row],[Type of change]], "Edit")),B1176)</f>
        <v>1</v>
      </c>
      <c r="C1177" s="16">
        <v>44636</v>
      </c>
      <c r="D1177" s="1" t="s">
        <v>2393</v>
      </c>
      <c r="E1177" t="s">
        <v>19</v>
      </c>
      <c r="F1177" s="10" t="s">
        <v>52</v>
      </c>
      <c r="G1177" s="10" t="s">
        <v>2742</v>
      </c>
      <c r="H1177" t="s">
        <v>951</v>
      </c>
      <c r="I1177" t="s">
        <v>2693</v>
      </c>
      <c r="K1177" s="2"/>
      <c r="M1177" t="s">
        <v>2586</v>
      </c>
    </row>
    <row r="1178" spans="1:13">
      <c r="A1178" t="s">
        <v>28</v>
      </c>
      <c r="B1178">
        <f ca="1">IF(OR(changes[[#This Row],[Type]]="Checklist",changes[[#This Row],[Type]]="checklist-flat"),1+IF(changes[[#This Row],[Type of change]] = "Edit",COUNTIFS($I$4:changes[[#This Row],[Name]],changes[[#This Row],[Name]], $E$4:changes[[#This Row],[Type of change]], "Edit")),B1177)</f>
        <v>1</v>
      </c>
      <c r="C1178" s="16">
        <v>44636</v>
      </c>
      <c r="D1178" s="1" t="s">
        <v>2393</v>
      </c>
      <c r="E1178" t="s">
        <v>19</v>
      </c>
      <c r="F1178" s="10" t="s">
        <v>52</v>
      </c>
      <c r="G1178" s="10" t="s">
        <v>2742</v>
      </c>
      <c r="H1178" t="s">
        <v>437</v>
      </c>
      <c r="I1178" t="s">
        <v>2694</v>
      </c>
      <c r="K1178" s="2"/>
      <c r="M1178" t="s">
        <v>2586</v>
      </c>
    </row>
    <row r="1179" spans="1:13">
      <c r="A1179" t="s">
        <v>28</v>
      </c>
      <c r="B1179">
        <f ca="1">IF(OR(changes[[#This Row],[Type]]="Checklist",changes[[#This Row],[Type]]="checklist-flat"),1+IF(changes[[#This Row],[Type of change]] = "Edit",COUNTIFS($I$4:changes[[#This Row],[Name]],changes[[#This Row],[Name]], $E$4:changes[[#This Row],[Type of change]], "Edit")),B1178)</f>
        <v>1</v>
      </c>
      <c r="C1179" s="16">
        <v>44636</v>
      </c>
      <c r="D1179" s="1" t="s">
        <v>2393</v>
      </c>
      <c r="E1179" t="s">
        <v>19</v>
      </c>
      <c r="F1179" s="10" t="s">
        <v>52</v>
      </c>
      <c r="G1179" s="10" t="s">
        <v>2742</v>
      </c>
      <c r="H1179" t="s">
        <v>64</v>
      </c>
      <c r="I1179" t="s">
        <v>1273</v>
      </c>
      <c r="K1179" s="2"/>
      <c r="M1179" t="s">
        <v>2586</v>
      </c>
    </row>
    <row r="1180" spans="1:13">
      <c r="A1180" t="s">
        <v>28</v>
      </c>
      <c r="B1180">
        <f ca="1">IF(OR(changes[[#This Row],[Type]]="Checklist",changes[[#This Row],[Type]]="checklist-flat"),1+IF(changes[[#This Row],[Type of change]] = "Edit",COUNTIFS($I$4:changes[[#This Row],[Name]],changes[[#This Row],[Name]], $E$4:changes[[#This Row],[Type of change]], "Edit")),B1179)</f>
        <v>1</v>
      </c>
      <c r="C1180" s="16">
        <v>44636</v>
      </c>
      <c r="D1180" s="1" t="s">
        <v>2393</v>
      </c>
      <c r="E1180" t="s">
        <v>19</v>
      </c>
      <c r="F1180" s="10" t="s">
        <v>52</v>
      </c>
      <c r="G1180" s="10" t="s">
        <v>2431</v>
      </c>
      <c r="H1180" t="s">
        <v>47</v>
      </c>
      <c r="I1180" t="s">
        <v>2431</v>
      </c>
      <c r="K1180" s="2"/>
      <c r="M1180" t="s">
        <v>2586</v>
      </c>
    </row>
    <row r="1181" spans="1:13">
      <c r="A1181" t="s">
        <v>28</v>
      </c>
      <c r="B1181">
        <f ca="1">IF(OR(changes[[#This Row],[Type]]="Checklist",changes[[#This Row],[Type]]="checklist-flat"),1+IF(changes[[#This Row],[Type of change]] = "Edit",COUNTIFS($I$4:changes[[#This Row],[Name]],changes[[#This Row],[Name]], $E$4:changes[[#This Row],[Type of change]], "Edit")),B1180)</f>
        <v>1</v>
      </c>
      <c r="C1181" s="16">
        <v>44636</v>
      </c>
      <c r="D1181" s="1" t="s">
        <v>2393</v>
      </c>
      <c r="E1181" t="s">
        <v>19</v>
      </c>
      <c r="F1181" s="10" t="s">
        <v>52</v>
      </c>
      <c r="G1181" s="10" t="s">
        <v>2431</v>
      </c>
      <c r="H1181" t="s">
        <v>55</v>
      </c>
      <c r="I1181" t="s">
        <v>2432</v>
      </c>
      <c r="K1181" s="2"/>
      <c r="M1181" t="s">
        <v>2586</v>
      </c>
    </row>
    <row r="1182" spans="1:13">
      <c r="A1182" t="s">
        <v>28</v>
      </c>
      <c r="B1182">
        <f ca="1">IF(OR(changes[[#This Row],[Type]]="Checklist",changes[[#This Row],[Type]]="checklist-flat"),1+IF(changes[[#This Row],[Type of change]] = "Edit",COUNTIFS($I$4:changes[[#This Row],[Name]],changes[[#This Row],[Name]], $E$4:changes[[#This Row],[Type of change]], "Edit")),B1181)</f>
        <v>1</v>
      </c>
      <c r="C1182" s="16">
        <v>44636</v>
      </c>
      <c r="D1182" s="1" t="s">
        <v>2393</v>
      </c>
      <c r="E1182" t="s">
        <v>19</v>
      </c>
      <c r="F1182" s="10" t="s">
        <v>52</v>
      </c>
      <c r="G1182" s="10" t="s">
        <v>2431</v>
      </c>
      <c r="H1182" t="s">
        <v>2433</v>
      </c>
      <c r="I1182" t="s">
        <v>2434</v>
      </c>
      <c r="K1182" s="2"/>
      <c r="M1182" t="s">
        <v>2586</v>
      </c>
    </row>
    <row r="1183" spans="1:13">
      <c r="A1183" t="s">
        <v>28</v>
      </c>
      <c r="B1183">
        <f ca="1">IF(OR(changes[[#This Row],[Type]]="Checklist",changes[[#This Row],[Type]]="checklist-flat"),1+IF(changes[[#This Row],[Type of change]] = "Edit",COUNTIFS($I$4:changes[[#This Row],[Name]],changes[[#This Row],[Name]], $E$4:changes[[#This Row],[Type of change]], "Edit")),B1182)</f>
        <v>1</v>
      </c>
      <c r="C1183" s="16">
        <v>44636</v>
      </c>
      <c r="D1183" s="1" t="s">
        <v>2393</v>
      </c>
      <c r="E1183" t="s">
        <v>19</v>
      </c>
      <c r="F1183" s="10" t="s">
        <v>52</v>
      </c>
      <c r="G1183" s="10" t="s">
        <v>2431</v>
      </c>
      <c r="H1183" t="s">
        <v>2433</v>
      </c>
      <c r="I1183" t="s">
        <v>2435</v>
      </c>
      <c r="K1183" s="2"/>
      <c r="M1183" t="s">
        <v>2586</v>
      </c>
    </row>
    <row r="1184" spans="1:13">
      <c r="A1184" t="s">
        <v>28</v>
      </c>
      <c r="B1184">
        <f ca="1">IF(OR(changes[[#This Row],[Type]]="Checklist",changes[[#This Row],[Type]]="checklist-flat"),1+IF(changes[[#This Row],[Type of change]] = "Edit",COUNTIFS($I$4:changes[[#This Row],[Name]],changes[[#This Row],[Name]], $E$4:changes[[#This Row],[Type of change]], "Edit")),B1183)</f>
        <v>1</v>
      </c>
      <c r="C1184" s="16">
        <v>44636</v>
      </c>
      <c r="D1184" s="1" t="s">
        <v>2393</v>
      </c>
      <c r="E1184" t="s">
        <v>19</v>
      </c>
      <c r="F1184" s="10" t="s">
        <v>52</v>
      </c>
      <c r="G1184" s="10" t="s">
        <v>2431</v>
      </c>
      <c r="H1184" t="s">
        <v>2433</v>
      </c>
      <c r="I1184" t="s">
        <v>2436</v>
      </c>
      <c r="K1184" s="2"/>
      <c r="M1184" t="s">
        <v>2586</v>
      </c>
    </row>
    <row r="1185" spans="1:13">
      <c r="A1185" t="s">
        <v>28</v>
      </c>
      <c r="B1185">
        <f ca="1">IF(OR(changes[[#This Row],[Type]]="Checklist",changes[[#This Row],[Type]]="checklist-flat"),1+IF(changes[[#This Row],[Type of change]] = "Edit",COUNTIFS($I$4:changes[[#This Row],[Name]],changes[[#This Row],[Name]], $E$4:changes[[#This Row],[Type of change]], "Edit")),B1184)</f>
        <v>1</v>
      </c>
      <c r="C1185" s="16">
        <v>44636</v>
      </c>
      <c r="D1185" s="1" t="s">
        <v>2393</v>
      </c>
      <c r="E1185" t="s">
        <v>19</v>
      </c>
      <c r="F1185" s="10" t="s">
        <v>52</v>
      </c>
      <c r="G1185" s="10" t="s">
        <v>2431</v>
      </c>
      <c r="H1185" t="s">
        <v>2433</v>
      </c>
      <c r="I1185" t="s">
        <v>2437</v>
      </c>
      <c r="K1185" s="2"/>
      <c r="M1185" t="s">
        <v>2586</v>
      </c>
    </row>
    <row r="1186" spans="1:13">
      <c r="A1186" t="s">
        <v>28</v>
      </c>
      <c r="B1186">
        <f ca="1">IF(OR(changes[[#This Row],[Type]]="Checklist",changes[[#This Row],[Type]]="checklist-flat"),1+IF(changes[[#This Row],[Type of change]] = "Edit",COUNTIFS($I$4:changes[[#This Row],[Name]],changes[[#This Row],[Name]], $E$4:changes[[#This Row],[Type of change]], "Edit")),B1185)</f>
        <v>1</v>
      </c>
      <c r="C1186" s="16">
        <v>44636</v>
      </c>
      <c r="D1186" s="1" t="s">
        <v>2393</v>
      </c>
      <c r="E1186" t="s">
        <v>19</v>
      </c>
      <c r="F1186" s="10" t="s">
        <v>52</v>
      </c>
      <c r="G1186" s="10" t="s">
        <v>2431</v>
      </c>
      <c r="H1186" t="s">
        <v>2433</v>
      </c>
      <c r="I1186" t="s">
        <v>2438</v>
      </c>
      <c r="K1186" s="2"/>
      <c r="M1186" t="s">
        <v>2586</v>
      </c>
    </row>
    <row r="1187" spans="1:13">
      <c r="A1187" t="s">
        <v>28</v>
      </c>
      <c r="B1187">
        <f ca="1">IF(OR(changes[[#This Row],[Type]]="Checklist",changes[[#This Row],[Type]]="checklist-flat"),1+IF(changes[[#This Row],[Type of change]] = "Edit",COUNTIFS($I$4:changes[[#This Row],[Name]],changes[[#This Row],[Name]], $E$4:changes[[#This Row],[Type of change]], "Edit")),B1186)</f>
        <v>1</v>
      </c>
      <c r="C1187" s="16">
        <v>44636</v>
      </c>
      <c r="D1187" s="1" t="s">
        <v>2393</v>
      </c>
      <c r="E1187" t="s">
        <v>19</v>
      </c>
      <c r="F1187" s="10" t="s">
        <v>52</v>
      </c>
      <c r="G1187" s="10" t="s">
        <v>2431</v>
      </c>
      <c r="H1187" t="s">
        <v>2433</v>
      </c>
      <c r="I1187" t="s">
        <v>2439</v>
      </c>
      <c r="K1187" s="2"/>
      <c r="M1187" t="s">
        <v>2586</v>
      </c>
    </row>
    <row r="1188" spans="1:13">
      <c r="A1188" t="s">
        <v>28</v>
      </c>
      <c r="B1188">
        <f ca="1">IF(OR(changes[[#This Row],[Type]]="Checklist",changes[[#This Row],[Type]]="checklist-flat"),1+IF(changes[[#This Row],[Type of change]] = "Edit",COUNTIFS($I$4:changes[[#This Row],[Name]],changes[[#This Row],[Name]], $E$4:changes[[#This Row],[Type of change]], "Edit")),B1187)</f>
        <v>1</v>
      </c>
      <c r="C1188" s="16">
        <v>44636</v>
      </c>
      <c r="D1188" s="1" t="s">
        <v>2393</v>
      </c>
      <c r="E1188" t="s">
        <v>19</v>
      </c>
      <c r="F1188" s="10" t="s">
        <v>52</v>
      </c>
      <c r="G1188" s="10" t="s">
        <v>2431</v>
      </c>
      <c r="H1188" t="s">
        <v>2433</v>
      </c>
      <c r="I1188" t="s">
        <v>2440</v>
      </c>
      <c r="K1188" s="2"/>
      <c r="M1188" t="s">
        <v>2586</v>
      </c>
    </row>
    <row r="1189" spans="1:13">
      <c r="A1189" t="s">
        <v>28</v>
      </c>
      <c r="B1189">
        <f ca="1">IF(OR(changes[[#This Row],[Type]]="Checklist",changes[[#This Row],[Type]]="checklist-flat"),1+IF(changes[[#This Row],[Type of change]] = "Edit",COUNTIFS($I$4:changes[[#This Row],[Name]],changes[[#This Row],[Name]], $E$4:changes[[#This Row],[Type of change]], "Edit")),B1188)</f>
        <v>1</v>
      </c>
      <c r="C1189" s="16">
        <v>44636</v>
      </c>
      <c r="D1189" s="1" t="s">
        <v>2393</v>
      </c>
      <c r="E1189" t="s">
        <v>19</v>
      </c>
      <c r="F1189" s="10" t="s">
        <v>52</v>
      </c>
      <c r="G1189" s="10" t="s">
        <v>2431</v>
      </c>
      <c r="H1189" t="s">
        <v>2433</v>
      </c>
      <c r="I1189" t="s">
        <v>2441</v>
      </c>
      <c r="K1189" s="2"/>
      <c r="M1189" t="s">
        <v>2586</v>
      </c>
    </row>
    <row r="1190" spans="1:13">
      <c r="A1190" t="s">
        <v>28</v>
      </c>
      <c r="B1190">
        <f ca="1">IF(OR(changes[[#This Row],[Type]]="Checklist",changes[[#This Row],[Type]]="checklist-flat"),1+IF(changes[[#This Row],[Type of change]] = "Edit",COUNTIFS($I$4:changes[[#This Row],[Name]],changes[[#This Row],[Name]], $E$4:changes[[#This Row],[Type of change]], "Edit")),B1189)</f>
        <v>1</v>
      </c>
      <c r="C1190" s="16">
        <v>44636</v>
      </c>
      <c r="D1190" s="1" t="s">
        <v>2393</v>
      </c>
      <c r="E1190" t="s">
        <v>19</v>
      </c>
      <c r="F1190" s="10" t="s">
        <v>52</v>
      </c>
      <c r="G1190" s="10" t="s">
        <v>2431</v>
      </c>
      <c r="H1190" t="s">
        <v>2433</v>
      </c>
      <c r="I1190" t="s">
        <v>2442</v>
      </c>
      <c r="K1190" s="2"/>
      <c r="M1190" t="s">
        <v>2586</v>
      </c>
    </row>
    <row r="1191" spans="1:13">
      <c r="A1191" t="s">
        <v>28</v>
      </c>
      <c r="B1191">
        <f ca="1">IF(OR(changes[[#This Row],[Type]]="Checklist",changes[[#This Row],[Type]]="checklist-flat"),1+IF(changes[[#This Row],[Type of change]] = "Edit",COUNTIFS($I$4:changes[[#This Row],[Name]],changes[[#This Row],[Name]], $E$4:changes[[#This Row],[Type of change]], "Edit")),B1190)</f>
        <v>1</v>
      </c>
      <c r="C1191" s="16">
        <v>44636</v>
      </c>
      <c r="D1191" s="1" t="s">
        <v>2393</v>
      </c>
      <c r="E1191" t="s">
        <v>19</v>
      </c>
      <c r="F1191" s="10" t="s">
        <v>52</v>
      </c>
      <c r="G1191" s="10" t="s">
        <v>2431</v>
      </c>
      <c r="H1191" t="s">
        <v>2443</v>
      </c>
      <c r="I1191" t="s">
        <v>377</v>
      </c>
      <c r="K1191" s="2"/>
      <c r="M1191" t="s">
        <v>2586</v>
      </c>
    </row>
    <row r="1192" spans="1:13">
      <c r="A1192" t="s">
        <v>28</v>
      </c>
      <c r="B1192">
        <f ca="1">IF(OR(changes[[#This Row],[Type]]="Checklist",changes[[#This Row],[Type]]="checklist-flat"),1+IF(changes[[#This Row],[Type of change]] = "Edit",COUNTIFS($I$4:changes[[#This Row],[Name]],changes[[#This Row],[Name]], $E$4:changes[[#This Row],[Type of change]], "Edit")),B1191)</f>
        <v>1</v>
      </c>
      <c r="C1192" s="16">
        <v>44636</v>
      </c>
      <c r="D1192" s="1" t="s">
        <v>2393</v>
      </c>
      <c r="E1192" t="s">
        <v>19</v>
      </c>
      <c r="F1192" s="10" t="s">
        <v>52</v>
      </c>
      <c r="G1192" s="10" t="s">
        <v>2431</v>
      </c>
      <c r="H1192" t="s">
        <v>2443</v>
      </c>
      <c r="I1192" t="s">
        <v>2444</v>
      </c>
      <c r="K1192" s="2"/>
      <c r="M1192" t="s">
        <v>2586</v>
      </c>
    </row>
    <row r="1193" spans="1:13">
      <c r="A1193" t="s">
        <v>28</v>
      </c>
      <c r="B1193">
        <f ca="1">IF(OR(changes[[#This Row],[Type]]="Checklist",changes[[#This Row],[Type]]="checklist-flat"),1+IF(changes[[#This Row],[Type of change]] = "Edit",COUNTIFS($I$4:changes[[#This Row],[Name]],changes[[#This Row],[Name]], $E$4:changes[[#This Row],[Type of change]], "Edit")),B1192)</f>
        <v>1</v>
      </c>
      <c r="C1193" s="16">
        <v>44636</v>
      </c>
      <c r="D1193" s="1" t="s">
        <v>2393</v>
      </c>
      <c r="E1193" t="s">
        <v>19</v>
      </c>
      <c r="F1193" s="10" t="s">
        <v>52</v>
      </c>
      <c r="G1193" s="10" t="s">
        <v>2431</v>
      </c>
      <c r="H1193" t="s">
        <v>2443</v>
      </c>
      <c r="I1193" t="s">
        <v>2445</v>
      </c>
      <c r="K1193" s="2"/>
      <c r="M1193" t="s">
        <v>2586</v>
      </c>
    </row>
    <row r="1194" spans="1:13">
      <c r="A1194" t="s">
        <v>28</v>
      </c>
      <c r="B1194">
        <f ca="1">IF(OR(changes[[#This Row],[Type]]="Checklist",changes[[#This Row],[Type]]="checklist-flat"),1+IF(changes[[#This Row],[Type of change]] = "Edit",COUNTIFS($I$4:changes[[#This Row],[Name]],changes[[#This Row],[Name]], $E$4:changes[[#This Row],[Type of change]], "Edit")),B1193)</f>
        <v>1</v>
      </c>
      <c r="C1194" s="16">
        <v>44636</v>
      </c>
      <c r="D1194" s="1" t="s">
        <v>2393</v>
      </c>
      <c r="E1194" t="s">
        <v>19</v>
      </c>
      <c r="F1194" s="10" t="s">
        <v>52</v>
      </c>
      <c r="G1194" s="10" t="s">
        <v>2431</v>
      </c>
      <c r="H1194" t="s">
        <v>2443</v>
      </c>
      <c r="I1194" t="s">
        <v>2446</v>
      </c>
      <c r="K1194" s="2"/>
      <c r="M1194" t="s">
        <v>2586</v>
      </c>
    </row>
    <row r="1195" spans="1:13">
      <c r="A1195" t="s">
        <v>28</v>
      </c>
      <c r="B1195">
        <f ca="1">IF(OR(changes[[#This Row],[Type]]="Checklist",changes[[#This Row],[Type]]="checklist-flat"),1+IF(changes[[#This Row],[Type of change]] = "Edit",COUNTIFS($I$4:changes[[#This Row],[Name]],changes[[#This Row],[Name]], $E$4:changes[[#This Row],[Type of change]], "Edit")),B1194)</f>
        <v>1</v>
      </c>
      <c r="C1195" s="16">
        <v>44636</v>
      </c>
      <c r="D1195" s="1" t="s">
        <v>2393</v>
      </c>
      <c r="E1195" t="s">
        <v>19</v>
      </c>
      <c r="F1195" s="10" t="s">
        <v>52</v>
      </c>
      <c r="G1195" s="10" t="s">
        <v>2431</v>
      </c>
      <c r="H1195" t="s">
        <v>64</v>
      </c>
      <c r="I1195" t="s">
        <v>1273</v>
      </c>
      <c r="K1195" s="2"/>
      <c r="M1195" t="s">
        <v>2586</v>
      </c>
    </row>
    <row r="1196" spans="1:13">
      <c r="A1196" t="s">
        <v>28</v>
      </c>
      <c r="B1196">
        <f ca="1">IF(OR(changes[[#This Row],[Type]]="Checklist",changes[[#This Row],[Type]]="checklist-flat"),1+IF(changes[[#This Row],[Type of change]] = "Edit",COUNTIFS($I$4:changes[[#This Row],[Name]],changes[[#This Row],[Name]], $E$4:changes[[#This Row],[Type of change]], "Edit")),B1195)</f>
        <v>1</v>
      </c>
      <c r="C1196" s="16">
        <v>44636</v>
      </c>
      <c r="D1196" s="1" t="s">
        <v>2393</v>
      </c>
      <c r="E1196" t="s">
        <v>19</v>
      </c>
      <c r="F1196" s="10" t="s">
        <v>9</v>
      </c>
      <c r="G1196" s="10" t="s">
        <v>1236</v>
      </c>
      <c r="H1196" t="s">
        <v>55</v>
      </c>
      <c r="I1196" t="s">
        <v>1241</v>
      </c>
      <c r="K1196" s="2"/>
      <c r="M1196" t="s">
        <v>2586</v>
      </c>
    </row>
    <row r="1197" spans="1:13">
      <c r="A1197" t="s">
        <v>28</v>
      </c>
      <c r="B1197">
        <f ca="1">IF(OR(changes[[#This Row],[Type]]="Checklist",changes[[#This Row],[Type]]="checklist-flat"),1+IF(changes[[#This Row],[Type of change]] = "Edit",COUNTIFS($I$4:changes[[#This Row],[Name]],changes[[#This Row],[Name]], $E$4:changes[[#This Row],[Type of change]], "Edit")),B1196)</f>
        <v>1</v>
      </c>
      <c r="C1197" s="16">
        <v>44641</v>
      </c>
      <c r="D1197" s="1" t="s">
        <v>2401</v>
      </c>
      <c r="E1197" t="s">
        <v>27</v>
      </c>
      <c r="F1197" s="10" t="s">
        <v>9</v>
      </c>
      <c r="G1197" t="s">
        <v>1322</v>
      </c>
      <c r="H1197" t="s">
        <v>47</v>
      </c>
      <c r="I1197" t="s">
        <v>1322</v>
      </c>
      <c r="K1197" s="2"/>
      <c r="M1197" t="s">
        <v>2745</v>
      </c>
    </row>
    <row r="1198" spans="1:13">
      <c r="A1198" t="s">
        <v>28</v>
      </c>
      <c r="B1198">
        <f ca="1">IF(OR(changes[[#This Row],[Type]]="Checklist",changes[[#This Row],[Type]]="checklist-flat"),1+IF(changes[[#This Row],[Type of change]] = "Edit",COUNTIFS($I$4:changes[[#This Row],[Name]],changes[[#This Row],[Name]], $E$4:changes[[#This Row],[Type of change]], "Edit")),B1197)</f>
        <v>1</v>
      </c>
      <c r="C1198" s="16">
        <v>44641</v>
      </c>
      <c r="D1198" s="1" t="s">
        <v>2401</v>
      </c>
      <c r="E1198" t="s">
        <v>27</v>
      </c>
      <c r="F1198" s="10" t="s">
        <v>9</v>
      </c>
      <c r="G1198" t="s">
        <v>1322</v>
      </c>
      <c r="H1198" t="s">
        <v>55</v>
      </c>
      <c r="I1198" t="s">
        <v>1293</v>
      </c>
      <c r="K1198" s="2"/>
      <c r="M1198" t="s">
        <v>2745</v>
      </c>
    </row>
    <row r="1199" spans="1:13">
      <c r="A1199" t="s">
        <v>28</v>
      </c>
      <c r="B1199">
        <f ca="1">IF(OR(changes[[#This Row],[Type]]="Checklist",changes[[#This Row],[Type]]="checklist-flat"),1+IF(changes[[#This Row],[Type of change]] = "Edit",COUNTIFS($I$4:changes[[#This Row],[Name]],changes[[#This Row],[Name]], $E$4:changes[[#This Row],[Type of change]], "Edit")),B1198)</f>
        <v>1</v>
      </c>
      <c r="C1199" s="16">
        <v>44641</v>
      </c>
      <c r="D1199" s="1" t="s">
        <v>2401</v>
      </c>
      <c r="E1199" t="s">
        <v>27</v>
      </c>
      <c r="F1199" s="10" t="s">
        <v>9</v>
      </c>
      <c r="G1199" t="s">
        <v>1322</v>
      </c>
      <c r="H1199" t="s">
        <v>55</v>
      </c>
      <c r="I1199" t="s">
        <v>1294</v>
      </c>
      <c r="K1199" s="2"/>
      <c r="M1199" t="s">
        <v>2745</v>
      </c>
    </row>
    <row r="1200" spans="1:13">
      <c r="A1200" t="s">
        <v>28</v>
      </c>
      <c r="B1200">
        <f ca="1">IF(OR(changes[[#This Row],[Type]]="Checklist",changes[[#This Row],[Type]]="checklist-flat"),1+IF(changes[[#This Row],[Type of change]] = "Edit",COUNTIFS($I$4:changes[[#This Row],[Name]],changes[[#This Row],[Name]], $E$4:changes[[#This Row],[Type of change]], "Edit")),B1199)</f>
        <v>1</v>
      </c>
      <c r="C1200" s="16">
        <v>44641</v>
      </c>
      <c r="D1200" s="1" t="s">
        <v>2401</v>
      </c>
      <c r="E1200" t="s">
        <v>27</v>
      </c>
      <c r="F1200" s="10" t="s">
        <v>9</v>
      </c>
      <c r="G1200" t="s">
        <v>1322</v>
      </c>
      <c r="H1200" t="s">
        <v>55</v>
      </c>
      <c r="I1200" t="s">
        <v>1295</v>
      </c>
      <c r="K1200" s="2"/>
      <c r="M1200" t="s">
        <v>2745</v>
      </c>
    </row>
    <row r="1201" spans="1:13">
      <c r="A1201" t="s">
        <v>28</v>
      </c>
      <c r="B1201">
        <f ca="1">IF(OR(changes[[#This Row],[Type]]="Checklist",changes[[#This Row],[Type]]="checklist-flat"),1+IF(changes[[#This Row],[Type of change]] = "Edit",COUNTIFS($I$4:changes[[#This Row],[Name]],changes[[#This Row],[Name]], $E$4:changes[[#This Row],[Type of change]], "Edit")),B1200)</f>
        <v>1</v>
      </c>
      <c r="C1201" s="16">
        <v>44641</v>
      </c>
      <c r="D1201" s="1" t="s">
        <v>2401</v>
      </c>
      <c r="E1201" t="s">
        <v>27</v>
      </c>
      <c r="F1201" s="10" t="s">
        <v>9</v>
      </c>
      <c r="G1201" t="s">
        <v>1322</v>
      </c>
      <c r="H1201" t="s">
        <v>55</v>
      </c>
      <c r="I1201" t="s">
        <v>1296</v>
      </c>
      <c r="K1201" s="2"/>
      <c r="M1201" t="s">
        <v>2745</v>
      </c>
    </row>
    <row r="1202" spans="1:13">
      <c r="A1202" t="s">
        <v>28</v>
      </c>
      <c r="B1202">
        <f ca="1">IF(OR(changes[[#This Row],[Type]]="Checklist",changes[[#This Row],[Type]]="checklist-flat"),1+IF(changes[[#This Row],[Type of change]] = "Edit",COUNTIFS($I$4:changes[[#This Row],[Name]],changes[[#This Row],[Name]], $E$4:changes[[#This Row],[Type of change]], "Edit")),B1201)</f>
        <v>1</v>
      </c>
      <c r="C1202" s="16">
        <v>44641</v>
      </c>
      <c r="D1202" s="1" t="s">
        <v>2401</v>
      </c>
      <c r="E1202" t="s">
        <v>27</v>
      </c>
      <c r="F1202" s="10" t="s">
        <v>9</v>
      </c>
      <c r="G1202" t="s">
        <v>1323</v>
      </c>
      <c r="H1202" t="s">
        <v>47</v>
      </c>
      <c r="I1202" t="s">
        <v>1323</v>
      </c>
      <c r="K1202" s="2"/>
      <c r="M1202" t="s">
        <v>2745</v>
      </c>
    </row>
    <row r="1203" spans="1:13">
      <c r="A1203" t="s">
        <v>28</v>
      </c>
      <c r="B1203">
        <f ca="1">IF(OR(changes[[#This Row],[Type]]="Checklist",changes[[#This Row],[Type]]="checklist-flat"),1+IF(changes[[#This Row],[Type of change]] = "Edit",COUNTIFS($I$4:changes[[#This Row],[Name]],changes[[#This Row],[Name]], $E$4:changes[[#This Row],[Type of change]], "Edit")),B1202)</f>
        <v>1</v>
      </c>
      <c r="C1203" s="16">
        <v>44641</v>
      </c>
      <c r="D1203" s="1" t="s">
        <v>2401</v>
      </c>
      <c r="E1203" t="s">
        <v>27</v>
      </c>
      <c r="F1203" s="10" t="s">
        <v>9</v>
      </c>
      <c r="G1203" t="s">
        <v>1323</v>
      </c>
      <c r="H1203" t="s">
        <v>55</v>
      </c>
      <c r="I1203" t="s">
        <v>1324</v>
      </c>
      <c r="K1203" s="2"/>
      <c r="M1203" t="s">
        <v>2745</v>
      </c>
    </row>
    <row r="1204" spans="1:13">
      <c r="A1204" t="s">
        <v>28</v>
      </c>
      <c r="B1204">
        <f ca="1">IF(OR(changes[[#This Row],[Type]]="Checklist",changes[[#This Row],[Type]]="checklist-flat"),1+IF(changes[[#This Row],[Type of change]] = "Edit",COUNTIFS($I$4:changes[[#This Row],[Name]],changes[[#This Row],[Name]], $E$4:changes[[#This Row],[Type of change]], "Edit")),B1203)</f>
        <v>1</v>
      </c>
      <c r="C1204" s="16">
        <v>44641</v>
      </c>
      <c r="D1204" s="1" t="s">
        <v>2401</v>
      </c>
      <c r="E1204" t="s">
        <v>27</v>
      </c>
      <c r="F1204" s="10" t="s">
        <v>9</v>
      </c>
      <c r="G1204" t="s">
        <v>1323</v>
      </c>
      <c r="H1204" t="s">
        <v>55</v>
      </c>
      <c r="I1204" t="s">
        <v>1325</v>
      </c>
      <c r="K1204" s="2"/>
      <c r="M1204" t="s">
        <v>2745</v>
      </c>
    </row>
    <row r="1205" spans="1:13">
      <c r="A1205" t="s">
        <v>28</v>
      </c>
      <c r="B1205">
        <f ca="1">IF(OR(changes[[#This Row],[Type]]="Checklist",changes[[#This Row],[Type]]="checklist-flat"),1+IF(changes[[#This Row],[Type of change]] = "Edit",COUNTIFS($I$4:changes[[#This Row],[Name]],changes[[#This Row],[Name]], $E$4:changes[[#This Row],[Type of change]], "Edit")),B1204)</f>
        <v>1</v>
      </c>
      <c r="C1205" s="16">
        <v>44641</v>
      </c>
      <c r="D1205" s="1" t="s">
        <v>2401</v>
      </c>
      <c r="E1205" t="s">
        <v>27</v>
      </c>
      <c r="F1205" s="10" t="s">
        <v>9</v>
      </c>
      <c r="G1205" t="s">
        <v>1323</v>
      </c>
      <c r="H1205" t="s">
        <v>55</v>
      </c>
      <c r="I1205" t="s">
        <v>1326</v>
      </c>
      <c r="K1205" s="2"/>
      <c r="M1205" t="s">
        <v>2745</v>
      </c>
    </row>
    <row r="1206" spans="1:13">
      <c r="A1206" t="s">
        <v>28</v>
      </c>
      <c r="B1206">
        <f ca="1">IF(OR(changes[[#This Row],[Type]]="Checklist",changes[[#This Row],[Type]]="checklist-flat"),1+IF(changes[[#This Row],[Type of change]] = "Edit",COUNTIFS($I$4:changes[[#This Row],[Name]],changes[[#This Row],[Name]], $E$4:changes[[#This Row],[Type of change]], "Edit")),B1205)</f>
        <v>1</v>
      </c>
      <c r="C1206" s="16">
        <v>44641</v>
      </c>
      <c r="D1206" s="1" t="s">
        <v>2401</v>
      </c>
      <c r="E1206" t="s">
        <v>27</v>
      </c>
      <c r="F1206" s="10" t="s">
        <v>9</v>
      </c>
      <c r="G1206" t="s">
        <v>1323</v>
      </c>
      <c r="H1206" t="s">
        <v>55</v>
      </c>
      <c r="I1206" t="s">
        <v>1327</v>
      </c>
      <c r="K1206" s="2"/>
      <c r="M1206" t="s">
        <v>2745</v>
      </c>
    </row>
    <row r="1207" spans="1:13">
      <c r="A1207" t="s">
        <v>28</v>
      </c>
      <c r="B1207">
        <f ca="1">IF(OR(changes[[#This Row],[Type]]="Checklist",changes[[#This Row],[Type]]="checklist-flat"),1+IF(changes[[#This Row],[Type of change]] = "Edit",COUNTIFS($I$4:changes[[#This Row],[Name]],changes[[#This Row],[Name]], $E$4:changes[[#This Row],[Type of change]], "Edit")),B1206)</f>
        <v>1</v>
      </c>
      <c r="C1207" s="16">
        <v>44641</v>
      </c>
      <c r="D1207" s="1" t="s">
        <v>2401</v>
      </c>
      <c r="E1207" t="s">
        <v>27</v>
      </c>
      <c r="F1207" s="10" t="s">
        <v>9</v>
      </c>
      <c r="G1207" t="s">
        <v>1323</v>
      </c>
      <c r="H1207" t="s">
        <v>55</v>
      </c>
      <c r="I1207" t="s">
        <v>1328</v>
      </c>
      <c r="K1207" s="2"/>
      <c r="M1207" t="s">
        <v>2745</v>
      </c>
    </row>
    <row r="1208" spans="1:13">
      <c r="A1208" t="s">
        <v>28</v>
      </c>
      <c r="B1208">
        <f ca="1">IF(OR(changes[[#This Row],[Type]]="Checklist",changes[[#This Row],[Type]]="checklist-flat"),1+IF(changes[[#This Row],[Type of change]] = "Edit",COUNTIFS($I$4:changes[[#This Row],[Name]],changes[[#This Row],[Name]], $E$4:changes[[#This Row],[Type of change]], "Edit")),B1207)</f>
        <v>1</v>
      </c>
      <c r="C1208" s="16">
        <v>44641</v>
      </c>
      <c r="D1208" s="1" t="s">
        <v>2401</v>
      </c>
      <c r="E1208" t="s">
        <v>27</v>
      </c>
      <c r="F1208" s="10" t="s">
        <v>9</v>
      </c>
      <c r="G1208" t="s">
        <v>1323</v>
      </c>
      <c r="H1208" t="s">
        <v>55</v>
      </c>
      <c r="I1208" t="s">
        <v>1329</v>
      </c>
      <c r="K1208" s="2"/>
      <c r="M1208" t="s">
        <v>2745</v>
      </c>
    </row>
    <row r="1209" spans="1:13">
      <c r="A1209" t="s">
        <v>28</v>
      </c>
      <c r="B1209">
        <f ca="1">IF(OR(changes[[#This Row],[Type]]="Checklist",changes[[#This Row],[Type]]="checklist-flat"),1+IF(changes[[#This Row],[Type of change]] = "Edit",COUNTIFS($I$4:changes[[#This Row],[Name]],changes[[#This Row],[Name]], $E$4:changes[[#This Row],[Type of change]], "Edit")),B1208)</f>
        <v>1</v>
      </c>
      <c r="C1209" s="16">
        <v>44641</v>
      </c>
      <c r="D1209" s="1" t="s">
        <v>2401</v>
      </c>
      <c r="E1209" t="s">
        <v>27</v>
      </c>
      <c r="F1209" s="10" t="s">
        <v>9</v>
      </c>
      <c r="G1209" t="s">
        <v>1323</v>
      </c>
      <c r="H1209" t="s">
        <v>55</v>
      </c>
      <c r="I1209" t="s">
        <v>1330</v>
      </c>
      <c r="K1209" s="2"/>
      <c r="M1209" t="s">
        <v>2745</v>
      </c>
    </row>
    <row r="1210" spans="1:13">
      <c r="A1210" t="s">
        <v>28</v>
      </c>
      <c r="B1210">
        <f ca="1">IF(OR(changes[[#This Row],[Type]]="Checklist",changes[[#This Row],[Type]]="checklist-flat"),1+IF(changes[[#This Row],[Type of change]] = "Edit",COUNTIFS($I$4:changes[[#This Row],[Name]],changes[[#This Row],[Name]], $E$4:changes[[#This Row],[Type of change]], "Edit")),B1209)</f>
        <v>1</v>
      </c>
      <c r="C1210" s="16">
        <v>44641</v>
      </c>
      <c r="D1210" s="1" t="s">
        <v>2401</v>
      </c>
      <c r="E1210" t="s">
        <v>27</v>
      </c>
      <c r="F1210" s="10" t="s">
        <v>9</v>
      </c>
      <c r="G1210" t="s">
        <v>1323</v>
      </c>
      <c r="H1210" t="s">
        <v>55</v>
      </c>
      <c r="I1210" t="s">
        <v>1280</v>
      </c>
      <c r="K1210" s="2"/>
      <c r="M1210" t="s">
        <v>2745</v>
      </c>
    </row>
    <row r="1211" spans="1:13">
      <c r="A1211" t="s">
        <v>28</v>
      </c>
      <c r="B1211">
        <f ca="1">IF(OR(changes[[#This Row],[Type]]="Checklist",changes[[#This Row],[Type]]="checklist-flat"),1+IF(changes[[#This Row],[Type of change]] = "Edit",COUNTIFS($I$4:changes[[#This Row],[Name]],changes[[#This Row],[Name]], $E$4:changes[[#This Row],[Type of change]], "Edit")),B1210)</f>
        <v>1</v>
      </c>
      <c r="C1211" s="16">
        <v>44641</v>
      </c>
      <c r="D1211" s="1" t="s">
        <v>2401</v>
      </c>
      <c r="E1211" t="s">
        <v>27</v>
      </c>
      <c r="F1211" s="10" t="s">
        <v>9</v>
      </c>
      <c r="G1211" t="s">
        <v>1274</v>
      </c>
      <c r="H1211" t="s">
        <v>47</v>
      </c>
      <c r="I1211" t="s">
        <v>1274</v>
      </c>
      <c r="K1211" s="2"/>
      <c r="M1211" t="s">
        <v>2745</v>
      </c>
    </row>
    <row r="1212" spans="1:13">
      <c r="A1212" t="s">
        <v>28</v>
      </c>
      <c r="B1212">
        <f ca="1">IF(OR(changes[[#This Row],[Type]]="Checklist",changes[[#This Row],[Type]]="checklist-flat"),1+IF(changes[[#This Row],[Type of change]] = "Edit",COUNTIFS($I$4:changes[[#This Row],[Name]],changes[[#This Row],[Name]], $E$4:changes[[#This Row],[Type of change]], "Edit")),B1211)</f>
        <v>1</v>
      </c>
      <c r="C1212" s="16">
        <v>44641</v>
      </c>
      <c r="D1212" s="1" t="s">
        <v>2401</v>
      </c>
      <c r="E1212" t="s">
        <v>27</v>
      </c>
      <c r="F1212" s="10" t="s">
        <v>9</v>
      </c>
      <c r="G1212" t="s">
        <v>1274</v>
      </c>
      <c r="H1212" t="s">
        <v>55</v>
      </c>
      <c r="I1212" t="s">
        <v>1275</v>
      </c>
      <c r="K1212" s="2"/>
      <c r="M1212" t="s">
        <v>2745</v>
      </c>
    </row>
    <row r="1213" spans="1:13">
      <c r="A1213" t="s">
        <v>28</v>
      </c>
      <c r="B1213">
        <f ca="1">IF(OR(changes[[#This Row],[Type]]="Checklist",changes[[#This Row],[Type]]="checklist-flat"),1+IF(changes[[#This Row],[Type of change]] = "Edit",COUNTIFS($I$4:changes[[#This Row],[Name]],changes[[#This Row],[Name]], $E$4:changes[[#This Row],[Type of change]], "Edit")),B1212)</f>
        <v>1</v>
      </c>
      <c r="C1213" s="16">
        <v>44641</v>
      </c>
      <c r="D1213" s="1" t="s">
        <v>2401</v>
      </c>
      <c r="E1213" t="s">
        <v>27</v>
      </c>
      <c r="F1213" s="10" t="s">
        <v>9</v>
      </c>
      <c r="G1213" t="s">
        <v>1274</v>
      </c>
      <c r="H1213" t="s">
        <v>55</v>
      </c>
      <c r="I1213" t="s">
        <v>1276</v>
      </c>
      <c r="K1213" s="2"/>
      <c r="M1213" t="s">
        <v>2745</v>
      </c>
    </row>
    <row r="1214" spans="1:13">
      <c r="A1214" t="s">
        <v>28</v>
      </c>
      <c r="B1214">
        <f ca="1">IF(OR(changes[[#This Row],[Type]]="Checklist",changes[[#This Row],[Type]]="checklist-flat"),1+IF(changes[[#This Row],[Type of change]] = "Edit",COUNTIFS($I$4:changes[[#This Row],[Name]],changes[[#This Row],[Name]], $E$4:changes[[#This Row],[Type of change]], "Edit")),B1213)</f>
        <v>1</v>
      </c>
      <c r="C1214" s="16">
        <v>44641</v>
      </c>
      <c r="D1214" s="1" t="s">
        <v>2401</v>
      </c>
      <c r="E1214" t="s">
        <v>27</v>
      </c>
      <c r="F1214" s="10" t="s">
        <v>9</v>
      </c>
      <c r="G1214" t="s">
        <v>1274</v>
      </c>
      <c r="H1214" t="s">
        <v>55</v>
      </c>
      <c r="I1214" t="s">
        <v>1277</v>
      </c>
      <c r="K1214" s="2"/>
      <c r="M1214" t="s">
        <v>2745</v>
      </c>
    </row>
    <row r="1215" spans="1:13">
      <c r="A1215" t="s">
        <v>28</v>
      </c>
      <c r="B1215">
        <f ca="1">IF(OR(changes[[#This Row],[Type]]="Checklist",changes[[#This Row],[Type]]="checklist-flat"),1+IF(changes[[#This Row],[Type of change]] = "Edit",COUNTIFS($I$4:changes[[#This Row],[Name]],changes[[#This Row],[Name]], $E$4:changes[[#This Row],[Type of change]], "Edit")),B1214)</f>
        <v>1</v>
      </c>
      <c r="C1215" s="16">
        <v>44641</v>
      </c>
      <c r="D1215" s="1" t="s">
        <v>2401</v>
      </c>
      <c r="E1215" t="s">
        <v>27</v>
      </c>
      <c r="F1215" s="10" t="s">
        <v>9</v>
      </c>
      <c r="G1215" t="s">
        <v>1274</v>
      </c>
      <c r="H1215" t="s">
        <v>55</v>
      </c>
      <c r="I1215" t="s">
        <v>1278</v>
      </c>
      <c r="K1215" s="2"/>
      <c r="M1215" t="s">
        <v>2745</v>
      </c>
    </row>
    <row r="1216" spans="1:13">
      <c r="A1216" t="s">
        <v>28</v>
      </c>
      <c r="B1216">
        <f ca="1">IF(OR(changes[[#This Row],[Type]]="Checklist",changes[[#This Row],[Type]]="checklist-flat"),1+IF(changes[[#This Row],[Type of change]] = "Edit",COUNTIFS($I$4:changes[[#This Row],[Name]],changes[[#This Row],[Name]], $E$4:changes[[#This Row],[Type of change]], "Edit")),B1215)</f>
        <v>1</v>
      </c>
      <c r="C1216" s="16">
        <v>44641</v>
      </c>
      <c r="D1216" s="1" t="s">
        <v>2401</v>
      </c>
      <c r="E1216" t="s">
        <v>27</v>
      </c>
      <c r="F1216" s="10" t="s">
        <v>9</v>
      </c>
      <c r="G1216" t="s">
        <v>1274</v>
      </c>
      <c r="H1216" t="s">
        <v>55</v>
      </c>
      <c r="I1216" t="s">
        <v>1279</v>
      </c>
      <c r="K1216" s="2"/>
      <c r="M1216" t="s">
        <v>2745</v>
      </c>
    </row>
    <row r="1217" spans="1:13">
      <c r="A1217" t="s">
        <v>28</v>
      </c>
      <c r="B1217">
        <f ca="1">IF(OR(changes[[#This Row],[Type]]="Checklist",changes[[#This Row],[Type]]="checklist-flat"),1+IF(changes[[#This Row],[Type of change]] = "Edit",COUNTIFS($I$4:changes[[#This Row],[Name]],changes[[#This Row],[Name]], $E$4:changes[[#This Row],[Type of change]], "Edit")),B1216)</f>
        <v>1</v>
      </c>
      <c r="C1217" s="16">
        <v>44641</v>
      </c>
      <c r="D1217" s="1" t="s">
        <v>2401</v>
      </c>
      <c r="E1217" t="s">
        <v>27</v>
      </c>
      <c r="F1217" s="10" t="s">
        <v>9</v>
      </c>
      <c r="G1217" t="s">
        <v>1274</v>
      </c>
      <c r="H1217" t="s">
        <v>55</v>
      </c>
      <c r="I1217" t="s">
        <v>1280</v>
      </c>
      <c r="K1217" s="2"/>
      <c r="M1217" t="s">
        <v>2745</v>
      </c>
    </row>
    <row r="1218" spans="1:13">
      <c r="A1218" t="s">
        <v>28</v>
      </c>
      <c r="B1218">
        <f ca="1">IF(OR(changes[[#This Row],[Type]]="Checklist",changes[[#This Row],[Type]]="checklist-flat"),1+IF(changes[[#This Row],[Type of change]] = "Edit",COUNTIFS($I$4:changes[[#This Row],[Name]],changes[[#This Row],[Name]], $E$4:changes[[#This Row],[Type of change]], "Edit")),B1217)</f>
        <v>1</v>
      </c>
      <c r="C1218" s="16">
        <v>44641</v>
      </c>
      <c r="D1218" s="1" t="s">
        <v>2401</v>
      </c>
      <c r="E1218" t="s">
        <v>27</v>
      </c>
      <c r="F1218" s="10" t="s">
        <v>9</v>
      </c>
      <c r="G1218" t="s">
        <v>1281</v>
      </c>
      <c r="H1218" t="s">
        <v>47</v>
      </c>
      <c r="I1218" t="s">
        <v>1281</v>
      </c>
      <c r="K1218" s="2"/>
      <c r="M1218" t="s">
        <v>2745</v>
      </c>
    </row>
    <row r="1219" spans="1:13">
      <c r="A1219" t="s">
        <v>28</v>
      </c>
      <c r="B1219">
        <f ca="1">IF(OR(changes[[#This Row],[Type]]="Checklist",changes[[#This Row],[Type]]="checklist-flat"),1+IF(changes[[#This Row],[Type of change]] = "Edit",COUNTIFS($I$4:changes[[#This Row],[Name]],changes[[#This Row],[Name]], $E$4:changes[[#This Row],[Type of change]], "Edit")),B1218)</f>
        <v>1</v>
      </c>
      <c r="C1219" s="16">
        <v>44641</v>
      </c>
      <c r="D1219" s="1" t="s">
        <v>2401</v>
      </c>
      <c r="E1219" t="s">
        <v>27</v>
      </c>
      <c r="F1219" s="10" t="s">
        <v>9</v>
      </c>
      <c r="G1219" t="s">
        <v>1281</v>
      </c>
      <c r="H1219" t="s">
        <v>55</v>
      </c>
      <c r="I1219" t="s">
        <v>1282</v>
      </c>
      <c r="K1219" s="2"/>
      <c r="M1219" t="s">
        <v>2745</v>
      </c>
    </row>
    <row r="1220" spans="1:13">
      <c r="A1220" t="s">
        <v>28</v>
      </c>
      <c r="B1220">
        <f ca="1">IF(OR(changes[[#This Row],[Type]]="Checklist",changes[[#This Row],[Type]]="checklist-flat"),1+IF(changes[[#This Row],[Type of change]] = "Edit",COUNTIFS($I$4:changes[[#This Row],[Name]],changes[[#This Row],[Name]], $E$4:changes[[#This Row],[Type of change]], "Edit")),B1219)</f>
        <v>1</v>
      </c>
      <c r="C1220" s="16">
        <v>44641</v>
      </c>
      <c r="D1220" s="1" t="s">
        <v>2401</v>
      </c>
      <c r="E1220" t="s">
        <v>27</v>
      </c>
      <c r="F1220" s="10" t="s">
        <v>9</v>
      </c>
      <c r="G1220" t="s">
        <v>1281</v>
      </c>
      <c r="H1220" t="s">
        <v>55</v>
      </c>
      <c r="I1220" t="s">
        <v>1283</v>
      </c>
      <c r="K1220" s="2"/>
      <c r="M1220" t="s">
        <v>2745</v>
      </c>
    </row>
    <row r="1221" spans="1:13">
      <c r="A1221" t="s">
        <v>28</v>
      </c>
      <c r="B1221">
        <f ca="1">IF(OR(changes[[#This Row],[Type]]="Checklist",changes[[#This Row],[Type]]="checklist-flat"),1+IF(changes[[#This Row],[Type of change]] = "Edit",COUNTIFS($I$4:changes[[#This Row],[Name]],changes[[#This Row],[Name]], $E$4:changes[[#This Row],[Type of change]], "Edit")),B1220)</f>
        <v>1</v>
      </c>
      <c r="C1221" s="16">
        <v>44641</v>
      </c>
      <c r="D1221" s="1" t="s">
        <v>2401</v>
      </c>
      <c r="E1221" t="s">
        <v>27</v>
      </c>
      <c r="F1221" s="10" t="s">
        <v>9</v>
      </c>
      <c r="G1221" t="s">
        <v>1281</v>
      </c>
      <c r="H1221" t="s">
        <v>55</v>
      </c>
      <c r="I1221" t="s">
        <v>1284</v>
      </c>
      <c r="K1221" s="2"/>
      <c r="M1221" t="s">
        <v>2745</v>
      </c>
    </row>
    <row r="1222" spans="1:13">
      <c r="A1222" t="s">
        <v>28</v>
      </c>
      <c r="B1222">
        <f ca="1">IF(OR(changes[[#This Row],[Type]]="Checklist",changes[[#This Row],[Type]]="checklist-flat"),1+IF(changes[[#This Row],[Type of change]] = "Edit",COUNTIFS($I$4:changes[[#This Row],[Name]],changes[[#This Row],[Name]], $E$4:changes[[#This Row],[Type of change]], "Edit")),B1221)</f>
        <v>1</v>
      </c>
      <c r="C1222" s="16">
        <v>44641</v>
      </c>
      <c r="D1222" s="1" t="s">
        <v>2401</v>
      </c>
      <c r="E1222" t="s">
        <v>27</v>
      </c>
      <c r="F1222" s="10" t="s">
        <v>9</v>
      </c>
      <c r="G1222" t="s">
        <v>1281</v>
      </c>
      <c r="H1222" t="s">
        <v>55</v>
      </c>
      <c r="I1222" t="s">
        <v>1285</v>
      </c>
      <c r="K1222" s="2"/>
      <c r="M1222" t="s">
        <v>2745</v>
      </c>
    </row>
    <row r="1223" spans="1:13">
      <c r="A1223" t="s">
        <v>28</v>
      </c>
      <c r="B1223">
        <f ca="1">IF(OR(changes[[#This Row],[Type]]="Checklist",changes[[#This Row],[Type]]="checklist-flat"),1+IF(changes[[#This Row],[Type of change]] = "Edit",COUNTIFS($I$4:changes[[#This Row],[Name]],changes[[#This Row],[Name]], $E$4:changes[[#This Row],[Type of change]], "Edit")),B1222)</f>
        <v>1</v>
      </c>
      <c r="C1223" s="16">
        <v>44641</v>
      </c>
      <c r="D1223" s="1" t="s">
        <v>2401</v>
      </c>
      <c r="E1223" t="s">
        <v>27</v>
      </c>
      <c r="F1223" s="10" t="s">
        <v>9</v>
      </c>
      <c r="G1223" t="s">
        <v>1281</v>
      </c>
      <c r="H1223" t="s">
        <v>55</v>
      </c>
      <c r="I1223" t="s">
        <v>2746</v>
      </c>
      <c r="K1223" s="2"/>
      <c r="M1223" t="s">
        <v>2745</v>
      </c>
    </row>
    <row r="1224" spans="1:13">
      <c r="A1224" t="s">
        <v>28</v>
      </c>
      <c r="B1224">
        <f ca="1">IF(OR(changes[[#This Row],[Type]]="Checklist",changes[[#This Row],[Type]]="checklist-flat"),1+IF(changes[[#This Row],[Type of change]] = "Edit",COUNTIFS($I$4:changes[[#This Row],[Name]],changes[[#This Row],[Name]], $E$4:changes[[#This Row],[Type of change]], "Edit")),B1223)</f>
        <v>1</v>
      </c>
      <c r="C1224" s="16">
        <v>44641</v>
      </c>
      <c r="D1224" s="1" t="s">
        <v>2401</v>
      </c>
      <c r="E1224" t="s">
        <v>27</v>
      </c>
      <c r="F1224" s="10" t="s">
        <v>9</v>
      </c>
      <c r="G1224" t="s">
        <v>1281</v>
      </c>
      <c r="H1224" t="s">
        <v>55</v>
      </c>
      <c r="I1224" t="s">
        <v>1287</v>
      </c>
      <c r="K1224" s="2"/>
      <c r="M1224" t="s">
        <v>2745</v>
      </c>
    </row>
    <row r="1225" spans="1:13">
      <c r="A1225" t="s">
        <v>28</v>
      </c>
      <c r="B1225">
        <f ca="1">IF(OR(changes[[#This Row],[Type]]="Checklist",changes[[#This Row],[Type]]="checklist-flat"),1+IF(changes[[#This Row],[Type of change]] = "Edit",COUNTIFS($I$4:changes[[#This Row],[Name]],changes[[#This Row],[Name]], $E$4:changes[[#This Row],[Type of change]], "Edit")),B1224)</f>
        <v>1</v>
      </c>
      <c r="C1225" s="16">
        <v>44641</v>
      </c>
      <c r="D1225" s="1" t="s">
        <v>2401</v>
      </c>
      <c r="E1225" t="s">
        <v>27</v>
      </c>
      <c r="F1225" s="10" t="s">
        <v>9</v>
      </c>
      <c r="G1225" t="s">
        <v>1281</v>
      </c>
      <c r="H1225" t="s">
        <v>55</v>
      </c>
      <c r="I1225" t="s">
        <v>1288</v>
      </c>
      <c r="K1225" s="2"/>
      <c r="M1225" t="s">
        <v>2745</v>
      </c>
    </row>
    <row r="1226" spans="1:13">
      <c r="A1226" t="s">
        <v>28</v>
      </c>
      <c r="B1226">
        <f ca="1">IF(OR(changes[[#This Row],[Type]]="Checklist",changes[[#This Row],[Type]]="checklist-flat"),1+IF(changes[[#This Row],[Type of change]] = "Edit",COUNTIFS($I$4:changes[[#This Row],[Name]],changes[[#This Row],[Name]], $E$4:changes[[#This Row],[Type of change]], "Edit")),B1225)</f>
        <v>1</v>
      </c>
      <c r="C1226" s="16">
        <v>44641</v>
      </c>
      <c r="D1226" s="1" t="s">
        <v>2401</v>
      </c>
      <c r="E1226" t="s">
        <v>27</v>
      </c>
      <c r="F1226" s="10" t="s">
        <v>9</v>
      </c>
      <c r="G1226" t="s">
        <v>1281</v>
      </c>
      <c r="H1226" t="s">
        <v>55</v>
      </c>
      <c r="I1226" t="s">
        <v>1289</v>
      </c>
      <c r="K1226" s="2"/>
      <c r="M1226" t="s">
        <v>2745</v>
      </c>
    </row>
    <row r="1227" spans="1:13">
      <c r="A1227" t="s">
        <v>28</v>
      </c>
      <c r="B1227">
        <f ca="1">IF(OR(changes[[#This Row],[Type]]="Checklist",changes[[#This Row],[Type]]="checklist-flat"),1+IF(changes[[#This Row],[Type of change]] = "Edit",COUNTIFS($I$4:changes[[#This Row],[Name]],changes[[#This Row],[Name]], $E$4:changes[[#This Row],[Type of change]], "Edit")),B1226)</f>
        <v>1</v>
      </c>
      <c r="C1227" s="16">
        <v>44641</v>
      </c>
      <c r="D1227" s="1" t="s">
        <v>2401</v>
      </c>
      <c r="E1227" t="s">
        <v>27</v>
      </c>
      <c r="F1227" s="10" t="s">
        <v>9</v>
      </c>
      <c r="G1227" t="s">
        <v>1281</v>
      </c>
      <c r="H1227" t="s">
        <v>55</v>
      </c>
      <c r="I1227" t="s">
        <v>1290</v>
      </c>
      <c r="K1227" s="2"/>
      <c r="M1227" t="s">
        <v>2745</v>
      </c>
    </row>
    <row r="1228" spans="1:13">
      <c r="A1228" t="s">
        <v>28</v>
      </c>
      <c r="B1228">
        <f ca="1">IF(OR(changes[[#This Row],[Type]]="Checklist",changes[[#This Row],[Type]]="checklist-flat"),1+IF(changes[[#This Row],[Type of change]] = "Edit",COUNTIFS($I$4:changes[[#This Row],[Name]],changes[[#This Row],[Name]], $E$4:changes[[#This Row],[Type of change]], "Edit")),B1227)</f>
        <v>1</v>
      </c>
      <c r="C1228" s="16">
        <v>44641</v>
      </c>
      <c r="D1228" s="1" t="s">
        <v>2401</v>
      </c>
      <c r="E1228" t="s">
        <v>27</v>
      </c>
      <c r="F1228" s="10" t="s">
        <v>9</v>
      </c>
      <c r="G1228" t="s">
        <v>1281</v>
      </c>
      <c r="H1228" t="s">
        <v>55</v>
      </c>
      <c r="I1228" t="s">
        <v>1291</v>
      </c>
      <c r="K1228" s="2"/>
      <c r="M1228" t="s">
        <v>2745</v>
      </c>
    </row>
    <row r="1229" spans="1:13">
      <c r="A1229" t="s">
        <v>28</v>
      </c>
      <c r="B1229">
        <f ca="1">IF(OR(changes[[#This Row],[Type]]="Checklist",changes[[#This Row],[Type]]="checklist-flat"),1+IF(changes[[#This Row],[Type of change]] = "Edit",COUNTIFS($I$4:changes[[#This Row],[Name]],changes[[#This Row],[Name]], $E$4:changes[[#This Row],[Type of change]], "Edit")),B1228)</f>
        <v>1</v>
      </c>
      <c r="C1229" s="16">
        <v>44641</v>
      </c>
      <c r="D1229" s="1" t="s">
        <v>2401</v>
      </c>
      <c r="E1229" t="s">
        <v>27</v>
      </c>
      <c r="F1229" s="10" t="s">
        <v>9</v>
      </c>
      <c r="G1229" t="s">
        <v>1292</v>
      </c>
      <c r="H1229" t="s">
        <v>47</v>
      </c>
      <c r="I1229" t="s">
        <v>1292</v>
      </c>
      <c r="K1229" s="2"/>
      <c r="M1229" t="s">
        <v>2745</v>
      </c>
    </row>
    <row r="1230" spans="1:13">
      <c r="A1230" t="s">
        <v>28</v>
      </c>
      <c r="B1230">
        <f ca="1">IF(OR(changes[[#This Row],[Type]]="Checklist",changes[[#This Row],[Type]]="checklist-flat"),1+IF(changes[[#This Row],[Type of change]] = "Edit",COUNTIFS($I$4:changes[[#This Row],[Name]],changes[[#This Row],[Name]], $E$4:changes[[#This Row],[Type of change]], "Edit")),B1229)</f>
        <v>1</v>
      </c>
      <c r="C1230" s="16">
        <v>44641</v>
      </c>
      <c r="D1230" s="1" t="s">
        <v>2401</v>
      </c>
      <c r="E1230" t="s">
        <v>27</v>
      </c>
      <c r="F1230" s="10" t="s">
        <v>9</v>
      </c>
      <c r="G1230" t="s">
        <v>1292</v>
      </c>
      <c r="H1230" t="s">
        <v>55</v>
      </c>
      <c r="I1230" t="s">
        <v>1293</v>
      </c>
      <c r="K1230" s="2"/>
      <c r="M1230" t="s">
        <v>2745</v>
      </c>
    </row>
    <row r="1231" spans="1:13">
      <c r="A1231" t="s">
        <v>28</v>
      </c>
      <c r="B1231">
        <f ca="1">IF(OR(changes[[#This Row],[Type]]="Checklist",changes[[#This Row],[Type]]="checklist-flat"),1+IF(changes[[#This Row],[Type of change]] = "Edit",COUNTIFS($I$4:changes[[#This Row],[Name]],changes[[#This Row],[Name]], $E$4:changes[[#This Row],[Type of change]], "Edit")),B1230)</f>
        <v>1</v>
      </c>
      <c r="C1231" s="16">
        <v>44641</v>
      </c>
      <c r="D1231" s="1" t="s">
        <v>2401</v>
      </c>
      <c r="E1231" t="s">
        <v>27</v>
      </c>
      <c r="F1231" s="10" t="s">
        <v>9</v>
      </c>
      <c r="G1231" t="s">
        <v>1292</v>
      </c>
      <c r="H1231" t="s">
        <v>55</v>
      </c>
      <c r="I1231" t="s">
        <v>1294</v>
      </c>
      <c r="K1231" s="2"/>
      <c r="M1231" t="s">
        <v>2745</v>
      </c>
    </row>
    <row r="1232" spans="1:13">
      <c r="A1232" t="s">
        <v>28</v>
      </c>
      <c r="B1232">
        <f ca="1">IF(OR(changes[[#This Row],[Type]]="Checklist",changes[[#This Row],[Type]]="checklist-flat"),1+IF(changes[[#This Row],[Type of change]] = "Edit",COUNTIFS($I$4:changes[[#This Row],[Name]],changes[[#This Row],[Name]], $E$4:changes[[#This Row],[Type of change]], "Edit")),B1231)</f>
        <v>1</v>
      </c>
      <c r="C1232" s="16">
        <v>44641</v>
      </c>
      <c r="D1232" s="1" t="s">
        <v>2401</v>
      </c>
      <c r="E1232" t="s">
        <v>27</v>
      </c>
      <c r="F1232" s="10" t="s">
        <v>9</v>
      </c>
      <c r="G1232" t="s">
        <v>1292</v>
      </c>
      <c r="H1232" t="s">
        <v>55</v>
      </c>
      <c r="I1232" t="s">
        <v>1295</v>
      </c>
      <c r="K1232" s="2"/>
      <c r="M1232" t="s">
        <v>2745</v>
      </c>
    </row>
    <row r="1233" spans="1:13">
      <c r="A1233" t="s">
        <v>28</v>
      </c>
      <c r="B1233">
        <f ca="1">IF(OR(changes[[#This Row],[Type]]="Checklist",changes[[#This Row],[Type]]="checklist-flat"),1+IF(changes[[#This Row],[Type of change]] = "Edit",COUNTIFS($I$4:changes[[#This Row],[Name]],changes[[#This Row],[Name]], $E$4:changes[[#This Row],[Type of change]], "Edit")),B1232)</f>
        <v>1</v>
      </c>
      <c r="C1233" s="16">
        <v>44641</v>
      </c>
      <c r="D1233" s="1" t="s">
        <v>2401</v>
      </c>
      <c r="E1233" t="s">
        <v>27</v>
      </c>
      <c r="F1233" s="10" t="s">
        <v>9</v>
      </c>
      <c r="G1233" t="s">
        <v>1292</v>
      </c>
      <c r="H1233" t="s">
        <v>55</v>
      </c>
      <c r="I1233" t="s">
        <v>1296</v>
      </c>
      <c r="K1233" s="2"/>
      <c r="M1233" t="s">
        <v>2745</v>
      </c>
    </row>
    <row r="1234" spans="1:13">
      <c r="A1234" t="s">
        <v>28</v>
      </c>
      <c r="B1234">
        <f ca="1">IF(OR(changes[[#This Row],[Type]]="Checklist",changes[[#This Row],[Type]]="checklist-flat"),1+IF(changes[[#This Row],[Type of change]] = "Edit",COUNTIFS($I$4:changes[[#This Row],[Name]],changes[[#This Row],[Name]], $E$4:changes[[#This Row],[Type of change]], "Edit")),B1233)</f>
        <v>1</v>
      </c>
      <c r="C1234" s="16">
        <v>44641</v>
      </c>
      <c r="D1234" s="1" t="s">
        <v>2401</v>
      </c>
      <c r="E1234" t="s">
        <v>27</v>
      </c>
      <c r="F1234" s="10" t="s">
        <v>9</v>
      </c>
      <c r="G1234" t="s">
        <v>2747</v>
      </c>
      <c r="H1234" t="s">
        <v>47</v>
      </c>
      <c r="I1234" t="s">
        <v>2747</v>
      </c>
      <c r="K1234" s="2"/>
      <c r="M1234" t="s">
        <v>2745</v>
      </c>
    </row>
    <row r="1235" spans="1:13">
      <c r="A1235" t="s">
        <v>28</v>
      </c>
      <c r="B1235">
        <f ca="1">IF(OR(changes[[#This Row],[Type]]="Checklist",changes[[#This Row],[Type]]="checklist-flat"),1+IF(changes[[#This Row],[Type of change]] = "Edit",COUNTIFS($I$4:changes[[#This Row],[Name]],changes[[#This Row],[Name]], $E$4:changes[[#This Row],[Type of change]], "Edit")),B1234)</f>
        <v>1</v>
      </c>
      <c r="C1235" s="16">
        <v>44641</v>
      </c>
      <c r="D1235" s="1" t="s">
        <v>2401</v>
      </c>
      <c r="E1235" t="s">
        <v>27</v>
      </c>
      <c r="F1235" s="10" t="s">
        <v>9</v>
      </c>
      <c r="G1235" t="s">
        <v>2747</v>
      </c>
      <c r="H1235" t="s">
        <v>55</v>
      </c>
      <c r="I1235" t="s">
        <v>1298</v>
      </c>
      <c r="K1235" s="2"/>
      <c r="M1235" t="s">
        <v>2745</v>
      </c>
    </row>
    <row r="1236" spans="1:13">
      <c r="A1236" t="s">
        <v>28</v>
      </c>
      <c r="B1236">
        <f ca="1">IF(OR(changes[[#This Row],[Type]]="Checklist",changes[[#This Row],[Type]]="checklist-flat"),1+IF(changes[[#This Row],[Type of change]] = "Edit",COUNTIFS($I$4:changes[[#This Row],[Name]],changes[[#This Row],[Name]], $E$4:changes[[#This Row],[Type of change]], "Edit")),B1235)</f>
        <v>1</v>
      </c>
      <c r="C1236" s="16">
        <v>44641</v>
      </c>
      <c r="D1236" s="1" t="s">
        <v>2401</v>
      </c>
      <c r="E1236" t="s">
        <v>27</v>
      </c>
      <c r="F1236" s="10" t="s">
        <v>9</v>
      </c>
      <c r="G1236" t="s">
        <v>2747</v>
      </c>
      <c r="H1236" t="s">
        <v>55</v>
      </c>
      <c r="I1236" t="s">
        <v>1299</v>
      </c>
      <c r="K1236" s="2"/>
      <c r="M1236" t="s">
        <v>2745</v>
      </c>
    </row>
    <row r="1237" spans="1:13">
      <c r="A1237" t="s">
        <v>28</v>
      </c>
      <c r="B1237">
        <f ca="1">IF(OR(changes[[#This Row],[Type]]="Checklist",changes[[#This Row],[Type]]="checklist-flat"),1+IF(changes[[#This Row],[Type of change]] = "Edit",COUNTIFS($I$4:changes[[#This Row],[Name]],changes[[#This Row],[Name]], $E$4:changes[[#This Row],[Type of change]], "Edit")),B1236)</f>
        <v>1</v>
      </c>
      <c r="C1237" s="16">
        <v>44641</v>
      </c>
      <c r="D1237" s="1" t="s">
        <v>2401</v>
      </c>
      <c r="E1237" t="s">
        <v>27</v>
      </c>
      <c r="F1237" s="10" t="s">
        <v>9</v>
      </c>
      <c r="G1237" t="s">
        <v>2747</v>
      </c>
      <c r="H1237" t="s">
        <v>55</v>
      </c>
      <c r="I1237" t="s">
        <v>1300</v>
      </c>
      <c r="K1237" s="2"/>
      <c r="M1237" t="s">
        <v>2745</v>
      </c>
    </row>
    <row r="1238" spans="1:13">
      <c r="A1238" t="s">
        <v>28</v>
      </c>
      <c r="B1238">
        <f ca="1">IF(OR(changes[[#This Row],[Type]]="Checklist",changes[[#This Row],[Type]]="checklist-flat"),1+IF(changes[[#This Row],[Type of change]] = "Edit",COUNTIFS($I$4:changes[[#This Row],[Name]],changes[[#This Row],[Name]], $E$4:changes[[#This Row],[Type of change]], "Edit")),B1237)</f>
        <v>1</v>
      </c>
      <c r="C1238" s="16">
        <v>44641</v>
      </c>
      <c r="D1238" s="1" t="s">
        <v>2401</v>
      </c>
      <c r="E1238" t="s">
        <v>27</v>
      </c>
      <c r="F1238" s="10" t="s">
        <v>9</v>
      </c>
      <c r="G1238" t="s">
        <v>2747</v>
      </c>
      <c r="H1238" t="s">
        <v>55</v>
      </c>
      <c r="I1238" t="s">
        <v>1301</v>
      </c>
      <c r="K1238" s="2"/>
      <c r="M1238" t="s">
        <v>2745</v>
      </c>
    </row>
    <row r="1239" spans="1:13">
      <c r="A1239" t="s">
        <v>28</v>
      </c>
      <c r="B1239">
        <f ca="1">IF(OR(changes[[#This Row],[Type]]="Checklist",changes[[#This Row],[Type]]="checklist-flat"),1+IF(changes[[#This Row],[Type of change]] = "Edit",COUNTIFS($I$4:changes[[#This Row],[Name]],changes[[#This Row],[Name]], $E$4:changes[[#This Row],[Type of change]], "Edit")),B1238)</f>
        <v>1</v>
      </c>
      <c r="C1239" s="16">
        <v>44641</v>
      </c>
      <c r="D1239" s="1" t="s">
        <v>2401</v>
      </c>
      <c r="E1239" t="s">
        <v>27</v>
      </c>
      <c r="F1239" s="10" t="s">
        <v>9</v>
      </c>
      <c r="G1239" t="s">
        <v>2747</v>
      </c>
      <c r="H1239" t="s">
        <v>55</v>
      </c>
      <c r="I1239" t="s">
        <v>1302</v>
      </c>
      <c r="K1239" s="2"/>
      <c r="M1239" t="s">
        <v>2745</v>
      </c>
    </row>
    <row r="1240" spans="1:13">
      <c r="A1240" t="s">
        <v>28</v>
      </c>
      <c r="B1240">
        <f ca="1">IF(OR(changes[[#This Row],[Type]]="Checklist",changes[[#This Row],[Type]]="checklist-flat"),1+IF(changes[[#This Row],[Type of change]] = "Edit",COUNTIFS($I$4:changes[[#This Row],[Name]],changes[[#This Row],[Name]], $E$4:changes[[#This Row],[Type of change]], "Edit")),B1239)</f>
        <v>1</v>
      </c>
      <c r="C1240" s="16">
        <v>44641</v>
      </c>
      <c r="D1240" s="1" t="s">
        <v>2401</v>
      </c>
      <c r="E1240" t="s">
        <v>27</v>
      </c>
      <c r="F1240" s="10" t="s">
        <v>9</v>
      </c>
      <c r="G1240" t="s">
        <v>2747</v>
      </c>
      <c r="H1240" t="s">
        <v>55</v>
      </c>
      <c r="I1240" t="s">
        <v>2748</v>
      </c>
      <c r="K1240" s="2"/>
      <c r="M1240" t="s">
        <v>2745</v>
      </c>
    </row>
    <row r="1241" spans="1:13">
      <c r="A1241" t="s">
        <v>28</v>
      </c>
      <c r="B1241">
        <f ca="1">IF(OR(changes[[#This Row],[Type]]="Checklist",changes[[#This Row],[Type]]="checklist-flat"),1+IF(changes[[#This Row],[Type of change]] = "Edit",COUNTIFS($I$4:changes[[#This Row],[Name]],changes[[#This Row],[Name]], $E$4:changes[[#This Row],[Type of change]], "Edit")),B1240)</f>
        <v>1</v>
      </c>
      <c r="C1241" s="16">
        <v>44641</v>
      </c>
      <c r="D1241" s="1" t="s">
        <v>2401</v>
      </c>
      <c r="E1241" t="s">
        <v>27</v>
      </c>
      <c r="F1241" s="10" t="s">
        <v>9</v>
      </c>
      <c r="G1241" t="s">
        <v>2747</v>
      </c>
      <c r="H1241" t="s">
        <v>55</v>
      </c>
      <c r="I1241" t="s">
        <v>1296</v>
      </c>
      <c r="K1241" s="2"/>
      <c r="M1241" t="s">
        <v>2745</v>
      </c>
    </row>
    <row r="1242" spans="1:13">
      <c r="A1242" t="s">
        <v>28</v>
      </c>
      <c r="B1242">
        <f ca="1">IF(OR(changes[[#This Row],[Type]]="Checklist",changes[[#This Row],[Type]]="checklist-flat"),1+IF(changes[[#This Row],[Type of change]] = "Edit",COUNTIFS($I$4:changes[[#This Row],[Name]],changes[[#This Row],[Name]], $E$4:changes[[#This Row],[Type of change]], "Edit")),B1241)</f>
        <v>1</v>
      </c>
      <c r="C1242" s="16">
        <v>44641</v>
      </c>
      <c r="D1242" s="1" t="s">
        <v>2401</v>
      </c>
      <c r="E1242" t="s">
        <v>27</v>
      </c>
      <c r="F1242" s="10" t="s">
        <v>9</v>
      </c>
      <c r="G1242" t="s">
        <v>1304</v>
      </c>
      <c r="H1242" t="s">
        <v>47</v>
      </c>
      <c r="I1242" t="s">
        <v>1304</v>
      </c>
      <c r="K1242" s="2"/>
      <c r="M1242" t="s">
        <v>2745</v>
      </c>
    </row>
    <row r="1243" spans="1:13">
      <c r="A1243" t="s">
        <v>28</v>
      </c>
      <c r="B1243">
        <f ca="1">IF(OR(changes[[#This Row],[Type]]="Checklist",changes[[#This Row],[Type]]="checklist-flat"),1+IF(changes[[#This Row],[Type of change]] = "Edit",COUNTIFS($I$4:changes[[#This Row],[Name]],changes[[#This Row],[Name]], $E$4:changes[[#This Row],[Type of change]], "Edit")),B1242)</f>
        <v>1</v>
      </c>
      <c r="C1243" s="16">
        <v>44641</v>
      </c>
      <c r="D1243" s="1" t="s">
        <v>2401</v>
      </c>
      <c r="E1243" t="s">
        <v>27</v>
      </c>
      <c r="F1243" s="10" t="s">
        <v>9</v>
      </c>
      <c r="G1243" t="s">
        <v>1304</v>
      </c>
      <c r="H1243" t="s">
        <v>55</v>
      </c>
      <c r="I1243" t="s">
        <v>1305</v>
      </c>
      <c r="K1243" s="2"/>
      <c r="M1243" t="s">
        <v>2745</v>
      </c>
    </row>
    <row r="1244" spans="1:13">
      <c r="A1244" t="s">
        <v>28</v>
      </c>
      <c r="B1244">
        <f ca="1">IF(OR(changes[[#This Row],[Type]]="Checklist",changes[[#This Row],[Type]]="checklist-flat"),1+IF(changes[[#This Row],[Type of change]] = "Edit",COUNTIFS($I$4:changes[[#This Row],[Name]],changes[[#This Row],[Name]], $E$4:changes[[#This Row],[Type of change]], "Edit")),B1243)</f>
        <v>1</v>
      </c>
      <c r="C1244" s="16">
        <v>44641</v>
      </c>
      <c r="D1244" s="1" t="s">
        <v>2401</v>
      </c>
      <c r="E1244" t="s">
        <v>27</v>
      </c>
      <c r="F1244" s="10" t="s">
        <v>9</v>
      </c>
      <c r="G1244" t="s">
        <v>1304</v>
      </c>
      <c r="H1244" t="s">
        <v>55</v>
      </c>
      <c r="I1244" t="s">
        <v>1306</v>
      </c>
      <c r="K1244" s="2"/>
      <c r="M1244" t="s">
        <v>2745</v>
      </c>
    </row>
    <row r="1245" spans="1:13">
      <c r="A1245" t="s">
        <v>28</v>
      </c>
      <c r="B1245">
        <f ca="1">IF(OR(changes[[#This Row],[Type]]="Checklist",changes[[#This Row],[Type]]="checklist-flat"),1+IF(changes[[#This Row],[Type of change]] = "Edit",COUNTIFS($I$4:changes[[#This Row],[Name]],changes[[#This Row],[Name]], $E$4:changes[[#This Row],[Type of change]], "Edit")),B1244)</f>
        <v>1</v>
      </c>
      <c r="C1245" s="16">
        <v>44641</v>
      </c>
      <c r="D1245" s="1" t="s">
        <v>2401</v>
      </c>
      <c r="E1245" t="s">
        <v>27</v>
      </c>
      <c r="F1245" s="10" t="s">
        <v>9</v>
      </c>
      <c r="G1245" t="s">
        <v>1304</v>
      </c>
      <c r="H1245" t="s">
        <v>55</v>
      </c>
      <c r="I1245" t="s">
        <v>1307</v>
      </c>
      <c r="K1245" s="2"/>
      <c r="M1245" t="s">
        <v>2745</v>
      </c>
    </row>
    <row r="1246" spans="1:13">
      <c r="A1246" t="s">
        <v>28</v>
      </c>
      <c r="B1246">
        <f ca="1">IF(OR(changes[[#This Row],[Type]]="Checklist",changes[[#This Row],[Type]]="checklist-flat"),1+IF(changes[[#This Row],[Type of change]] = "Edit",COUNTIFS($I$4:changes[[#This Row],[Name]],changes[[#This Row],[Name]], $E$4:changes[[#This Row],[Type of change]], "Edit")),B1245)</f>
        <v>1</v>
      </c>
      <c r="C1246" s="16">
        <v>44641</v>
      </c>
      <c r="D1246" s="1" t="s">
        <v>2401</v>
      </c>
      <c r="E1246" t="s">
        <v>27</v>
      </c>
      <c r="F1246" s="10" t="s">
        <v>9</v>
      </c>
      <c r="G1246" t="s">
        <v>1304</v>
      </c>
      <c r="H1246" t="s">
        <v>55</v>
      </c>
      <c r="I1246" t="s">
        <v>1308</v>
      </c>
      <c r="K1246" s="2"/>
      <c r="M1246" t="s">
        <v>2745</v>
      </c>
    </row>
    <row r="1247" spans="1:13">
      <c r="A1247" t="s">
        <v>28</v>
      </c>
      <c r="B1247">
        <f ca="1">IF(OR(changes[[#This Row],[Type]]="Checklist",changes[[#This Row],[Type]]="checklist-flat"),1+IF(changes[[#This Row],[Type of change]] = "Edit",COUNTIFS($I$4:changes[[#This Row],[Name]],changes[[#This Row],[Name]], $E$4:changes[[#This Row],[Type of change]], "Edit")),B1246)</f>
        <v>1</v>
      </c>
      <c r="C1247" s="16">
        <v>44641</v>
      </c>
      <c r="D1247" s="1" t="s">
        <v>2401</v>
      </c>
      <c r="E1247" t="s">
        <v>27</v>
      </c>
      <c r="F1247" s="10" t="s">
        <v>9</v>
      </c>
      <c r="G1247" t="s">
        <v>1304</v>
      </c>
      <c r="H1247" t="s">
        <v>55</v>
      </c>
      <c r="I1247" t="s">
        <v>1309</v>
      </c>
      <c r="K1247" s="2"/>
      <c r="M1247" t="s">
        <v>2745</v>
      </c>
    </row>
    <row r="1248" spans="1:13">
      <c r="A1248" t="s">
        <v>28</v>
      </c>
      <c r="B1248">
        <f ca="1">IF(OR(changes[[#This Row],[Type]]="Checklist",changes[[#This Row],[Type]]="checklist-flat"),1+IF(changes[[#This Row],[Type of change]] = "Edit",COUNTIFS($I$4:changes[[#This Row],[Name]],changes[[#This Row],[Name]], $E$4:changes[[#This Row],[Type of change]], "Edit")),B1247)</f>
        <v>1</v>
      </c>
      <c r="C1248" s="16">
        <v>44641</v>
      </c>
      <c r="D1248" s="1" t="s">
        <v>2401</v>
      </c>
      <c r="E1248" t="s">
        <v>27</v>
      </c>
      <c r="F1248" s="10" t="s">
        <v>9</v>
      </c>
      <c r="G1248" t="s">
        <v>1304</v>
      </c>
      <c r="H1248" t="s">
        <v>55</v>
      </c>
      <c r="I1248" t="s">
        <v>1310</v>
      </c>
      <c r="K1248" s="2"/>
      <c r="M1248" t="s">
        <v>2745</v>
      </c>
    </row>
    <row r="1249" spans="1:13">
      <c r="A1249" t="s">
        <v>28</v>
      </c>
      <c r="B1249">
        <f ca="1">IF(OR(changes[[#This Row],[Type]]="Checklist",changes[[#This Row],[Type]]="checklist-flat"),1+IF(changes[[#This Row],[Type of change]] = "Edit",COUNTIFS($I$4:changes[[#This Row],[Name]],changes[[#This Row],[Name]], $E$4:changes[[#This Row],[Type of change]], "Edit")),B1248)</f>
        <v>1</v>
      </c>
      <c r="C1249" s="16">
        <v>44641</v>
      </c>
      <c r="D1249" s="1" t="s">
        <v>2401</v>
      </c>
      <c r="E1249" t="s">
        <v>27</v>
      </c>
      <c r="F1249" s="10" t="s">
        <v>9</v>
      </c>
      <c r="G1249" t="s">
        <v>1304</v>
      </c>
      <c r="H1249" t="s">
        <v>55</v>
      </c>
      <c r="I1249" t="s">
        <v>1311</v>
      </c>
      <c r="K1249" s="2"/>
      <c r="M1249" t="s">
        <v>2745</v>
      </c>
    </row>
    <row r="1250" spans="1:13">
      <c r="A1250" t="s">
        <v>28</v>
      </c>
      <c r="B1250">
        <f ca="1">IF(OR(changes[[#This Row],[Type]]="Checklist",changes[[#This Row],[Type]]="checklist-flat"),1+IF(changes[[#This Row],[Type of change]] = "Edit",COUNTIFS($I$4:changes[[#This Row],[Name]],changes[[#This Row],[Name]], $E$4:changes[[#This Row],[Type of change]], "Edit")),B1249)</f>
        <v>1</v>
      </c>
      <c r="C1250" s="16">
        <v>44641</v>
      </c>
      <c r="D1250" s="1" t="s">
        <v>2401</v>
      </c>
      <c r="E1250" t="s">
        <v>27</v>
      </c>
      <c r="F1250" s="10" t="s">
        <v>9</v>
      </c>
      <c r="G1250" t="s">
        <v>1304</v>
      </c>
      <c r="H1250" t="s">
        <v>55</v>
      </c>
      <c r="I1250" t="s">
        <v>1312</v>
      </c>
      <c r="K1250" s="2"/>
      <c r="M1250" t="s">
        <v>2745</v>
      </c>
    </row>
    <row r="1251" spans="1:13">
      <c r="A1251" t="s">
        <v>28</v>
      </c>
      <c r="B1251">
        <f ca="1">IF(OR(changes[[#This Row],[Type]]="Checklist",changes[[#This Row],[Type]]="checklist-flat"),1+IF(changes[[#This Row],[Type of change]] = "Edit",COUNTIFS($I$4:changes[[#This Row],[Name]],changes[[#This Row],[Name]], $E$4:changes[[#This Row],[Type of change]], "Edit")),B1250)</f>
        <v>1</v>
      </c>
      <c r="C1251" s="16">
        <v>44641</v>
      </c>
      <c r="D1251" s="1" t="s">
        <v>2401</v>
      </c>
      <c r="E1251" t="s">
        <v>27</v>
      </c>
      <c r="F1251" s="10" t="s">
        <v>9</v>
      </c>
      <c r="G1251" t="s">
        <v>1304</v>
      </c>
      <c r="H1251" t="s">
        <v>55</v>
      </c>
      <c r="I1251" t="s">
        <v>1313</v>
      </c>
      <c r="K1251" s="2"/>
      <c r="M1251" t="s">
        <v>2745</v>
      </c>
    </row>
    <row r="1252" spans="1:13">
      <c r="A1252" t="s">
        <v>28</v>
      </c>
      <c r="B1252">
        <f ca="1">IF(OR(changes[[#This Row],[Type]]="Checklist",changes[[#This Row],[Type]]="checklist-flat"),1+IF(changes[[#This Row],[Type of change]] = "Edit",COUNTIFS($I$4:changes[[#This Row],[Name]],changes[[#This Row],[Name]], $E$4:changes[[#This Row],[Type of change]], "Edit")),B1251)</f>
        <v>1</v>
      </c>
      <c r="C1252" s="16">
        <v>44641</v>
      </c>
      <c r="D1252" s="1" t="s">
        <v>2401</v>
      </c>
      <c r="E1252" t="s">
        <v>27</v>
      </c>
      <c r="F1252" s="10" t="s">
        <v>9</v>
      </c>
      <c r="G1252" t="s">
        <v>1304</v>
      </c>
      <c r="H1252" t="s">
        <v>55</v>
      </c>
      <c r="I1252" t="s">
        <v>1314</v>
      </c>
      <c r="K1252" s="2"/>
      <c r="M1252" t="s">
        <v>2745</v>
      </c>
    </row>
    <row r="1253" spans="1:13">
      <c r="A1253" t="s">
        <v>28</v>
      </c>
      <c r="B1253">
        <f ca="1">IF(OR(changes[[#This Row],[Type]]="Checklist",changes[[#This Row],[Type]]="checklist-flat"),1+IF(changes[[#This Row],[Type of change]] = "Edit",COUNTIFS($I$4:changes[[#This Row],[Name]],changes[[#This Row],[Name]], $E$4:changes[[#This Row],[Type of change]], "Edit")),B1252)</f>
        <v>1</v>
      </c>
      <c r="C1253" s="16">
        <v>44641</v>
      </c>
      <c r="D1253" s="1" t="s">
        <v>2401</v>
      </c>
      <c r="E1253" t="s">
        <v>27</v>
      </c>
      <c r="F1253" s="10" t="s">
        <v>9</v>
      </c>
      <c r="G1253" t="s">
        <v>1304</v>
      </c>
      <c r="H1253" t="s">
        <v>55</v>
      </c>
      <c r="I1253" t="s">
        <v>2508</v>
      </c>
      <c r="K1253" s="2"/>
      <c r="M1253" t="s">
        <v>2745</v>
      </c>
    </row>
    <row r="1254" spans="1:13">
      <c r="A1254" t="s">
        <v>28</v>
      </c>
      <c r="B1254">
        <f ca="1">IF(OR(changes[[#This Row],[Type]]="Checklist",changes[[#This Row],[Type]]="checklist-flat"),1+IF(changes[[#This Row],[Type of change]] = "Edit",COUNTIFS($I$4:changes[[#This Row],[Name]],changes[[#This Row],[Name]], $E$4:changes[[#This Row],[Type of change]], "Edit")),B1253)</f>
        <v>1</v>
      </c>
      <c r="C1254" s="16">
        <v>44641</v>
      </c>
      <c r="D1254" s="1" t="s">
        <v>2401</v>
      </c>
      <c r="E1254" t="s">
        <v>27</v>
      </c>
      <c r="F1254" s="10" t="s">
        <v>9</v>
      </c>
      <c r="G1254" t="s">
        <v>1304</v>
      </c>
      <c r="H1254" t="s">
        <v>55</v>
      </c>
      <c r="I1254" t="s">
        <v>1316</v>
      </c>
      <c r="K1254" s="2"/>
      <c r="M1254" t="s">
        <v>2745</v>
      </c>
    </row>
    <row r="1255" spans="1:13">
      <c r="A1255" t="s">
        <v>28</v>
      </c>
      <c r="B1255">
        <f ca="1">IF(OR(changes[[#This Row],[Type]]="Checklist",changes[[#This Row],[Type]]="checklist-flat"),1+IF(changes[[#This Row],[Type of change]] = "Edit",COUNTIFS($I$4:changes[[#This Row],[Name]],changes[[#This Row],[Name]], $E$4:changes[[#This Row],[Type of change]], "Edit")),B1254)</f>
        <v>1</v>
      </c>
      <c r="C1255" s="16">
        <v>44641</v>
      </c>
      <c r="D1255" s="1" t="s">
        <v>2401</v>
      </c>
      <c r="E1255" t="s">
        <v>27</v>
      </c>
      <c r="F1255" s="10" t="s">
        <v>9</v>
      </c>
      <c r="G1255" t="s">
        <v>1304</v>
      </c>
      <c r="H1255" t="s">
        <v>55</v>
      </c>
      <c r="I1255" t="s">
        <v>1317</v>
      </c>
      <c r="K1255" s="2"/>
      <c r="M1255" t="s">
        <v>2745</v>
      </c>
    </row>
    <row r="1256" spans="1:13">
      <c r="A1256" t="s">
        <v>28</v>
      </c>
      <c r="B1256">
        <f ca="1">IF(OR(changes[[#This Row],[Type]]="Checklist",changes[[#This Row],[Type]]="checklist-flat"),1+IF(changes[[#This Row],[Type of change]] = "Edit",COUNTIFS($I$4:changes[[#This Row],[Name]],changes[[#This Row],[Name]], $E$4:changes[[#This Row],[Type of change]], "Edit")),B1255)</f>
        <v>1</v>
      </c>
      <c r="C1256" s="16">
        <v>44641</v>
      </c>
      <c r="D1256" s="1" t="s">
        <v>2401</v>
      </c>
      <c r="E1256" t="s">
        <v>27</v>
      </c>
      <c r="F1256" s="10" t="s">
        <v>9</v>
      </c>
      <c r="G1256" t="s">
        <v>1304</v>
      </c>
      <c r="H1256" t="s">
        <v>55</v>
      </c>
      <c r="I1256" t="s">
        <v>1318</v>
      </c>
      <c r="K1256" s="2"/>
      <c r="M1256" t="s">
        <v>2745</v>
      </c>
    </row>
    <row r="1257" spans="1:13">
      <c r="A1257" t="s">
        <v>28</v>
      </c>
      <c r="B1257">
        <f ca="1">IF(OR(changes[[#This Row],[Type]]="Checklist",changes[[#This Row],[Type]]="checklist-flat"),1+IF(changes[[#This Row],[Type of change]] = "Edit",COUNTIFS($I$4:changes[[#This Row],[Name]],changes[[#This Row],[Name]], $E$4:changes[[#This Row],[Type of change]], "Edit")),B1256)</f>
        <v>1</v>
      </c>
      <c r="C1257" s="16">
        <v>44641</v>
      </c>
      <c r="D1257" s="1" t="s">
        <v>2401</v>
      </c>
      <c r="E1257" t="s">
        <v>27</v>
      </c>
      <c r="F1257" s="10" t="s">
        <v>9</v>
      </c>
      <c r="G1257" t="s">
        <v>1304</v>
      </c>
      <c r="H1257" t="s">
        <v>55</v>
      </c>
      <c r="I1257" t="s">
        <v>1319</v>
      </c>
      <c r="K1257" s="2"/>
      <c r="M1257" t="s">
        <v>2745</v>
      </c>
    </row>
    <row r="1258" spans="1:13">
      <c r="A1258" t="s">
        <v>28</v>
      </c>
      <c r="B1258">
        <f ca="1">IF(OR(changes[[#This Row],[Type]]="Checklist",changes[[#This Row],[Type]]="checklist-flat"),1+IF(changes[[#This Row],[Type of change]] = "Edit",COUNTIFS($I$4:changes[[#This Row],[Name]],changes[[#This Row],[Name]], $E$4:changes[[#This Row],[Type of change]], "Edit")),B1257)</f>
        <v>1</v>
      </c>
      <c r="C1258" s="16">
        <v>44641</v>
      </c>
      <c r="D1258" s="1" t="s">
        <v>2401</v>
      </c>
      <c r="E1258" t="s">
        <v>27</v>
      </c>
      <c r="F1258" s="10" t="s">
        <v>9</v>
      </c>
      <c r="G1258" t="s">
        <v>1304</v>
      </c>
      <c r="H1258" t="s">
        <v>55</v>
      </c>
      <c r="I1258" t="s">
        <v>1320</v>
      </c>
      <c r="K1258" s="2"/>
      <c r="M1258" t="s">
        <v>2745</v>
      </c>
    </row>
    <row r="1259" spans="1:13">
      <c r="A1259" t="s">
        <v>28</v>
      </c>
      <c r="B1259">
        <f ca="1">IF(OR(changes[[#This Row],[Type]]="Checklist",changes[[#This Row],[Type]]="checklist-flat"),1+IF(changes[[#This Row],[Type of change]] = "Edit",COUNTIFS($I$4:changes[[#This Row],[Name]],changes[[#This Row],[Name]], $E$4:changes[[#This Row],[Type of change]], "Edit")),B1258)</f>
        <v>1</v>
      </c>
      <c r="C1259" s="16">
        <v>44641</v>
      </c>
      <c r="D1259" s="1" t="s">
        <v>2401</v>
      </c>
      <c r="E1259" t="s">
        <v>27</v>
      </c>
      <c r="F1259" s="10" t="s">
        <v>9</v>
      </c>
      <c r="G1259" t="s">
        <v>1304</v>
      </c>
      <c r="H1259" t="s">
        <v>55</v>
      </c>
      <c r="I1259" t="s">
        <v>1321</v>
      </c>
      <c r="K1259" s="2"/>
      <c r="M1259" t="s">
        <v>2745</v>
      </c>
    </row>
    <row r="1260" spans="1:13">
      <c r="A1260" t="s">
        <v>28</v>
      </c>
      <c r="B1260">
        <f ca="1">IF(OR(changes[[#This Row],[Type]]="Checklist",changes[[#This Row],[Type]]="checklist-flat"),1+IF(changes[[#This Row],[Type of change]] = "Edit",COUNTIFS($I$4:changes[[#This Row],[Name]],changes[[#This Row],[Name]], $E$4:changes[[#This Row],[Type of change]], "Edit")),B1259)</f>
        <v>1</v>
      </c>
      <c r="C1260" s="16">
        <v>44642</v>
      </c>
      <c r="D1260" s="1" t="s">
        <v>2401</v>
      </c>
      <c r="E1260" t="s">
        <v>27</v>
      </c>
      <c r="F1260" s="10" t="s">
        <v>9</v>
      </c>
      <c r="G1260" t="s">
        <v>1164</v>
      </c>
      <c r="H1260" t="s">
        <v>47</v>
      </c>
      <c r="I1260" t="s">
        <v>1164</v>
      </c>
      <c r="K1260" s="2"/>
      <c r="M1260" t="s">
        <v>2745</v>
      </c>
    </row>
    <row r="1261" spans="1:13">
      <c r="A1261" t="s">
        <v>28</v>
      </c>
      <c r="B1261">
        <f ca="1">IF(OR(changes[[#This Row],[Type]]="Checklist",changes[[#This Row],[Type]]="checklist-flat"),1+IF(changes[[#This Row],[Type of change]] = "Edit",COUNTIFS($I$4:changes[[#This Row],[Name]],changes[[#This Row],[Name]], $E$4:changes[[#This Row],[Type of change]], "Edit")),B1260)</f>
        <v>1</v>
      </c>
      <c r="C1261" s="16">
        <v>44642</v>
      </c>
      <c r="D1261" s="1" t="s">
        <v>2401</v>
      </c>
      <c r="E1261" t="s">
        <v>27</v>
      </c>
      <c r="F1261" s="10" t="s">
        <v>9</v>
      </c>
      <c r="G1261" t="s">
        <v>1164</v>
      </c>
      <c r="H1261" t="s">
        <v>55</v>
      </c>
      <c r="I1261" t="s">
        <v>1165</v>
      </c>
      <c r="K1261" s="2"/>
      <c r="M1261" t="s">
        <v>2745</v>
      </c>
    </row>
    <row r="1262" spans="1:13">
      <c r="A1262" t="s">
        <v>28</v>
      </c>
      <c r="B1262">
        <f ca="1">IF(OR(changes[[#This Row],[Type]]="Checklist",changes[[#This Row],[Type]]="checklist-flat"),1+IF(changes[[#This Row],[Type of change]] = "Edit",COUNTIFS($I$4:changes[[#This Row],[Name]],changes[[#This Row],[Name]], $E$4:changes[[#This Row],[Type of change]], "Edit")),B1261)</f>
        <v>1</v>
      </c>
      <c r="C1262" s="16">
        <v>44642</v>
      </c>
      <c r="D1262" s="1" t="s">
        <v>2401</v>
      </c>
      <c r="E1262" t="s">
        <v>27</v>
      </c>
      <c r="F1262" s="10" t="s">
        <v>9</v>
      </c>
      <c r="G1262" t="s">
        <v>1164</v>
      </c>
      <c r="H1262" t="s">
        <v>55</v>
      </c>
      <c r="I1262" t="s">
        <v>1166</v>
      </c>
      <c r="K1262" s="2"/>
      <c r="M1262" t="s">
        <v>2745</v>
      </c>
    </row>
    <row r="1263" spans="1:13">
      <c r="A1263" t="s">
        <v>28</v>
      </c>
      <c r="B1263">
        <f ca="1">IF(OR(changes[[#This Row],[Type]]="Checklist",changes[[#This Row],[Type]]="checklist-flat"),1+IF(changes[[#This Row],[Type of change]] = "Edit",COUNTIFS($I$4:changes[[#This Row],[Name]],changes[[#This Row],[Name]], $E$4:changes[[#This Row],[Type of change]], "Edit")),B1262)</f>
        <v>1</v>
      </c>
      <c r="C1263" s="16">
        <v>44642</v>
      </c>
      <c r="D1263" s="1" t="s">
        <v>2401</v>
      </c>
      <c r="E1263" t="s">
        <v>27</v>
      </c>
      <c r="F1263" s="10" t="s">
        <v>9</v>
      </c>
      <c r="G1263" t="s">
        <v>1164</v>
      </c>
      <c r="H1263" t="s">
        <v>55</v>
      </c>
      <c r="I1263" t="s">
        <v>1167</v>
      </c>
      <c r="K1263" s="2"/>
      <c r="M1263" t="s">
        <v>2745</v>
      </c>
    </row>
    <row r="1264" spans="1:13">
      <c r="A1264" t="s">
        <v>28</v>
      </c>
      <c r="B1264">
        <f ca="1">IF(OR(changes[[#This Row],[Type]]="Checklist",changes[[#This Row],[Type]]="checklist-flat"),1+IF(changes[[#This Row],[Type of change]] = "Edit",COUNTIFS($I$4:changes[[#This Row],[Name]],changes[[#This Row],[Name]], $E$4:changes[[#This Row],[Type of change]], "Edit")),B1263)</f>
        <v>1</v>
      </c>
      <c r="C1264" s="16">
        <v>44642</v>
      </c>
      <c r="D1264" s="1" t="s">
        <v>2401</v>
      </c>
      <c r="E1264" t="s">
        <v>27</v>
      </c>
      <c r="F1264" s="10" t="s">
        <v>9</v>
      </c>
      <c r="G1264" t="s">
        <v>1164</v>
      </c>
      <c r="H1264" t="s">
        <v>55</v>
      </c>
      <c r="I1264" t="s">
        <v>1168</v>
      </c>
      <c r="K1264" s="2"/>
      <c r="M1264" t="s">
        <v>2745</v>
      </c>
    </row>
    <row r="1265" spans="1:13">
      <c r="A1265" t="s">
        <v>28</v>
      </c>
      <c r="B1265">
        <f ca="1">IF(OR(changes[[#This Row],[Type]]="Checklist",changes[[#This Row],[Type]]="checklist-flat"),1+IF(changes[[#This Row],[Type of change]] = "Edit",COUNTIFS($I$4:changes[[#This Row],[Name]],changes[[#This Row],[Name]], $E$4:changes[[#This Row],[Type of change]], "Edit")),B1264)</f>
        <v>1</v>
      </c>
      <c r="C1265" s="16">
        <v>44642</v>
      </c>
      <c r="D1265" s="1" t="s">
        <v>2401</v>
      </c>
      <c r="E1265" t="s">
        <v>27</v>
      </c>
      <c r="F1265" s="10" t="s">
        <v>9</v>
      </c>
      <c r="G1265" t="s">
        <v>1164</v>
      </c>
      <c r="H1265" t="s">
        <v>55</v>
      </c>
      <c r="I1265" t="s">
        <v>1169</v>
      </c>
      <c r="K1265" s="2"/>
      <c r="M1265" t="s">
        <v>2745</v>
      </c>
    </row>
    <row r="1266" spans="1:13">
      <c r="A1266" t="s">
        <v>28</v>
      </c>
      <c r="B1266">
        <f ca="1">IF(OR(changes[[#This Row],[Type]]="Checklist",changes[[#This Row],[Type]]="checklist-flat"),1+IF(changes[[#This Row],[Type of change]] = "Edit",COUNTIFS($I$4:changes[[#This Row],[Name]],changes[[#This Row],[Name]], $E$4:changes[[#This Row],[Type of change]], "Edit")),B1265)</f>
        <v>1</v>
      </c>
      <c r="C1266" s="16">
        <v>44642</v>
      </c>
      <c r="D1266" s="1" t="s">
        <v>2401</v>
      </c>
      <c r="E1266" t="s">
        <v>27</v>
      </c>
      <c r="F1266" s="10" t="s">
        <v>9</v>
      </c>
      <c r="G1266" t="s">
        <v>1164</v>
      </c>
      <c r="H1266" t="s">
        <v>55</v>
      </c>
      <c r="I1266" t="s">
        <v>1170</v>
      </c>
      <c r="K1266" s="2"/>
      <c r="M1266" t="s">
        <v>2745</v>
      </c>
    </row>
    <row r="1267" spans="1:13">
      <c r="A1267" t="s">
        <v>28</v>
      </c>
      <c r="B1267">
        <f ca="1">IF(OR(changes[[#This Row],[Type]]="Checklist",changes[[#This Row],[Type]]="checklist-flat"),1+IF(changes[[#This Row],[Type of change]] = "Edit",COUNTIFS($I$4:changes[[#This Row],[Name]],changes[[#This Row],[Name]], $E$4:changes[[#This Row],[Type of change]], "Edit")),B1266)</f>
        <v>1</v>
      </c>
      <c r="C1267" s="16">
        <v>44642</v>
      </c>
      <c r="D1267" s="1" t="s">
        <v>2401</v>
      </c>
      <c r="E1267" t="s">
        <v>27</v>
      </c>
      <c r="F1267" s="10" t="s">
        <v>9</v>
      </c>
      <c r="G1267" t="s">
        <v>1164</v>
      </c>
      <c r="H1267" t="s">
        <v>55</v>
      </c>
      <c r="I1267" t="s">
        <v>1171</v>
      </c>
      <c r="K1267" s="2"/>
      <c r="M1267" t="s">
        <v>2745</v>
      </c>
    </row>
    <row r="1268" spans="1:13">
      <c r="A1268" t="s">
        <v>28</v>
      </c>
      <c r="B1268">
        <f ca="1">IF(OR(changes[[#This Row],[Type]]="Checklist",changes[[#This Row],[Type]]="checklist-flat"),1+IF(changes[[#This Row],[Type of change]] = "Edit",COUNTIFS($I$4:changes[[#This Row],[Name]],changes[[#This Row],[Name]], $E$4:changes[[#This Row],[Type of change]], "Edit")),B1267)</f>
        <v>1</v>
      </c>
      <c r="C1268" s="16">
        <v>44642</v>
      </c>
      <c r="D1268" s="1" t="s">
        <v>2401</v>
      </c>
      <c r="E1268" t="s">
        <v>27</v>
      </c>
      <c r="F1268" s="10" t="s">
        <v>9</v>
      </c>
      <c r="G1268" t="s">
        <v>1164</v>
      </c>
      <c r="H1268" t="s">
        <v>55</v>
      </c>
      <c r="I1268" t="s">
        <v>1172</v>
      </c>
      <c r="K1268" s="2"/>
      <c r="M1268" t="s">
        <v>2745</v>
      </c>
    </row>
    <row r="1269" spans="1:13">
      <c r="A1269" t="s">
        <v>28</v>
      </c>
      <c r="B1269">
        <f ca="1">IF(OR(changes[[#This Row],[Type]]="Checklist",changes[[#This Row],[Type]]="checklist-flat"),1+IF(changes[[#This Row],[Type of change]] = "Edit",COUNTIFS($I$4:changes[[#This Row],[Name]],changes[[#This Row],[Name]], $E$4:changes[[#This Row],[Type of change]], "Edit")),B1268)</f>
        <v>1</v>
      </c>
      <c r="C1269" s="16">
        <v>44642</v>
      </c>
      <c r="D1269" s="1" t="s">
        <v>2401</v>
      </c>
      <c r="E1269" t="s">
        <v>27</v>
      </c>
      <c r="F1269" s="10" t="s">
        <v>9</v>
      </c>
      <c r="G1269" t="s">
        <v>1164</v>
      </c>
      <c r="H1269" t="s">
        <v>55</v>
      </c>
      <c r="I1269" t="s">
        <v>1173</v>
      </c>
      <c r="K1269" s="2"/>
      <c r="M1269" t="s">
        <v>2745</v>
      </c>
    </row>
    <row r="1270" spans="1:13">
      <c r="A1270" t="s">
        <v>28</v>
      </c>
      <c r="B1270">
        <f ca="1">IF(OR(changes[[#This Row],[Type]]="Checklist",changes[[#This Row],[Type]]="checklist-flat"),1+IF(changes[[#This Row],[Type of change]] = "Edit",COUNTIFS($I$4:changes[[#This Row],[Name]],changes[[#This Row],[Name]], $E$4:changes[[#This Row],[Type of change]], "Edit")),B1269)</f>
        <v>1</v>
      </c>
      <c r="C1270" s="16">
        <v>44642</v>
      </c>
      <c r="D1270" s="1" t="s">
        <v>2401</v>
      </c>
      <c r="E1270" t="s">
        <v>27</v>
      </c>
      <c r="F1270" s="10" t="s">
        <v>9</v>
      </c>
      <c r="G1270" t="s">
        <v>1164</v>
      </c>
      <c r="H1270" t="s">
        <v>55</v>
      </c>
      <c r="I1270" t="s">
        <v>1174</v>
      </c>
      <c r="K1270" s="2"/>
      <c r="M1270" t="s">
        <v>2745</v>
      </c>
    </row>
    <row r="1271" spans="1:13">
      <c r="A1271" t="s">
        <v>28</v>
      </c>
      <c r="B1271">
        <f ca="1">IF(OR(changes[[#This Row],[Type]]="Checklist",changes[[#This Row],[Type]]="checklist-flat"),1+IF(changes[[#This Row],[Type of change]] = "Edit",COUNTIFS($I$4:changes[[#This Row],[Name]],changes[[#This Row],[Name]], $E$4:changes[[#This Row],[Type of change]], "Edit")),B1270)</f>
        <v>1</v>
      </c>
      <c r="C1271" s="16">
        <v>44648</v>
      </c>
      <c r="D1271" s="1" t="s">
        <v>2427</v>
      </c>
      <c r="E1271" t="s">
        <v>27</v>
      </c>
      <c r="F1271" s="10" t="s">
        <v>9</v>
      </c>
      <c r="G1271" t="s">
        <v>1441</v>
      </c>
      <c r="H1271" t="s">
        <v>478</v>
      </c>
      <c r="I1271" t="s">
        <v>1441</v>
      </c>
      <c r="K1271" s="2"/>
      <c r="M1271" t="s">
        <v>2749</v>
      </c>
    </row>
    <row r="1272" spans="1:13">
      <c r="A1272" t="s">
        <v>28</v>
      </c>
      <c r="B1272">
        <f ca="1">IF(OR(changes[[#This Row],[Type]]="Checklist",changes[[#This Row],[Type]]="checklist-flat"),1+IF(changes[[#This Row],[Type of change]] = "Edit",COUNTIFS($I$4:changes[[#This Row],[Name]],changes[[#This Row],[Name]], $E$4:changes[[#This Row],[Type of change]], "Edit")),B1271)</f>
        <v>1</v>
      </c>
      <c r="C1272" s="16">
        <v>44648</v>
      </c>
      <c r="D1272" s="1" t="s">
        <v>2427</v>
      </c>
      <c r="E1272" t="s">
        <v>27</v>
      </c>
      <c r="F1272" s="10" t="s">
        <v>9</v>
      </c>
      <c r="G1272" t="s">
        <v>1441</v>
      </c>
      <c r="H1272" t="s">
        <v>55</v>
      </c>
      <c r="I1272" t="s">
        <v>1442</v>
      </c>
      <c r="K1272" s="2"/>
      <c r="M1272" s="2"/>
    </row>
    <row r="1273" spans="1:13">
      <c r="A1273" t="s">
        <v>28</v>
      </c>
      <c r="B1273">
        <f ca="1">IF(OR(changes[[#This Row],[Type]]="Checklist",changes[[#This Row],[Type]]="checklist-flat"),1+IF(changes[[#This Row],[Type of change]] = "Edit",COUNTIFS($I$4:changes[[#This Row],[Name]],changes[[#This Row],[Name]], $E$4:changes[[#This Row],[Type of change]], "Edit")),B1272)</f>
        <v>1</v>
      </c>
      <c r="C1273" s="16">
        <v>44648</v>
      </c>
      <c r="D1273" s="1" t="s">
        <v>2427</v>
      </c>
      <c r="E1273" t="s">
        <v>27</v>
      </c>
      <c r="F1273" s="10" t="s">
        <v>9</v>
      </c>
      <c r="G1273" t="s">
        <v>1441</v>
      </c>
      <c r="H1273" t="s">
        <v>214</v>
      </c>
      <c r="I1273" t="s">
        <v>1443</v>
      </c>
      <c r="K1273" s="2"/>
      <c r="M1273" s="2"/>
    </row>
    <row r="1274" spans="1:13">
      <c r="A1274" t="s">
        <v>28</v>
      </c>
      <c r="B1274">
        <f ca="1">IF(OR(changes[[#This Row],[Type]]="Checklist",changes[[#This Row],[Type]]="checklist-flat"),1+IF(changes[[#This Row],[Type of change]] = "Edit",COUNTIFS($I$4:changes[[#This Row],[Name]],changes[[#This Row],[Name]], $E$4:changes[[#This Row],[Type of change]], "Edit")),B1273)</f>
        <v>1</v>
      </c>
      <c r="C1274" s="16">
        <v>44648</v>
      </c>
      <c r="D1274" s="1" t="s">
        <v>2427</v>
      </c>
      <c r="E1274" t="s">
        <v>27</v>
      </c>
      <c r="F1274" s="10" t="s">
        <v>9</v>
      </c>
      <c r="G1274" t="s">
        <v>1441</v>
      </c>
      <c r="H1274" t="s">
        <v>214</v>
      </c>
      <c r="I1274" t="s">
        <v>1444</v>
      </c>
      <c r="K1274" s="2"/>
      <c r="M1274" s="2"/>
    </row>
    <row r="1275" spans="1:13">
      <c r="A1275" t="s">
        <v>28</v>
      </c>
      <c r="B1275">
        <f ca="1">IF(OR(changes[[#This Row],[Type]]="Checklist",changes[[#This Row],[Type]]="checklist-flat"),1+IF(changes[[#This Row],[Type of change]] = "Edit",COUNTIFS($I$4:changes[[#This Row],[Name]],changes[[#This Row],[Name]], $E$4:changes[[#This Row],[Type of change]], "Edit")),B1274)</f>
        <v>1</v>
      </c>
      <c r="C1275" s="16">
        <v>44648</v>
      </c>
      <c r="D1275" s="1" t="s">
        <v>2427</v>
      </c>
      <c r="E1275" t="s">
        <v>27</v>
      </c>
      <c r="F1275" s="10" t="s">
        <v>9</v>
      </c>
      <c r="G1275" t="s">
        <v>1441</v>
      </c>
      <c r="H1275" t="s">
        <v>214</v>
      </c>
      <c r="I1275" t="s">
        <v>1445</v>
      </c>
      <c r="K1275" s="2"/>
      <c r="M1275" s="2"/>
    </row>
    <row r="1276" spans="1:13">
      <c r="A1276" t="s">
        <v>28</v>
      </c>
      <c r="B1276">
        <f ca="1">IF(OR(changes[[#This Row],[Type]]="Checklist",changes[[#This Row],[Type]]="checklist-flat"),1+IF(changes[[#This Row],[Type of change]] = "Edit",COUNTIFS($I$4:changes[[#This Row],[Name]],changes[[#This Row],[Name]], $E$4:changes[[#This Row],[Type of change]], "Edit")),B1275)</f>
        <v>1</v>
      </c>
      <c r="C1276" s="16">
        <v>44648</v>
      </c>
      <c r="D1276" s="1" t="s">
        <v>2427</v>
      </c>
      <c r="E1276" t="s">
        <v>27</v>
      </c>
      <c r="F1276" s="10" t="s">
        <v>9</v>
      </c>
      <c r="G1276" t="s">
        <v>1441</v>
      </c>
      <c r="H1276" t="s">
        <v>214</v>
      </c>
      <c r="I1276" t="s">
        <v>1446</v>
      </c>
      <c r="K1276" s="2"/>
      <c r="M1276" s="2"/>
    </row>
    <row r="1277" spans="1:13">
      <c r="A1277" t="s">
        <v>28</v>
      </c>
      <c r="B1277">
        <f ca="1">IF(OR(changes[[#This Row],[Type]]="Checklist",changes[[#This Row],[Type]]="checklist-flat"),1+IF(changes[[#This Row],[Type of change]] = "Edit",COUNTIFS($I$4:changes[[#This Row],[Name]],changes[[#This Row],[Name]], $E$4:changes[[#This Row],[Type of change]], "Edit")),B1276)</f>
        <v>1</v>
      </c>
      <c r="C1277" s="16">
        <v>44648</v>
      </c>
      <c r="D1277" s="1" t="s">
        <v>2427</v>
      </c>
      <c r="E1277" t="s">
        <v>27</v>
      </c>
      <c r="F1277" s="10" t="s">
        <v>9</v>
      </c>
      <c r="G1277" t="s">
        <v>1441</v>
      </c>
      <c r="H1277" t="s">
        <v>214</v>
      </c>
      <c r="I1277" t="s">
        <v>1447</v>
      </c>
      <c r="K1277" s="2"/>
      <c r="M1277" s="2"/>
    </row>
    <row r="1278" spans="1:13">
      <c r="A1278" t="s">
        <v>28</v>
      </c>
      <c r="B1278">
        <f ca="1">IF(OR(changes[[#This Row],[Type]]="Checklist",changes[[#This Row],[Type]]="checklist-flat"),1+IF(changes[[#This Row],[Type of change]] = "Edit",COUNTIFS($I$4:changes[[#This Row],[Name]],changes[[#This Row],[Name]], $E$4:changes[[#This Row],[Type of change]], "Edit")),B1277)</f>
        <v>1</v>
      </c>
      <c r="C1278" s="16">
        <v>44648</v>
      </c>
      <c r="D1278" s="1" t="s">
        <v>2427</v>
      </c>
      <c r="E1278" t="s">
        <v>27</v>
      </c>
      <c r="F1278" s="10" t="s">
        <v>9</v>
      </c>
      <c r="G1278" t="s">
        <v>1441</v>
      </c>
      <c r="H1278" t="s">
        <v>1448</v>
      </c>
      <c r="I1278" t="s">
        <v>1449</v>
      </c>
      <c r="J1278" t="s">
        <v>2750</v>
      </c>
      <c r="K1278" s="2"/>
      <c r="M1278" s="2"/>
    </row>
    <row r="1279" spans="1:13">
      <c r="A1279" t="s">
        <v>28</v>
      </c>
      <c r="B1279">
        <f ca="1">IF(OR(changes[[#This Row],[Type]]="Checklist",changes[[#This Row],[Type]]="checklist-flat"),1+IF(changes[[#This Row],[Type of change]] = "Edit",COUNTIFS($I$4:changes[[#This Row],[Name]],changes[[#This Row],[Name]], $E$4:changes[[#This Row],[Type of change]], "Edit")),B1278)</f>
        <v>1</v>
      </c>
      <c r="C1279" s="16">
        <v>44648</v>
      </c>
      <c r="D1279" s="1" t="s">
        <v>2427</v>
      </c>
      <c r="E1279" t="s">
        <v>27</v>
      </c>
      <c r="F1279" s="10" t="s">
        <v>9</v>
      </c>
      <c r="G1279" t="s">
        <v>1441</v>
      </c>
      <c r="H1279" t="s">
        <v>214</v>
      </c>
      <c r="I1279" t="s">
        <v>1450</v>
      </c>
      <c r="K1279" s="2"/>
      <c r="M1279" s="2"/>
    </row>
    <row r="1280" spans="1:13">
      <c r="A1280" t="s">
        <v>28</v>
      </c>
      <c r="B1280">
        <f ca="1">IF(OR(changes[[#This Row],[Type]]="Checklist",changes[[#This Row],[Type]]="checklist-flat"),1+IF(changes[[#This Row],[Type of change]] = "Edit",COUNTIFS($I$4:changes[[#This Row],[Name]],changes[[#This Row],[Name]], $E$4:changes[[#This Row],[Type of change]], "Edit")),B1279)</f>
        <v>1</v>
      </c>
      <c r="C1280" s="16">
        <v>44648</v>
      </c>
      <c r="D1280" s="1" t="s">
        <v>2427</v>
      </c>
      <c r="E1280" t="s">
        <v>27</v>
      </c>
      <c r="F1280" s="10" t="s">
        <v>9</v>
      </c>
      <c r="G1280" t="s">
        <v>1441</v>
      </c>
      <c r="H1280" t="s">
        <v>214</v>
      </c>
      <c r="I1280" t="s">
        <v>1451</v>
      </c>
      <c r="K1280" s="2"/>
      <c r="M1280" s="2"/>
    </row>
    <row r="1281" spans="1:13">
      <c r="A1281" t="s">
        <v>28</v>
      </c>
      <c r="B1281">
        <f ca="1">IF(OR(changes[[#This Row],[Type]]="Checklist",changes[[#This Row],[Type]]="checklist-flat"),1+IF(changes[[#This Row],[Type of change]] = "Edit",COUNTIFS($I$4:changes[[#This Row],[Name]],changes[[#This Row],[Name]], $E$4:changes[[#This Row],[Type of change]], "Edit")),B1280)</f>
        <v>1</v>
      </c>
      <c r="C1281" s="16">
        <v>44648</v>
      </c>
      <c r="D1281" s="1" t="s">
        <v>2427</v>
      </c>
      <c r="E1281" t="s">
        <v>27</v>
      </c>
      <c r="F1281" s="10" t="s">
        <v>9</v>
      </c>
      <c r="G1281" t="s">
        <v>1441</v>
      </c>
      <c r="H1281" t="s">
        <v>214</v>
      </c>
      <c r="I1281" t="s">
        <v>1452</v>
      </c>
      <c r="K1281" s="2"/>
      <c r="M1281" s="2"/>
    </row>
    <row r="1282" spans="1:13">
      <c r="A1282" t="s">
        <v>28</v>
      </c>
      <c r="B1282">
        <f ca="1">IF(OR(changes[[#This Row],[Type]]="Checklist",changes[[#This Row],[Type]]="checklist-flat"),1+IF(changes[[#This Row],[Type of change]] = "Edit",COUNTIFS($I$4:changes[[#This Row],[Name]],changes[[#This Row],[Name]], $E$4:changes[[#This Row],[Type of change]], "Edit")),B1281)</f>
        <v>1</v>
      </c>
      <c r="C1282" s="16">
        <v>44648</v>
      </c>
      <c r="D1282" s="1" t="s">
        <v>2427</v>
      </c>
      <c r="E1282" t="s">
        <v>27</v>
      </c>
      <c r="F1282" s="10" t="s">
        <v>9</v>
      </c>
      <c r="G1282" t="s">
        <v>1441</v>
      </c>
      <c r="H1282" t="s">
        <v>55</v>
      </c>
      <c r="I1282" t="s">
        <v>1453</v>
      </c>
      <c r="K1282" s="2"/>
      <c r="M1282" s="2"/>
    </row>
    <row r="1283" spans="1:13">
      <c r="A1283" t="s">
        <v>28</v>
      </c>
      <c r="B1283">
        <f ca="1">IF(OR(changes[[#This Row],[Type]]="Checklist",changes[[#This Row],[Type]]="checklist-flat"),1+IF(changes[[#This Row],[Type of change]] = "Edit",COUNTIFS($I$4:changes[[#This Row],[Name]],changes[[#This Row],[Name]], $E$4:changes[[#This Row],[Type of change]], "Edit")),B1282)</f>
        <v>1</v>
      </c>
      <c r="C1283" s="16">
        <v>44648</v>
      </c>
      <c r="D1283" s="1" t="s">
        <v>2427</v>
      </c>
      <c r="E1283" t="s">
        <v>27</v>
      </c>
      <c r="F1283" s="10" t="s">
        <v>9</v>
      </c>
      <c r="G1283" t="s">
        <v>1433</v>
      </c>
      <c r="H1283" t="s">
        <v>478</v>
      </c>
      <c r="I1283" t="s">
        <v>1433</v>
      </c>
      <c r="K1283" s="2"/>
      <c r="M1283" t="s">
        <v>2751</v>
      </c>
    </row>
    <row r="1284" spans="1:13">
      <c r="A1284" t="s">
        <v>28</v>
      </c>
      <c r="B1284">
        <f ca="1">IF(OR(changes[[#This Row],[Type]]="Checklist",changes[[#This Row],[Type]]="checklist-flat"),1+IF(changes[[#This Row],[Type of change]] = "Edit",COUNTIFS($I$4:changes[[#This Row],[Name]],changes[[#This Row],[Name]], $E$4:changes[[#This Row],[Type of change]], "Edit")),B1283)</f>
        <v>1</v>
      </c>
      <c r="C1284" s="16">
        <v>44648</v>
      </c>
      <c r="D1284" s="1" t="s">
        <v>2427</v>
      </c>
      <c r="E1284" t="s">
        <v>27</v>
      </c>
      <c r="F1284" s="10" t="s">
        <v>9</v>
      </c>
      <c r="G1284" t="s">
        <v>1433</v>
      </c>
      <c r="H1284" t="s">
        <v>55</v>
      </c>
      <c r="I1284" t="s">
        <v>1434</v>
      </c>
      <c r="K1284" s="2"/>
      <c r="M1284" s="2"/>
    </row>
    <row r="1285" spans="1:13">
      <c r="A1285" t="s">
        <v>28</v>
      </c>
      <c r="B1285">
        <f ca="1">IF(OR(changes[[#This Row],[Type]]="Checklist",changes[[#This Row],[Type]]="checklist-flat"),1+IF(changes[[#This Row],[Type of change]] = "Edit",COUNTIFS($I$4:changes[[#This Row],[Name]],changes[[#This Row],[Name]], $E$4:changes[[#This Row],[Type of change]], "Edit")),B1284)</f>
        <v>1</v>
      </c>
      <c r="C1285" s="16">
        <v>44648</v>
      </c>
      <c r="D1285" s="1" t="s">
        <v>2427</v>
      </c>
      <c r="E1285" t="s">
        <v>27</v>
      </c>
      <c r="F1285" s="10" t="s">
        <v>9</v>
      </c>
      <c r="G1285" t="s">
        <v>1433</v>
      </c>
      <c r="H1285" t="s">
        <v>55</v>
      </c>
      <c r="I1285" t="s">
        <v>1435</v>
      </c>
      <c r="K1285" s="2"/>
      <c r="M1285" s="2"/>
    </row>
    <row r="1286" spans="1:13">
      <c r="A1286" t="s">
        <v>28</v>
      </c>
      <c r="B1286">
        <f ca="1">IF(OR(changes[[#This Row],[Type]]="Checklist",changes[[#This Row],[Type]]="checklist-flat"),1+IF(changes[[#This Row],[Type of change]] = "Edit",COUNTIFS($I$4:changes[[#This Row],[Name]],changes[[#This Row],[Name]], $E$4:changes[[#This Row],[Type of change]], "Edit")),B1285)</f>
        <v>1</v>
      </c>
      <c r="C1286" s="16">
        <v>44648</v>
      </c>
      <c r="D1286" s="1" t="s">
        <v>2427</v>
      </c>
      <c r="E1286" t="s">
        <v>27</v>
      </c>
      <c r="F1286" s="10" t="s">
        <v>9</v>
      </c>
      <c r="G1286" t="s">
        <v>1433</v>
      </c>
      <c r="H1286" t="s">
        <v>55</v>
      </c>
      <c r="I1286" t="s">
        <v>1436</v>
      </c>
      <c r="K1286" s="2"/>
      <c r="M1286" s="2"/>
    </row>
    <row r="1287" spans="1:13">
      <c r="A1287" t="s">
        <v>28</v>
      </c>
      <c r="B1287">
        <f ca="1">IF(OR(changes[[#This Row],[Type]]="Checklist",changes[[#This Row],[Type]]="checklist-flat"),1+IF(changes[[#This Row],[Type of change]] = "Edit",COUNTIFS($I$4:changes[[#This Row],[Name]],changes[[#This Row],[Name]], $E$4:changes[[#This Row],[Type of change]], "Edit")),B1286)</f>
        <v>1</v>
      </c>
      <c r="C1287" s="16">
        <v>44648</v>
      </c>
      <c r="D1287" s="1" t="s">
        <v>2427</v>
      </c>
      <c r="E1287" t="s">
        <v>27</v>
      </c>
      <c r="F1287" s="10" t="s">
        <v>9</v>
      </c>
      <c r="G1287" t="s">
        <v>1433</v>
      </c>
      <c r="H1287" t="s">
        <v>55</v>
      </c>
      <c r="I1287" t="s">
        <v>1437</v>
      </c>
      <c r="K1287" s="2"/>
      <c r="M1287" s="2"/>
    </row>
    <row r="1288" spans="1:13">
      <c r="A1288" t="s">
        <v>28</v>
      </c>
      <c r="B1288">
        <f ca="1">IF(OR(changes[[#This Row],[Type]]="Checklist",changes[[#This Row],[Type]]="checklist-flat"),1+IF(changes[[#This Row],[Type of change]] = "Edit",COUNTIFS($I$4:changes[[#This Row],[Name]],changes[[#This Row],[Name]], $E$4:changes[[#This Row],[Type of change]], "Edit")),B1287)</f>
        <v>1</v>
      </c>
      <c r="C1288" s="16">
        <v>44648</v>
      </c>
      <c r="D1288" s="1" t="s">
        <v>2427</v>
      </c>
      <c r="E1288" t="s">
        <v>27</v>
      </c>
      <c r="F1288" s="10" t="s">
        <v>9</v>
      </c>
      <c r="G1288" t="s">
        <v>1433</v>
      </c>
      <c r="H1288" t="s">
        <v>55</v>
      </c>
      <c r="I1288" t="s">
        <v>1438</v>
      </c>
      <c r="K1288" s="2"/>
      <c r="M1288" s="2"/>
    </row>
    <row r="1289" spans="1:13">
      <c r="A1289" t="s">
        <v>28</v>
      </c>
      <c r="B1289">
        <f ca="1">IF(OR(changes[[#This Row],[Type]]="Checklist",changes[[#This Row],[Type]]="checklist-flat"),1+IF(changes[[#This Row],[Type of change]] = "Edit",COUNTIFS($I$4:changes[[#This Row],[Name]],changes[[#This Row],[Name]], $E$4:changes[[#This Row],[Type of change]], "Edit")),B1288)</f>
        <v>1</v>
      </c>
      <c r="C1289" s="16">
        <v>44648</v>
      </c>
      <c r="D1289" s="1" t="s">
        <v>2427</v>
      </c>
      <c r="E1289" t="s">
        <v>27</v>
      </c>
      <c r="F1289" s="10" t="s">
        <v>9</v>
      </c>
      <c r="G1289" t="s">
        <v>1433</v>
      </c>
      <c r="H1289" t="s">
        <v>55</v>
      </c>
      <c r="I1289" t="s">
        <v>1439</v>
      </c>
      <c r="K1289" s="2"/>
      <c r="M1289" s="2"/>
    </row>
    <row r="1290" spans="1:13">
      <c r="A1290" t="s">
        <v>28</v>
      </c>
      <c r="B1290">
        <f ca="1">IF(OR(changes[[#This Row],[Type]]="Checklist",changes[[#This Row],[Type]]="checklist-flat"),1+IF(changes[[#This Row],[Type of change]] = "Edit",COUNTIFS($I$4:changes[[#This Row],[Name]],changes[[#This Row],[Name]], $E$4:changes[[#This Row],[Type of change]], "Edit")),B1289)</f>
        <v>1</v>
      </c>
      <c r="C1290" s="16">
        <v>44648</v>
      </c>
      <c r="D1290" s="1" t="s">
        <v>2427</v>
      </c>
      <c r="E1290" t="s">
        <v>27</v>
      </c>
      <c r="F1290" s="10" t="s">
        <v>9</v>
      </c>
      <c r="G1290" t="s">
        <v>1433</v>
      </c>
      <c r="H1290" s="40" t="s">
        <v>55</v>
      </c>
      <c r="I1290" s="40" t="s">
        <v>1440</v>
      </c>
      <c r="J1290" s="40"/>
      <c r="K1290" s="2"/>
      <c r="M1290" s="2"/>
    </row>
    <row r="1291" spans="1:13" ht="15" customHeight="1">
      <c r="A1291" t="s">
        <v>28</v>
      </c>
      <c r="B1291">
        <f ca="1">IF(OR(changes[[#This Row],[Type]]="Checklist",changes[[#This Row],[Type]]="checklist-flat"),1+IF(changes[[#This Row],[Type of change]] = "Edit",COUNTIFS($I$4:changes[[#This Row],[Name]],changes[[#This Row],[Name]], $E$4:changes[[#This Row],[Type of change]], "Edit")),B1290)</f>
        <v>1</v>
      </c>
      <c r="C1291" s="16">
        <v>44649</v>
      </c>
      <c r="D1291" s="1" t="s">
        <v>2579</v>
      </c>
      <c r="E1291" t="s">
        <v>10</v>
      </c>
      <c r="F1291" s="10" t="s">
        <v>9</v>
      </c>
      <c r="G1291" s="10" t="s">
        <v>1117</v>
      </c>
      <c r="H1291" t="s">
        <v>214</v>
      </c>
      <c r="I1291" s="41" t="s">
        <v>2752</v>
      </c>
      <c r="K1291" s="2"/>
      <c r="M1291" s="2"/>
    </row>
    <row r="1292" spans="1:13">
      <c r="A1292" t="s">
        <v>28</v>
      </c>
      <c r="B1292">
        <f ca="1">IF(OR(changes[[#This Row],[Type]]="Checklist",changes[[#This Row],[Type]]="checklist-flat"),1+IF(changes[[#This Row],[Type of change]] = "Edit",COUNTIFS($I$4:changes[[#This Row],[Name]],changes[[#This Row],[Name]], $E$4:changes[[#This Row],[Type of change]], "Edit")),B1291)</f>
        <v>1</v>
      </c>
      <c r="C1292" s="16">
        <v>44655</v>
      </c>
      <c r="D1292" s="1" t="s">
        <v>2753</v>
      </c>
      <c r="E1292" t="s">
        <v>27</v>
      </c>
      <c r="F1292" s="10" t="s">
        <v>9</v>
      </c>
      <c r="G1292" t="s">
        <v>2754</v>
      </c>
      <c r="H1292" t="s">
        <v>478</v>
      </c>
      <c r="I1292" t="s">
        <v>1157</v>
      </c>
      <c r="K1292" s="2"/>
      <c r="M1292" t="s">
        <v>2745</v>
      </c>
    </row>
    <row r="1293" spans="1:13">
      <c r="A1293" t="s">
        <v>28</v>
      </c>
      <c r="B1293">
        <f ca="1">IF(OR(changes[[#This Row],[Type]]="Checklist",changes[[#This Row],[Type]]="checklist-flat"),1+IF(changes[[#This Row],[Type of change]] = "Edit",COUNTIFS($I$4:changes[[#This Row],[Name]],changes[[#This Row],[Name]], $E$4:changes[[#This Row],[Type of change]], "Edit")),B1292)</f>
        <v>1</v>
      </c>
      <c r="C1293" s="16">
        <v>44655</v>
      </c>
      <c r="D1293" s="1" t="s">
        <v>2753</v>
      </c>
      <c r="E1293" t="s">
        <v>27</v>
      </c>
      <c r="F1293" s="10" t="s">
        <v>9</v>
      </c>
      <c r="G1293" t="s">
        <v>2754</v>
      </c>
      <c r="H1293" t="s">
        <v>55</v>
      </c>
      <c r="I1293" t="s">
        <v>2755</v>
      </c>
      <c r="K1293" s="2"/>
      <c r="M1293" t="s">
        <v>2745</v>
      </c>
    </row>
    <row r="1294" spans="1:13">
      <c r="A1294" t="s">
        <v>28</v>
      </c>
      <c r="B1294">
        <f ca="1">IF(OR(changes[[#This Row],[Type]]="Checklist",changes[[#This Row],[Type]]="checklist-flat"),1+IF(changes[[#This Row],[Type of change]] = "Edit",COUNTIFS($I$4:changes[[#This Row],[Name]],changes[[#This Row],[Name]], $E$4:changes[[#This Row],[Type of change]], "Edit")),B1293)</f>
        <v>1</v>
      </c>
      <c r="C1294" s="16">
        <v>44655</v>
      </c>
      <c r="D1294" s="1" t="s">
        <v>2753</v>
      </c>
      <c r="E1294" t="s">
        <v>27</v>
      </c>
      <c r="F1294" s="10" t="s">
        <v>9</v>
      </c>
      <c r="G1294" t="s">
        <v>2754</v>
      </c>
      <c r="H1294" t="s">
        <v>55</v>
      </c>
      <c r="I1294" t="s">
        <v>1159</v>
      </c>
      <c r="K1294" s="2"/>
      <c r="M1294" t="s">
        <v>2745</v>
      </c>
    </row>
    <row r="1295" spans="1:13">
      <c r="A1295" t="s">
        <v>28</v>
      </c>
      <c r="B1295">
        <f ca="1">IF(OR(changes[[#This Row],[Type]]="Checklist",changes[[#This Row],[Type]]="checklist-flat"),1+IF(changes[[#This Row],[Type of change]] = "Edit",COUNTIFS($I$4:changes[[#This Row],[Name]],changes[[#This Row],[Name]], $E$4:changes[[#This Row],[Type of change]], "Edit")),B1294)</f>
        <v>1</v>
      </c>
      <c r="C1295" s="16">
        <v>44655</v>
      </c>
      <c r="D1295" s="1" t="s">
        <v>2753</v>
      </c>
      <c r="E1295" t="s">
        <v>27</v>
      </c>
      <c r="F1295" s="10" t="s">
        <v>9</v>
      </c>
      <c r="G1295" t="s">
        <v>2754</v>
      </c>
      <c r="H1295" t="s">
        <v>55</v>
      </c>
      <c r="I1295" t="s">
        <v>1160</v>
      </c>
      <c r="K1295" s="2"/>
      <c r="M1295" t="s">
        <v>2745</v>
      </c>
    </row>
    <row r="1296" spans="1:13">
      <c r="A1296" t="s">
        <v>28</v>
      </c>
      <c r="B1296">
        <f ca="1">IF(OR(changes[[#This Row],[Type]]="Checklist",changes[[#This Row],[Type]]="checklist-flat"),1+IF(changes[[#This Row],[Type of change]] = "Edit",COUNTIFS($I$4:changes[[#This Row],[Name]],changes[[#This Row],[Name]], $E$4:changes[[#This Row],[Type of change]], "Edit")),B1295)</f>
        <v>1</v>
      </c>
      <c r="C1296" s="16">
        <v>44655</v>
      </c>
      <c r="D1296" s="1" t="s">
        <v>2753</v>
      </c>
      <c r="E1296" t="s">
        <v>27</v>
      </c>
      <c r="F1296" s="10" t="s">
        <v>9</v>
      </c>
      <c r="G1296" t="s">
        <v>2754</v>
      </c>
      <c r="H1296" t="s">
        <v>55</v>
      </c>
      <c r="I1296" t="s">
        <v>1161</v>
      </c>
      <c r="K1296" s="2"/>
      <c r="M1296" t="s">
        <v>2745</v>
      </c>
    </row>
    <row r="1297" spans="1:13">
      <c r="A1297" t="s">
        <v>28</v>
      </c>
      <c r="B1297">
        <f ca="1">IF(OR(changes[[#This Row],[Type]]="Checklist",changes[[#This Row],[Type]]="checklist-flat"),1+IF(changes[[#This Row],[Type of change]] = "Edit",COUNTIFS($I$4:changes[[#This Row],[Name]],changes[[#This Row],[Name]], $E$4:changes[[#This Row],[Type of change]], "Edit")),B1296)</f>
        <v>1</v>
      </c>
      <c r="C1297" s="16">
        <v>44655</v>
      </c>
      <c r="D1297" s="1" t="s">
        <v>2753</v>
      </c>
      <c r="E1297" t="s">
        <v>27</v>
      </c>
      <c r="F1297" s="10" t="s">
        <v>9</v>
      </c>
      <c r="G1297" t="s">
        <v>2754</v>
      </c>
      <c r="H1297" t="s">
        <v>55</v>
      </c>
      <c r="I1297" t="s">
        <v>1162</v>
      </c>
      <c r="K1297" s="2"/>
      <c r="M1297" t="s">
        <v>2745</v>
      </c>
    </row>
    <row r="1298" spans="1:13">
      <c r="A1298" t="s">
        <v>28</v>
      </c>
      <c r="B1298">
        <f ca="1">IF(OR(changes[[#This Row],[Type]]="Checklist",changes[[#This Row],[Type]]="checklist-flat"),1+IF(changes[[#This Row],[Type of change]] = "Edit",COUNTIFS($I$4:changes[[#This Row],[Name]],changes[[#This Row],[Name]], $E$4:changes[[#This Row],[Type of change]], "Edit")),B1297)</f>
        <v>1</v>
      </c>
      <c r="C1298" s="16">
        <v>44655</v>
      </c>
      <c r="D1298" s="1" t="s">
        <v>2753</v>
      </c>
      <c r="E1298" t="s">
        <v>27</v>
      </c>
      <c r="F1298" s="10" t="s">
        <v>9</v>
      </c>
      <c r="G1298" t="s">
        <v>2754</v>
      </c>
      <c r="H1298" t="s">
        <v>55</v>
      </c>
      <c r="I1298" t="s">
        <v>1163</v>
      </c>
      <c r="K1298" s="2"/>
      <c r="M1298" t="s">
        <v>2745</v>
      </c>
    </row>
    <row r="1299" spans="1:13">
      <c r="A1299" t="s">
        <v>28</v>
      </c>
      <c r="B1299">
        <f ca="1">IF(OR(changes[[#This Row],[Type]]="Checklist",changes[[#This Row],[Type]]="checklist-flat"),1+IF(changes[[#This Row],[Type of change]] = "Edit",COUNTIFS($I$4:changes[[#This Row],[Name]],changes[[#This Row],[Name]], $E$4:changes[[#This Row],[Type of change]], "Edit")),B1298)</f>
        <v>1</v>
      </c>
      <c r="C1299" s="16">
        <v>44657</v>
      </c>
      <c r="D1299" s="1" t="s">
        <v>2427</v>
      </c>
      <c r="E1299" t="s">
        <v>27</v>
      </c>
      <c r="F1299" s="10" t="s">
        <v>9</v>
      </c>
      <c r="G1299" s="30" t="s">
        <v>1819</v>
      </c>
      <c r="H1299" s="30" t="s">
        <v>478</v>
      </c>
      <c r="I1299" s="30" t="s">
        <v>1819</v>
      </c>
      <c r="K1299" s="2"/>
      <c r="M1299" s="2"/>
    </row>
    <row r="1300" spans="1:13">
      <c r="A1300" t="s">
        <v>28</v>
      </c>
      <c r="B1300">
        <f ca="1">IF(OR(changes[[#This Row],[Type]]="Checklist",changes[[#This Row],[Type]]="checklist-flat"),1+IF(changes[[#This Row],[Type of change]] = "Edit",COUNTIFS($I$4:changes[[#This Row],[Name]],changes[[#This Row],[Name]], $E$4:changes[[#This Row],[Type of change]], "Edit")),B1299)</f>
        <v>1</v>
      </c>
      <c r="C1300" s="16">
        <v>44657</v>
      </c>
      <c r="D1300" s="1" t="s">
        <v>2427</v>
      </c>
      <c r="E1300" t="s">
        <v>27</v>
      </c>
      <c r="F1300" s="10" t="s">
        <v>9</v>
      </c>
      <c r="G1300" s="30" t="s">
        <v>1819</v>
      </c>
      <c r="H1300" s="30" t="s">
        <v>55</v>
      </c>
      <c r="I1300" s="30" t="s">
        <v>1820</v>
      </c>
      <c r="K1300" s="2"/>
      <c r="M1300" s="2"/>
    </row>
    <row r="1301" spans="1:13">
      <c r="A1301" t="s">
        <v>28</v>
      </c>
      <c r="B1301">
        <f ca="1">IF(OR(changes[[#This Row],[Type]]="Checklist",changes[[#This Row],[Type]]="checklist-flat"),1+IF(changes[[#This Row],[Type of change]] = "Edit",COUNTIFS($I$4:changes[[#This Row],[Name]],changes[[#This Row],[Name]], $E$4:changes[[#This Row],[Type of change]], "Edit")),B1300)</f>
        <v>1</v>
      </c>
      <c r="C1301" s="16">
        <v>44657</v>
      </c>
      <c r="D1301" s="1" t="s">
        <v>2427</v>
      </c>
      <c r="E1301" t="s">
        <v>27</v>
      </c>
      <c r="F1301" s="10" t="s">
        <v>9</v>
      </c>
      <c r="G1301" s="30" t="s">
        <v>1819</v>
      </c>
      <c r="H1301" s="30" t="s">
        <v>55</v>
      </c>
      <c r="I1301" s="30" t="s">
        <v>1821</v>
      </c>
      <c r="K1301" s="2"/>
      <c r="M1301" s="2"/>
    </row>
    <row r="1302" spans="1:13">
      <c r="A1302" t="s">
        <v>28</v>
      </c>
      <c r="B1302">
        <f ca="1">IF(OR(changes[[#This Row],[Type]]="Checklist",changes[[#This Row],[Type]]="checklist-flat"),1+IF(changes[[#This Row],[Type of change]] = "Edit",COUNTIFS($I$4:changes[[#This Row],[Name]],changes[[#This Row],[Name]], $E$4:changes[[#This Row],[Type of change]], "Edit")),B1301)</f>
        <v>1</v>
      </c>
      <c r="C1302" s="16">
        <v>44657</v>
      </c>
      <c r="D1302" s="1" t="s">
        <v>2427</v>
      </c>
      <c r="E1302" t="s">
        <v>27</v>
      </c>
      <c r="F1302" s="10" t="s">
        <v>9</v>
      </c>
      <c r="G1302" s="30" t="s">
        <v>1819</v>
      </c>
      <c r="H1302" s="30" t="s">
        <v>55</v>
      </c>
      <c r="I1302" s="30" t="s">
        <v>1822</v>
      </c>
      <c r="K1302" s="2"/>
      <c r="M1302" s="2"/>
    </row>
    <row r="1303" spans="1:13">
      <c r="A1303" t="s">
        <v>28</v>
      </c>
      <c r="B1303">
        <f ca="1">IF(OR(changes[[#This Row],[Type]]="Checklist",changes[[#This Row],[Type]]="checklist-flat"),1+IF(changes[[#This Row],[Type of change]] = "Edit",COUNTIFS($I$4:changes[[#This Row],[Name]],changes[[#This Row],[Name]], $E$4:changes[[#This Row],[Type of change]], "Edit")),B1302)</f>
        <v>1</v>
      </c>
      <c r="C1303" s="16">
        <v>44657</v>
      </c>
      <c r="D1303" s="1" t="s">
        <v>2427</v>
      </c>
      <c r="E1303" t="s">
        <v>27</v>
      </c>
      <c r="F1303" s="10" t="s">
        <v>9</v>
      </c>
      <c r="G1303" s="30" t="s">
        <v>1819</v>
      </c>
      <c r="H1303" s="30" t="s">
        <v>55</v>
      </c>
      <c r="I1303" s="30" t="s">
        <v>1823</v>
      </c>
      <c r="K1303" s="2"/>
      <c r="M1303" s="2"/>
    </row>
    <row r="1304" spans="1:13">
      <c r="A1304" t="s">
        <v>28</v>
      </c>
      <c r="B1304">
        <f ca="1">IF(OR(changes[[#This Row],[Type]]="Checklist",changes[[#This Row],[Type]]="checklist-flat"),1+IF(changes[[#This Row],[Type of change]] = "Edit",COUNTIFS($I$4:changes[[#This Row],[Name]],changes[[#This Row],[Name]], $E$4:changes[[#This Row],[Type of change]], "Edit")),B1303)</f>
        <v>1</v>
      </c>
      <c r="C1304" s="16">
        <v>44657</v>
      </c>
      <c r="D1304" s="1" t="s">
        <v>2427</v>
      </c>
      <c r="E1304" t="s">
        <v>27</v>
      </c>
      <c r="F1304" s="10" t="s">
        <v>9</v>
      </c>
      <c r="G1304" s="30" t="s">
        <v>1819</v>
      </c>
      <c r="H1304" s="30" t="s">
        <v>55</v>
      </c>
      <c r="I1304" s="30" t="s">
        <v>1824</v>
      </c>
      <c r="K1304" s="2"/>
      <c r="M1304" s="2"/>
    </row>
    <row r="1305" spans="1:13">
      <c r="A1305" t="s">
        <v>28</v>
      </c>
      <c r="B1305">
        <f ca="1">IF(OR(changes[[#This Row],[Type]]="Checklist",changes[[#This Row],[Type]]="checklist-flat"),1+IF(changes[[#This Row],[Type of change]] = "Edit",COUNTIFS($I$4:changes[[#This Row],[Name]],changes[[#This Row],[Name]], $E$4:changes[[#This Row],[Type of change]], "Edit")),B1304)</f>
        <v>1</v>
      </c>
      <c r="C1305" s="16">
        <v>44657</v>
      </c>
      <c r="D1305" s="1" t="s">
        <v>2393</v>
      </c>
      <c r="E1305" t="s">
        <v>27</v>
      </c>
      <c r="F1305" s="10" t="s">
        <v>9</v>
      </c>
      <c r="G1305" s="10" t="s">
        <v>1949</v>
      </c>
      <c r="H1305" t="s">
        <v>47</v>
      </c>
      <c r="I1305" s="10" t="s">
        <v>1949</v>
      </c>
      <c r="K1305" s="2"/>
      <c r="M1305" s="2"/>
    </row>
    <row r="1306" spans="1:13">
      <c r="A1306" t="s">
        <v>28</v>
      </c>
      <c r="B1306">
        <f ca="1">IF(OR(changes[[#This Row],[Type]]="Checklist",changes[[#This Row],[Type]]="checklist-flat"),1+IF(changes[[#This Row],[Type of change]] = "Edit",COUNTIFS($I$4:changes[[#This Row],[Name]],changes[[#This Row],[Name]], $E$4:changes[[#This Row],[Type of change]], "Edit")),B1305)</f>
        <v>1</v>
      </c>
      <c r="C1306" s="16">
        <v>44657</v>
      </c>
      <c r="D1306" s="1" t="s">
        <v>2393</v>
      </c>
      <c r="E1306" t="s">
        <v>27</v>
      </c>
      <c r="F1306" s="10" t="s">
        <v>9</v>
      </c>
      <c r="G1306" s="10" t="s">
        <v>1949</v>
      </c>
      <c r="H1306" t="s">
        <v>269</v>
      </c>
      <c r="I1306" t="s">
        <v>1951</v>
      </c>
      <c r="K1306" s="2"/>
      <c r="M1306" s="2"/>
    </row>
    <row r="1307" spans="1:13">
      <c r="A1307" t="s">
        <v>28</v>
      </c>
      <c r="B1307">
        <f ca="1">IF(OR(changes[[#This Row],[Type]]="Checklist",changes[[#This Row],[Type]]="checklist-flat"),1+IF(changes[[#This Row],[Type of change]] = "Edit",COUNTIFS($I$4:changes[[#This Row],[Name]],changes[[#This Row],[Name]], $E$4:changes[[#This Row],[Type of change]], "Edit")),B1306)</f>
        <v>1</v>
      </c>
      <c r="C1307" s="16">
        <v>44657</v>
      </c>
      <c r="D1307" s="1" t="s">
        <v>2393</v>
      </c>
      <c r="E1307" t="s">
        <v>27</v>
      </c>
      <c r="F1307" s="10" t="s">
        <v>9</v>
      </c>
      <c r="G1307" s="10" t="s">
        <v>1949</v>
      </c>
      <c r="H1307" t="s">
        <v>269</v>
      </c>
      <c r="I1307" t="s">
        <v>1952</v>
      </c>
      <c r="K1307" s="2"/>
      <c r="M1307" s="2"/>
    </row>
    <row r="1308" spans="1:13">
      <c r="A1308" t="s">
        <v>28</v>
      </c>
      <c r="B1308">
        <f ca="1">IF(OR(changes[[#This Row],[Type]]="Checklist",changes[[#This Row],[Type]]="checklist-flat"),1+IF(changes[[#This Row],[Type of change]] = "Edit",COUNTIFS($I$4:changes[[#This Row],[Name]],changes[[#This Row],[Name]], $E$4:changes[[#This Row],[Type of change]], "Edit")),B1307)</f>
        <v>1</v>
      </c>
      <c r="C1308" s="16">
        <v>44657</v>
      </c>
      <c r="D1308" s="1" t="s">
        <v>2393</v>
      </c>
      <c r="E1308" t="s">
        <v>27</v>
      </c>
      <c r="F1308" s="10" t="s">
        <v>9</v>
      </c>
      <c r="G1308" s="10" t="s">
        <v>1949</v>
      </c>
      <c r="H1308" t="s">
        <v>269</v>
      </c>
      <c r="I1308" t="s">
        <v>1953</v>
      </c>
      <c r="K1308" s="2"/>
      <c r="M1308" s="2"/>
    </row>
    <row r="1309" spans="1:13">
      <c r="A1309" t="s">
        <v>28</v>
      </c>
      <c r="B1309">
        <f ca="1">IF(OR(changes[[#This Row],[Type]]="Checklist",changes[[#This Row],[Type]]="checklist-flat"),1+IF(changes[[#This Row],[Type of change]] = "Edit",COUNTIFS($I$4:changes[[#This Row],[Name]],changes[[#This Row],[Name]], $E$4:changes[[#This Row],[Type of change]], "Edit")),B1308)</f>
        <v>1</v>
      </c>
      <c r="C1309" s="16">
        <v>44657</v>
      </c>
      <c r="D1309" s="1" t="s">
        <v>2393</v>
      </c>
      <c r="E1309" t="s">
        <v>27</v>
      </c>
      <c r="F1309" s="10" t="s">
        <v>9</v>
      </c>
      <c r="G1309" s="10" t="s">
        <v>1949</v>
      </c>
      <c r="H1309" t="s">
        <v>269</v>
      </c>
      <c r="I1309" t="s">
        <v>1954</v>
      </c>
      <c r="K1309" s="2"/>
      <c r="M1309" s="2"/>
    </row>
    <row r="1310" spans="1:13">
      <c r="A1310" t="s">
        <v>28</v>
      </c>
      <c r="B1310">
        <f ca="1">IF(OR(changes[[#This Row],[Type]]="Checklist",changes[[#This Row],[Type]]="checklist-flat"),1+IF(changes[[#This Row],[Type of change]] = "Edit",COUNTIFS($I$4:changes[[#This Row],[Name]],changes[[#This Row],[Name]], $E$4:changes[[#This Row],[Type of change]], "Edit")),B1309)</f>
        <v>1</v>
      </c>
      <c r="C1310" s="16">
        <v>44657</v>
      </c>
      <c r="D1310" s="1" t="s">
        <v>2393</v>
      </c>
      <c r="E1310" t="s">
        <v>27</v>
      </c>
      <c r="F1310" s="10" t="s">
        <v>9</v>
      </c>
      <c r="G1310" s="10" t="s">
        <v>1949</v>
      </c>
      <c r="H1310" t="s">
        <v>269</v>
      </c>
      <c r="I1310" t="s">
        <v>1955</v>
      </c>
      <c r="K1310" s="2"/>
      <c r="M1310" s="2"/>
    </row>
    <row r="1311" spans="1:13">
      <c r="A1311" t="s">
        <v>28</v>
      </c>
      <c r="B1311">
        <f ca="1">IF(OR(changes[[#This Row],[Type]]="Checklist",changes[[#This Row],[Type]]="checklist-flat"),1+IF(changes[[#This Row],[Type of change]] = "Edit",COUNTIFS($I$4:changes[[#This Row],[Name]],changes[[#This Row],[Name]], $E$4:changes[[#This Row],[Type of change]], "Edit")),B1310)</f>
        <v>1</v>
      </c>
      <c r="C1311" s="16">
        <v>44657</v>
      </c>
      <c r="D1311" s="1" t="s">
        <v>2393</v>
      </c>
      <c r="E1311" t="s">
        <v>27</v>
      </c>
      <c r="F1311" s="10" t="s">
        <v>9</v>
      </c>
      <c r="G1311" s="10" t="s">
        <v>1949</v>
      </c>
      <c r="H1311" t="s">
        <v>269</v>
      </c>
      <c r="I1311" t="s">
        <v>1956</v>
      </c>
      <c r="K1311" s="2"/>
      <c r="M1311" s="2"/>
    </row>
    <row r="1312" spans="1:13">
      <c r="A1312" t="s">
        <v>28</v>
      </c>
      <c r="B1312">
        <f ca="1">IF(OR(changes[[#This Row],[Type]]="Checklist",changes[[#This Row],[Type]]="checklist-flat"),1+IF(changes[[#This Row],[Type of change]] = "Edit",COUNTIFS($I$4:changes[[#This Row],[Name]],changes[[#This Row],[Name]], $E$4:changes[[#This Row],[Type of change]], "Edit")),B1311)</f>
        <v>1</v>
      </c>
      <c r="C1312" s="16">
        <v>44657</v>
      </c>
      <c r="D1312" s="1" t="s">
        <v>2393</v>
      </c>
      <c r="E1312" t="s">
        <v>27</v>
      </c>
      <c r="F1312" s="10" t="s">
        <v>9</v>
      </c>
      <c r="G1312" s="10" t="s">
        <v>1949</v>
      </c>
      <c r="H1312" t="s">
        <v>269</v>
      </c>
      <c r="I1312" t="s">
        <v>1957</v>
      </c>
      <c r="K1312" s="2"/>
      <c r="M1312" s="2"/>
    </row>
    <row r="1313" spans="1:13">
      <c r="A1313" t="s">
        <v>28</v>
      </c>
      <c r="B1313">
        <f ca="1">IF(OR(changes[[#This Row],[Type]]="Checklist",changes[[#This Row],[Type]]="checklist-flat"),1+IF(changes[[#This Row],[Type of change]] = "Edit",COUNTIFS($I$4:changes[[#This Row],[Name]],changes[[#This Row],[Name]], $E$4:changes[[#This Row],[Type of change]], "Edit")),B1312)</f>
        <v>1</v>
      </c>
      <c r="C1313" s="16">
        <v>44657</v>
      </c>
      <c r="D1313" s="1" t="s">
        <v>2393</v>
      </c>
      <c r="E1313" t="s">
        <v>27</v>
      </c>
      <c r="F1313" s="10" t="s">
        <v>9</v>
      </c>
      <c r="G1313" s="10" t="s">
        <v>1949</v>
      </c>
      <c r="H1313" t="s">
        <v>269</v>
      </c>
      <c r="I1313" t="s">
        <v>1958</v>
      </c>
      <c r="K1313" s="2"/>
      <c r="M1313" s="2"/>
    </row>
    <row r="1314" spans="1:13">
      <c r="A1314" t="s">
        <v>28</v>
      </c>
      <c r="B1314">
        <f ca="1">IF(OR(changes[[#This Row],[Type]]="Checklist",changes[[#This Row],[Type]]="checklist-flat"),1+IF(changes[[#This Row],[Type of change]] = "Edit",COUNTIFS($I$4:changes[[#This Row],[Name]],changes[[#This Row],[Name]], $E$4:changes[[#This Row],[Type of change]], "Edit")),B1313)</f>
        <v>1</v>
      </c>
      <c r="C1314" s="16">
        <v>44657</v>
      </c>
      <c r="D1314" s="1" t="s">
        <v>2393</v>
      </c>
      <c r="E1314" t="s">
        <v>27</v>
      </c>
      <c r="F1314" s="10" t="s">
        <v>9</v>
      </c>
      <c r="G1314" s="10" t="s">
        <v>1949</v>
      </c>
      <c r="H1314" t="s">
        <v>269</v>
      </c>
      <c r="I1314" t="s">
        <v>1959</v>
      </c>
      <c r="K1314" s="2"/>
      <c r="M1314" s="2"/>
    </row>
    <row r="1315" spans="1:13">
      <c r="A1315" t="s">
        <v>28</v>
      </c>
      <c r="B1315">
        <f ca="1">IF(OR(changes[[#This Row],[Type]]="Checklist",changes[[#This Row],[Type]]="checklist-flat"),1+IF(changes[[#This Row],[Type of change]] = "Edit",COUNTIFS($I$4:changes[[#This Row],[Name]],changes[[#This Row],[Name]], $E$4:changes[[#This Row],[Type of change]], "Edit")),B1314)</f>
        <v>1</v>
      </c>
      <c r="C1315" s="16">
        <v>44657</v>
      </c>
      <c r="D1315" s="1" t="s">
        <v>2393</v>
      </c>
      <c r="E1315" t="s">
        <v>27</v>
      </c>
      <c r="F1315" s="10" t="s">
        <v>9</v>
      </c>
      <c r="G1315" s="10" t="s">
        <v>1939</v>
      </c>
      <c r="H1315" t="s">
        <v>47</v>
      </c>
      <c r="I1315" s="10" t="s">
        <v>1939</v>
      </c>
      <c r="K1315" s="2"/>
      <c r="M1315" s="2"/>
    </row>
    <row r="1316" spans="1:13">
      <c r="A1316" t="s">
        <v>28</v>
      </c>
      <c r="B1316">
        <f ca="1">IF(OR(changes[[#This Row],[Type]]="Checklist",changes[[#This Row],[Type]]="checklist-flat"),1+IF(changes[[#This Row],[Type of change]] = "Edit",COUNTIFS($I$4:changes[[#This Row],[Name]],changes[[#This Row],[Name]], $E$4:changes[[#This Row],[Type of change]], "Edit")),B1315)</f>
        <v>1</v>
      </c>
      <c r="C1316" s="16">
        <v>44657</v>
      </c>
      <c r="D1316" s="1" t="s">
        <v>2393</v>
      </c>
      <c r="E1316" t="s">
        <v>27</v>
      </c>
      <c r="F1316" s="10" t="s">
        <v>9</v>
      </c>
      <c r="G1316" s="10" t="s">
        <v>1939</v>
      </c>
      <c r="H1316" t="s">
        <v>269</v>
      </c>
      <c r="I1316" s="10" t="s">
        <v>1940</v>
      </c>
      <c r="K1316" s="2"/>
      <c r="M1316" s="2"/>
    </row>
    <row r="1317" spans="1:13">
      <c r="A1317" t="s">
        <v>28</v>
      </c>
      <c r="B1317">
        <f ca="1">IF(OR(changes[[#This Row],[Type]]="Checklist",changes[[#This Row],[Type]]="checklist-flat"),1+IF(changes[[#This Row],[Type of change]] = "Edit",COUNTIFS($I$4:changes[[#This Row],[Name]],changes[[#This Row],[Name]], $E$4:changes[[#This Row],[Type of change]], "Edit")),B1316)</f>
        <v>1</v>
      </c>
      <c r="C1317" s="16">
        <v>44657</v>
      </c>
      <c r="D1317" s="1" t="s">
        <v>2393</v>
      </c>
      <c r="E1317" t="s">
        <v>27</v>
      </c>
      <c r="F1317" s="10" t="s">
        <v>9</v>
      </c>
      <c r="G1317" s="10" t="s">
        <v>1939</v>
      </c>
      <c r="H1317" t="s">
        <v>269</v>
      </c>
      <c r="I1317" s="10" t="s">
        <v>1941</v>
      </c>
      <c r="K1317" s="2"/>
      <c r="M1317" s="2"/>
    </row>
    <row r="1318" spans="1:13">
      <c r="A1318" t="s">
        <v>28</v>
      </c>
      <c r="B1318">
        <f ca="1">IF(OR(changes[[#This Row],[Type]]="Checklist",changes[[#This Row],[Type]]="checklist-flat"),1+IF(changes[[#This Row],[Type of change]] = "Edit",COUNTIFS($I$4:changes[[#This Row],[Name]],changes[[#This Row],[Name]], $E$4:changes[[#This Row],[Type of change]], "Edit")),B1317)</f>
        <v>1</v>
      </c>
      <c r="C1318" s="16">
        <v>44657</v>
      </c>
      <c r="D1318" s="1" t="s">
        <v>2393</v>
      </c>
      <c r="E1318" t="s">
        <v>27</v>
      </c>
      <c r="F1318" s="10" t="s">
        <v>9</v>
      </c>
      <c r="G1318" s="10" t="s">
        <v>1939</v>
      </c>
      <c r="H1318" t="s">
        <v>269</v>
      </c>
      <c r="I1318" s="10" t="s">
        <v>1942</v>
      </c>
      <c r="K1318" s="2"/>
      <c r="M1318" s="2"/>
    </row>
    <row r="1319" spans="1:13">
      <c r="A1319" t="s">
        <v>28</v>
      </c>
      <c r="B1319">
        <f ca="1">IF(OR(changes[[#This Row],[Type]]="Checklist",changes[[#This Row],[Type]]="checklist-flat"),1+IF(changes[[#This Row],[Type of change]] = "Edit",COUNTIFS($I$4:changes[[#This Row],[Name]],changes[[#This Row],[Name]], $E$4:changes[[#This Row],[Type of change]], "Edit")),B1318)</f>
        <v>1</v>
      </c>
      <c r="C1319" s="16">
        <v>44657</v>
      </c>
      <c r="D1319" s="1" t="s">
        <v>2393</v>
      </c>
      <c r="E1319" t="s">
        <v>27</v>
      </c>
      <c r="F1319" s="10" t="s">
        <v>9</v>
      </c>
      <c r="G1319" s="10" t="s">
        <v>1939</v>
      </c>
      <c r="H1319" t="s">
        <v>269</v>
      </c>
      <c r="I1319" s="10" t="s">
        <v>1943</v>
      </c>
      <c r="K1319" s="2"/>
      <c r="M1319" s="2"/>
    </row>
    <row r="1320" spans="1:13">
      <c r="A1320" t="s">
        <v>28</v>
      </c>
      <c r="B1320">
        <f ca="1">IF(OR(changes[[#This Row],[Type]]="Checklist",changes[[#This Row],[Type]]="checklist-flat"),1+IF(changes[[#This Row],[Type of change]] = "Edit",COUNTIFS($I$4:changes[[#This Row],[Name]],changes[[#This Row],[Name]], $E$4:changes[[#This Row],[Type of change]], "Edit")),B1319)</f>
        <v>1</v>
      </c>
      <c r="C1320" s="16">
        <v>44657</v>
      </c>
      <c r="D1320" s="1" t="s">
        <v>2393</v>
      </c>
      <c r="E1320" t="s">
        <v>27</v>
      </c>
      <c r="F1320" s="10" t="s">
        <v>9</v>
      </c>
      <c r="G1320" s="10" t="s">
        <v>1939</v>
      </c>
      <c r="H1320" t="s">
        <v>269</v>
      </c>
      <c r="I1320" s="10" t="s">
        <v>1944</v>
      </c>
      <c r="K1320" s="2"/>
      <c r="M1320" s="2"/>
    </row>
    <row r="1321" spans="1:13">
      <c r="A1321" t="s">
        <v>28</v>
      </c>
      <c r="B1321">
        <f ca="1">IF(OR(changes[[#This Row],[Type]]="Checklist",changes[[#This Row],[Type]]="checklist-flat"),1+IF(changes[[#This Row],[Type of change]] = "Edit",COUNTIFS($I$4:changes[[#This Row],[Name]],changes[[#This Row],[Name]], $E$4:changes[[#This Row],[Type of change]], "Edit")),B1320)</f>
        <v>1</v>
      </c>
      <c r="C1321" s="16">
        <v>44657</v>
      </c>
      <c r="D1321" s="1" t="s">
        <v>2393</v>
      </c>
      <c r="E1321" t="s">
        <v>27</v>
      </c>
      <c r="F1321" s="10" t="s">
        <v>9</v>
      </c>
      <c r="G1321" s="10" t="s">
        <v>1939</v>
      </c>
      <c r="H1321" t="s">
        <v>269</v>
      </c>
      <c r="I1321" s="10" t="s">
        <v>1945</v>
      </c>
      <c r="K1321" s="2"/>
      <c r="M1321" s="2"/>
    </row>
    <row r="1322" spans="1:13">
      <c r="A1322" t="s">
        <v>28</v>
      </c>
      <c r="B1322">
        <f ca="1">IF(OR(changes[[#This Row],[Type]]="Checklist",changes[[#This Row],[Type]]="checklist-flat"),1+IF(changes[[#This Row],[Type of change]] = "Edit",COUNTIFS($I$4:changes[[#This Row],[Name]],changes[[#This Row],[Name]], $E$4:changes[[#This Row],[Type of change]], "Edit")),B1321)</f>
        <v>1</v>
      </c>
      <c r="C1322" s="16">
        <v>44657</v>
      </c>
      <c r="D1322" s="1" t="s">
        <v>2393</v>
      </c>
      <c r="E1322" t="s">
        <v>27</v>
      </c>
      <c r="F1322" s="10" t="s">
        <v>9</v>
      </c>
      <c r="G1322" s="10" t="s">
        <v>1939</v>
      </c>
      <c r="H1322" t="s">
        <v>269</v>
      </c>
      <c r="I1322" s="10" t="s">
        <v>1946</v>
      </c>
      <c r="K1322" s="2"/>
      <c r="M1322" s="2"/>
    </row>
    <row r="1323" spans="1:13">
      <c r="A1323" t="s">
        <v>28</v>
      </c>
      <c r="B1323">
        <f ca="1">IF(OR(changes[[#This Row],[Type]]="Checklist",changes[[#This Row],[Type]]="checklist-flat"),1+IF(changes[[#This Row],[Type of change]] = "Edit",COUNTIFS($I$4:changes[[#This Row],[Name]],changes[[#This Row],[Name]], $E$4:changes[[#This Row],[Type of change]], "Edit")),B1322)</f>
        <v>1</v>
      </c>
      <c r="C1323" s="16">
        <v>44657</v>
      </c>
      <c r="D1323" s="1" t="s">
        <v>2393</v>
      </c>
      <c r="E1323" t="s">
        <v>27</v>
      </c>
      <c r="F1323" s="10" t="s">
        <v>9</v>
      </c>
      <c r="G1323" s="10" t="s">
        <v>1939</v>
      </c>
      <c r="H1323" t="s">
        <v>269</v>
      </c>
      <c r="I1323" s="10" t="s">
        <v>1947</v>
      </c>
      <c r="K1323" s="2"/>
      <c r="M1323" s="2"/>
    </row>
    <row r="1324" spans="1:13">
      <c r="A1324" t="s">
        <v>28</v>
      </c>
      <c r="B1324">
        <f ca="1">IF(OR(changes[[#This Row],[Type]]="Checklist",changes[[#This Row],[Type]]="checklist-flat"),1+IF(changes[[#This Row],[Type of change]] = "Edit",COUNTIFS($I$4:changes[[#This Row],[Name]],changes[[#This Row],[Name]], $E$4:changes[[#This Row],[Type of change]], "Edit")),B1323)</f>
        <v>1</v>
      </c>
      <c r="C1324" s="16">
        <v>44657</v>
      </c>
      <c r="D1324" s="1" t="s">
        <v>2393</v>
      </c>
      <c r="E1324" t="s">
        <v>27</v>
      </c>
      <c r="F1324" s="10" t="s">
        <v>9</v>
      </c>
      <c r="G1324" s="10" t="s">
        <v>1939</v>
      </c>
      <c r="H1324" t="s">
        <v>269</v>
      </c>
      <c r="I1324" s="10" t="s">
        <v>1948</v>
      </c>
      <c r="K1324" s="2"/>
      <c r="M1324" s="2"/>
    </row>
    <row r="1325" spans="1:13">
      <c r="A1325" t="s">
        <v>28</v>
      </c>
      <c r="B1325">
        <f ca="1">IF(OR(changes[[#This Row],[Type]]="Checklist",changes[[#This Row],[Type]]="checklist-flat"),1+IF(changes[[#This Row],[Type of change]] = "Edit",COUNTIFS($I$4:changes[[#This Row],[Name]],changes[[#This Row],[Name]], $E$4:changes[[#This Row],[Type of change]], "Edit")),B1324)</f>
        <v>1</v>
      </c>
      <c r="C1325" s="16">
        <v>44657</v>
      </c>
      <c r="D1325" s="1" t="s">
        <v>2393</v>
      </c>
      <c r="E1325" t="s">
        <v>27</v>
      </c>
      <c r="F1325" s="10" t="s">
        <v>9</v>
      </c>
      <c r="G1325" s="10" t="s">
        <v>1979</v>
      </c>
      <c r="H1325" t="s">
        <v>478</v>
      </c>
      <c r="I1325" s="10" t="s">
        <v>1979</v>
      </c>
      <c r="K1325" s="2"/>
      <c r="M1325" s="2"/>
    </row>
    <row r="1326" spans="1:13">
      <c r="A1326" t="s">
        <v>28</v>
      </c>
      <c r="B1326">
        <f ca="1">IF(OR(changes[[#This Row],[Type]]="Checklist",changes[[#This Row],[Type]]="checklist-flat"),1+IF(changes[[#This Row],[Type of change]] = "Edit",COUNTIFS($I$4:changes[[#This Row],[Name]],changes[[#This Row],[Name]], $E$4:changes[[#This Row],[Type of change]], "Edit")),B1325)</f>
        <v>1</v>
      </c>
      <c r="C1326" s="16">
        <v>44657</v>
      </c>
      <c r="D1326" s="1" t="s">
        <v>2393</v>
      </c>
      <c r="E1326" t="s">
        <v>27</v>
      </c>
      <c r="F1326" s="10" t="s">
        <v>9</v>
      </c>
      <c r="G1326" s="10" t="s">
        <v>1979</v>
      </c>
      <c r="H1326" t="s">
        <v>479</v>
      </c>
      <c r="I1326" t="s">
        <v>1381</v>
      </c>
      <c r="K1326" s="2"/>
      <c r="M1326" s="2"/>
    </row>
    <row r="1327" spans="1:13">
      <c r="A1327" t="s">
        <v>28</v>
      </c>
      <c r="B1327">
        <f ca="1">IF(OR(changes[[#This Row],[Type]]="Checklist",changes[[#This Row],[Type]]="checklist-flat"),1+IF(changes[[#This Row],[Type of change]] = "Edit",COUNTIFS($I$4:changes[[#This Row],[Name]],changes[[#This Row],[Name]], $E$4:changes[[#This Row],[Type of change]], "Edit")),B1326)</f>
        <v>1</v>
      </c>
      <c r="C1327" s="16">
        <v>44657</v>
      </c>
      <c r="D1327" s="1" t="s">
        <v>2393</v>
      </c>
      <c r="E1327" t="s">
        <v>27</v>
      </c>
      <c r="F1327" s="10" t="s">
        <v>9</v>
      </c>
      <c r="G1327" s="10" t="s">
        <v>1979</v>
      </c>
      <c r="H1327" t="s">
        <v>55</v>
      </c>
      <c r="I1327" t="s">
        <v>1980</v>
      </c>
      <c r="K1327" s="2"/>
      <c r="M1327" s="2"/>
    </row>
    <row r="1328" spans="1:13">
      <c r="A1328" t="s">
        <v>28</v>
      </c>
      <c r="B1328">
        <f ca="1">IF(OR(changes[[#This Row],[Type]]="Checklist",changes[[#This Row],[Type]]="checklist-flat"),1+IF(changes[[#This Row],[Type of change]] = "Edit",COUNTIFS($I$4:changes[[#This Row],[Name]],changes[[#This Row],[Name]], $E$4:changes[[#This Row],[Type of change]], "Edit")),B1327)</f>
        <v>1</v>
      </c>
      <c r="C1328" s="16">
        <v>44657</v>
      </c>
      <c r="D1328" s="1" t="s">
        <v>2393</v>
      </c>
      <c r="E1328" t="s">
        <v>27</v>
      </c>
      <c r="F1328" s="10" t="s">
        <v>9</v>
      </c>
      <c r="G1328" s="10" t="s">
        <v>1979</v>
      </c>
      <c r="H1328" t="s">
        <v>55</v>
      </c>
      <c r="I1328" t="s">
        <v>1981</v>
      </c>
      <c r="K1328" s="2"/>
      <c r="M1328" s="2"/>
    </row>
    <row r="1329" spans="1:13">
      <c r="A1329" t="s">
        <v>28</v>
      </c>
      <c r="B1329">
        <f ca="1">IF(OR(changes[[#This Row],[Type]]="Checklist",changes[[#This Row],[Type]]="checklist-flat"),1+IF(changes[[#This Row],[Type of change]] = "Edit",COUNTIFS($I$4:changes[[#This Row],[Name]],changes[[#This Row],[Name]], $E$4:changes[[#This Row],[Type of change]], "Edit")),B1328)</f>
        <v>1</v>
      </c>
      <c r="C1329" s="16">
        <v>44657</v>
      </c>
      <c r="D1329" s="1" t="s">
        <v>2393</v>
      </c>
      <c r="E1329" t="s">
        <v>27</v>
      </c>
      <c r="F1329" s="10" t="s">
        <v>9</v>
      </c>
      <c r="G1329" s="10" t="s">
        <v>1979</v>
      </c>
      <c r="H1329" t="s">
        <v>479</v>
      </c>
      <c r="I1329" t="s">
        <v>1982</v>
      </c>
      <c r="K1329" s="2"/>
      <c r="M1329" s="2"/>
    </row>
    <row r="1330" spans="1:13">
      <c r="A1330" t="s">
        <v>28</v>
      </c>
      <c r="B1330">
        <f ca="1">IF(OR(changes[[#This Row],[Type]]="Checklist",changes[[#This Row],[Type]]="checklist-flat"),1+IF(changes[[#This Row],[Type of change]] = "Edit",COUNTIFS($I$4:changes[[#This Row],[Name]],changes[[#This Row],[Name]], $E$4:changes[[#This Row],[Type of change]], "Edit")),B1329)</f>
        <v>1</v>
      </c>
      <c r="C1330" s="16">
        <v>44657</v>
      </c>
      <c r="D1330" s="1" t="s">
        <v>2393</v>
      </c>
      <c r="E1330" t="s">
        <v>27</v>
      </c>
      <c r="F1330" s="10" t="s">
        <v>9</v>
      </c>
      <c r="G1330" s="10" t="s">
        <v>1979</v>
      </c>
      <c r="H1330" t="s">
        <v>55</v>
      </c>
      <c r="I1330" t="s">
        <v>1983</v>
      </c>
      <c r="K1330" s="2"/>
      <c r="M1330" s="2"/>
    </row>
    <row r="1331" spans="1:13">
      <c r="A1331" t="s">
        <v>28</v>
      </c>
      <c r="B1331">
        <f ca="1">IF(OR(changes[[#This Row],[Type]]="Checklist",changes[[#This Row],[Type]]="checklist-flat"),1+IF(changes[[#This Row],[Type of change]] = "Edit",COUNTIFS($I$4:changes[[#This Row],[Name]],changes[[#This Row],[Name]], $E$4:changes[[#This Row],[Type of change]], "Edit")),B1330)</f>
        <v>1</v>
      </c>
      <c r="C1331" s="16">
        <v>44657</v>
      </c>
      <c r="D1331" s="1" t="s">
        <v>2393</v>
      </c>
      <c r="E1331" t="s">
        <v>27</v>
      </c>
      <c r="F1331" s="10" t="s">
        <v>9</v>
      </c>
      <c r="G1331" s="10" t="s">
        <v>1979</v>
      </c>
      <c r="H1331" t="s">
        <v>55</v>
      </c>
      <c r="I1331" t="s">
        <v>1984</v>
      </c>
      <c r="K1331" s="2"/>
      <c r="M1331" s="2"/>
    </row>
    <row r="1332" spans="1:13">
      <c r="A1332" t="s">
        <v>28</v>
      </c>
      <c r="B1332">
        <f ca="1">IF(OR(changes[[#This Row],[Type]]="Checklist",changes[[#This Row],[Type]]="checklist-flat"),1+IF(changes[[#This Row],[Type of change]] = "Edit",COUNTIFS($I$4:changes[[#This Row],[Name]],changes[[#This Row],[Name]], $E$4:changes[[#This Row],[Type of change]], "Edit")),B1331)</f>
        <v>1</v>
      </c>
      <c r="C1332" s="16">
        <v>44657</v>
      </c>
      <c r="D1332" s="1" t="s">
        <v>2393</v>
      </c>
      <c r="E1332" t="s">
        <v>27</v>
      </c>
      <c r="F1332" s="10" t="s">
        <v>9</v>
      </c>
      <c r="G1332" s="10" t="s">
        <v>1979</v>
      </c>
      <c r="H1332" t="s">
        <v>479</v>
      </c>
      <c r="I1332" t="s">
        <v>1985</v>
      </c>
      <c r="K1332" s="2"/>
      <c r="M1332" s="2"/>
    </row>
    <row r="1333" spans="1:13">
      <c r="A1333" t="s">
        <v>28</v>
      </c>
      <c r="B1333">
        <f ca="1">IF(OR(changes[[#This Row],[Type]]="Checklist",changes[[#This Row],[Type]]="checklist-flat"),1+IF(changes[[#This Row],[Type of change]] = "Edit",COUNTIFS($I$4:changes[[#This Row],[Name]],changes[[#This Row],[Name]], $E$4:changes[[#This Row],[Type of change]], "Edit")),B1332)</f>
        <v>1</v>
      </c>
      <c r="C1333" s="16">
        <v>44657</v>
      </c>
      <c r="D1333" s="1" t="s">
        <v>2393</v>
      </c>
      <c r="E1333" t="s">
        <v>27</v>
      </c>
      <c r="F1333" s="10" t="s">
        <v>9</v>
      </c>
      <c r="G1333" s="10" t="s">
        <v>1979</v>
      </c>
      <c r="H1333" t="s">
        <v>55</v>
      </c>
      <c r="I1333" t="s">
        <v>1986</v>
      </c>
      <c r="K1333" s="2"/>
      <c r="M1333" s="2"/>
    </row>
    <row r="1334" spans="1:13">
      <c r="A1334" t="s">
        <v>28</v>
      </c>
      <c r="B1334">
        <f ca="1">IF(OR(changes[[#This Row],[Type]]="Checklist",changes[[#This Row],[Type]]="checklist-flat"),1+IF(changes[[#This Row],[Type of change]] = "Edit",COUNTIFS($I$4:changes[[#This Row],[Name]],changes[[#This Row],[Name]], $E$4:changes[[#This Row],[Type of change]], "Edit")),B1333)</f>
        <v>1</v>
      </c>
      <c r="C1334" s="16">
        <v>44657</v>
      </c>
      <c r="D1334" s="1" t="s">
        <v>2393</v>
      </c>
      <c r="E1334" t="s">
        <v>27</v>
      </c>
      <c r="F1334" s="10" t="s">
        <v>9</v>
      </c>
      <c r="G1334" s="10" t="s">
        <v>1979</v>
      </c>
      <c r="H1334" t="s">
        <v>55</v>
      </c>
      <c r="I1334" t="s">
        <v>1987</v>
      </c>
      <c r="K1334" s="2"/>
      <c r="M1334" s="2"/>
    </row>
    <row r="1335" spans="1:13">
      <c r="A1335" t="s">
        <v>28</v>
      </c>
      <c r="B1335">
        <f ca="1">IF(OR(changes[[#This Row],[Type]]="Checklist",changes[[#This Row],[Type]]="checklist-flat"),1+IF(changes[[#This Row],[Type of change]] = "Edit",COUNTIFS($I$4:changes[[#This Row],[Name]],changes[[#This Row],[Name]], $E$4:changes[[#This Row],[Type of change]], "Edit")),B1334)</f>
        <v>1</v>
      </c>
      <c r="C1335" s="16">
        <v>44657</v>
      </c>
      <c r="D1335" s="1" t="s">
        <v>2393</v>
      </c>
      <c r="E1335" t="s">
        <v>27</v>
      </c>
      <c r="F1335" s="10" t="s">
        <v>9</v>
      </c>
      <c r="G1335" s="10" t="s">
        <v>1979</v>
      </c>
      <c r="H1335" t="s">
        <v>55</v>
      </c>
      <c r="I1335" t="s">
        <v>1988</v>
      </c>
      <c r="K1335" s="2"/>
      <c r="M1335" s="2"/>
    </row>
    <row r="1336" spans="1:13">
      <c r="A1336" t="s">
        <v>28</v>
      </c>
      <c r="B1336">
        <f ca="1">IF(OR(changes[[#This Row],[Type]]="Checklist",changes[[#This Row],[Type]]="checklist-flat"),1+IF(changes[[#This Row],[Type of change]] = "Edit",COUNTIFS($I$4:changes[[#This Row],[Name]],changes[[#This Row],[Name]], $E$4:changes[[#This Row],[Type of change]], "Edit")),B1335)</f>
        <v>1</v>
      </c>
      <c r="C1336" s="16">
        <v>44657</v>
      </c>
      <c r="D1336" s="1" t="s">
        <v>2393</v>
      </c>
      <c r="E1336" t="s">
        <v>27</v>
      </c>
      <c r="F1336" s="10" t="s">
        <v>9</v>
      </c>
      <c r="G1336" s="10" t="s">
        <v>1979</v>
      </c>
      <c r="H1336" t="s">
        <v>55</v>
      </c>
      <c r="I1336" t="s">
        <v>1989</v>
      </c>
      <c r="K1336" s="2"/>
      <c r="M1336" s="2"/>
    </row>
    <row r="1337" spans="1:13">
      <c r="A1337" t="s">
        <v>28</v>
      </c>
      <c r="B1337">
        <f ca="1">IF(OR(changes[[#This Row],[Type]]="Checklist",changes[[#This Row],[Type]]="checklist-flat"),1+IF(changes[[#This Row],[Type of change]] = "Edit",COUNTIFS($I$4:changes[[#This Row],[Name]],changes[[#This Row],[Name]], $E$4:changes[[#This Row],[Type of change]], "Edit")),B1336)</f>
        <v>1</v>
      </c>
      <c r="C1337" s="16">
        <v>44658</v>
      </c>
      <c r="D1337" s="1" t="s">
        <v>2393</v>
      </c>
      <c r="E1337" t="s">
        <v>27</v>
      </c>
      <c r="F1337" s="10" t="s">
        <v>9</v>
      </c>
      <c r="G1337" t="s">
        <v>1960</v>
      </c>
      <c r="H1337" t="s">
        <v>478</v>
      </c>
      <c r="I1337" t="s">
        <v>1960</v>
      </c>
      <c r="K1337" s="2"/>
      <c r="M1337" s="2"/>
    </row>
    <row r="1338" spans="1:13">
      <c r="A1338" t="s">
        <v>28</v>
      </c>
      <c r="B1338">
        <f ca="1">IF(OR(changes[[#This Row],[Type]]="Checklist",changes[[#This Row],[Type]]="checklist-flat"),1+IF(changes[[#This Row],[Type of change]] = "Edit",COUNTIFS($I$4:changes[[#This Row],[Name]],changes[[#This Row],[Name]], $E$4:changes[[#This Row],[Type of change]], "Edit")),B1337)</f>
        <v>1</v>
      </c>
      <c r="C1338" s="16">
        <v>44658</v>
      </c>
      <c r="D1338" s="1" t="s">
        <v>2393</v>
      </c>
      <c r="E1338" t="s">
        <v>27</v>
      </c>
      <c r="F1338" s="10" t="s">
        <v>9</v>
      </c>
      <c r="G1338" t="s">
        <v>1960</v>
      </c>
      <c r="H1338" t="s">
        <v>479</v>
      </c>
      <c r="I1338" t="s">
        <v>1961</v>
      </c>
      <c r="K1338" s="2"/>
      <c r="M1338" s="2"/>
    </row>
    <row r="1339" spans="1:13">
      <c r="A1339" t="s">
        <v>28</v>
      </c>
      <c r="B1339">
        <f ca="1">IF(OR(changes[[#This Row],[Type]]="Checklist",changes[[#This Row],[Type]]="checklist-flat"),1+IF(changes[[#This Row],[Type of change]] = "Edit",COUNTIFS($I$4:changes[[#This Row],[Name]],changes[[#This Row],[Name]], $E$4:changes[[#This Row],[Type of change]], "Edit")),B1338)</f>
        <v>1</v>
      </c>
      <c r="C1339" s="16">
        <v>44658</v>
      </c>
      <c r="D1339" s="1" t="s">
        <v>2393</v>
      </c>
      <c r="E1339" t="s">
        <v>27</v>
      </c>
      <c r="F1339" s="10" t="s">
        <v>9</v>
      </c>
      <c r="G1339" t="s">
        <v>1960</v>
      </c>
      <c r="H1339" t="s">
        <v>55</v>
      </c>
      <c r="I1339" t="s">
        <v>1962</v>
      </c>
      <c r="K1339" s="2"/>
      <c r="M1339" s="2"/>
    </row>
    <row r="1340" spans="1:13">
      <c r="A1340" t="s">
        <v>28</v>
      </c>
      <c r="B1340">
        <f ca="1">IF(OR(changes[[#This Row],[Type]]="Checklist",changes[[#This Row],[Type]]="checklist-flat"),1+IF(changes[[#This Row],[Type of change]] = "Edit",COUNTIFS($I$4:changes[[#This Row],[Name]],changes[[#This Row],[Name]], $E$4:changes[[#This Row],[Type of change]], "Edit")),B1339)</f>
        <v>1</v>
      </c>
      <c r="C1340" s="16">
        <v>44658</v>
      </c>
      <c r="D1340" s="1" t="s">
        <v>2393</v>
      </c>
      <c r="E1340" t="s">
        <v>27</v>
      </c>
      <c r="F1340" s="10" t="s">
        <v>9</v>
      </c>
      <c r="G1340" t="s">
        <v>1960</v>
      </c>
      <c r="H1340" t="s">
        <v>55</v>
      </c>
      <c r="I1340" t="s">
        <v>1963</v>
      </c>
      <c r="K1340" s="2"/>
      <c r="M1340" s="2"/>
    </row>
    <row r="1341" spans="1:13">
      <c r="A1341" t="s">
        <v>28</v>
      </c>
      <c r="B1341">
        <f ca="1">IF(OR(changes[[#This Row],[Type]]="Checklist",changes[[#This Row],[Type]]="checklist-flat"),1+IF(changes[[#This Row],[Type of change]] = "Edit",COUNTIFS($I$4:changes[[#This Row],[Name]],changes[[#This Row],[Name]], $E$4:changes[[#This Row],[Type of change]], "Edit")),B1340)</f>
        <v>1</v>
      </c>
      <c r="C1341" s="16">
        <v>44658</v>
      </c>
      <c r="D1341" s="1" t="s">
        <v>2393</v>
      </c>
      <c r="E1341" t="s">
        <v>27</v>
      </c>
      <c r="F1341" s="10" t="s">
        <v>9</v>
      </c>
      <c r="G1341" t="s">
        <v>1960</v>
      </c>
      <c r="H1341" t="s">
        <v>55</v>
      </c>
      <c r="I1341" t="s">
        <v>1964</v>
      </c>
      <c r="K1341" s="2"/>
      <c r="M1341" s="2"/>
    </row>
    <row r="1342" spans="1:13">
      <c r="A1342" t="s">
        <v>28</v>
      </c>
      <c r="B1342">
        <f ca="1">IF(OR(changes[[#This Row],[Type]]="Checklist",changes[[#This Row],[Type]]="checklist-flat"),1+IF(changes[[#This Row],[Type of change]] = "Edit",COUNTIFS($I$4:changes[[#This Row],[Name]],changes[[#This Row],[Name]], $E$4:changes[[#This Row],[Type of change]], "Edit")),B1341)</f>
        <v>1</v>
      </c>
      <c r="C1342" s="16">
        <v>44658</v>
      </c>
      <c r="D1342" s="1" t="s">
        <v>2393</v>
      </c>
      <c r="E1342" t="s">
        <v>27</v>
      </c>
      <c r="F1342" s="10" t="s">
        <v>9</v>
      </c>
      <c r="G1342" t="s">
        <v>1960</v>
      </c>
      <c r="H1342" t="s">
        <v>55</v>
      </c>
      <c r="I1342" t="s">
        <v>1965</v>
      </c>
      <c r="K1342" s="2"/>
      <c r="M1342" s="2"/>
    </row>
    <row r="1343" spans="1:13">
      <c r="A1343" t="s">
        <v>28</v>
      </c>
      <c r="B1343">
        <f ca="1">IF(OR(changes[[#This Row],[Type]]="Checklist",changes[[#This Row],[Type]]="checklist-flat"),1+IF(changes[[#This Row],[Type of change]] = "Edit",COUNTIFS($I$4:changes[[#This Row],[Name]],changes[[#This Row],[Name]], $E$4:changes[[#This Row],[Type of change]], "Edit")),B1342)</f>
        <v>1</v>
      </c>
      <c r="C1343" s="16">
        <v>44658</v>
      </c>
      <c r="D1343" s="1" t="s">
        <v>2393</v>
      </c>
      <c r="E1343" t="s">
        <v>27</v>
      </c>
      <c r="F1343" s="10" t="s">
        <v>9</v>
      </c>
      <c r="G1343" t="s">
        <v>1960</v>
      </c>
      <c r="H1343" t="s">
        <v>55</v>
      </c>
      <c r="I1343" t="s">
        <v>1966</v>
      </c>
      <c r="K1343" s="2"/>
      <c r="M1343" s="2"/>
    </row>
    <row r="1344" spans="1:13">
      <c r="A1344" t="s">
        <v>28</v>
      </c>
      <c r="B1344">
        <f ca="1">IF(OR(changes[[#This Row],[Type]]="Checklist",changes[[#This Row],[Type]]="checklist-flat"),1+IF(changes[[#This Row],[Type of change]] = "Edit",COUNTIFS($I$4:changes[[#This Row],[Name]],changes[[#This Row],[Name]], $E$4:changes[[#This Row],[Type of change]], "Edit")),B1343)</f>
        <v>1</v>
      </c>
      <c r="C1344" s="16">
        <v>44658</v>
      </c>
      <c r="D1344" s="1" t="s">
        <v>2393</v>
      </c>
      <c r="E1344" t="s">
        <v>27</v>
      </c>
      <c r="F1344" s="10" t="s">
        <v>9</v>
      </c>
      <c r="G1344" t="s">
        <v>1960</v>
      </c>
      <c r="H1344" t="s">
        <v>55</v>
      </c>
      <c r="I1344" t="s">
        <v>1967</v>
      </c>
      <c r="K1344" s="2"/>
      <c r="M1344" s="2"/>
    </row>
    <row r="1345" spans="1:13">
      <c r="A1345" t="s">
        <v>28</v>
      </c>
      <c r="B1345">
        <f ca="1">IF(OR(changes[[#This Row],[Type]]="Checklist",changes[[#This Row],[Type]]="checklist-flat"),1+IF(changes[[#This Row],[Type of change]] = "Edit",COUNTIFS($I$4:changes[[#This Row],[Name]],changes[[#This Row],[Name]], $E$4:changes[[#This Row],[Type of change]], "Edit")),B1344)</f>
        <v>1</v>
      </c>
      <c r="C1345" s="16">
        <v>44658</v>
      </c>
      <c r="D1345" s="1" t="s">
        <v>2393</v>
      </c>
      <c r="E1345" t="s">
        <v>27</v>
      </c>
      <c r="F1345" s="10" t="s">
        <v>9</v>
      </c>
      <c r="G1345" t="s">
        <v>1960</v>
      </c>
      <c r="H1345" t="s">
        <v>479</v>
      </c>
      <c r="I1345" t="s">
        <v>1968</v>
      </c>
      <c r="K1345" s="2"/>
      <c r="M1345" s="2"/>
    </row>
    <row r="1346" spans="1:13">
      <c r="A1346" t="s">
        <v>28</v>
      </c>
      <c r="B1346">
        <f ca="1">IF(OR(changes[[#This Row],[Type]]="Checklist",changes[[#This Row],[Type]]="checklist-flat"),1+IF(changes[[#This Row],[Type of change]] = "Edit",COUNTIFS($I$4:changes[[#This Row],[Name]],changes[[#This Row],[Name]], $E$4:changes[[#This Row],[Type of change]], "Edit")),B1345)</f>
        <v>1</v>
      </c>
      <c r="C1346" s="16">
        <v>44658</v>
      </c>
      <c r="D1346" s="1" t="s">
        <v>2393</v>
      </c>
      <c r="E1346" t="s">
        <v>27</v>
      </c>
      <c r="F1346" s="10" t="s">
        <v>9</v>
      </c>
      <c r="G1346" t="s">
        <v>1960</v>
      </c>
      <c r="H1346" t="s">
        <v>55</v>
      </c>
      <c r="I1346" t="s">
        <v>1969</v>
      </c>
      <c r="K1346" s="2"/>
      <c r="M1346" s="2"/>
    </row>
    <row r="1347" spans="1:13">
      <c r="A1347" t="s">
        <v>28</v>
      </c>
      <c r="B1347">
        <f ca="1">IF(OR(changes[[#This Row],[Type]]="Checklist",changes[[#This Row],[Type]]="checklist-flat"),1+IF(changes[[#This Row],[Type of change]] = "Edit",COUNTIFS($I$4:changes[[#This Row],[Name]],changes[[#This Row],[Name]], $E$4:changes[[#This Row],[Type of change]], "Edit")),B1346)</f>
        <v>1</v>
      </c>
      <c r="C1347" s="16">
        <v>44658</v>
      </c>
      <c r="D1347" s="1" t="s">
        <v>2393</v>
      </c>
      <c r="E1347" t="s">
        <v>27</v>
      </c>
      <c r="F1347" s="10" t="s">
        <v>9</v>
      </c>
      <c r="G1347" t="s">
        <v>1960</v>
      </c>
      <c r="H1347" t="s">
        <v>479</v>
      </c>
      <c r="I1347" t="s">
        <v>1970</v>
      </c>
      <c r="K1347" s="2"/>
      <c r="M1347" s="2"/>
    </row>
    <row r="1348" spans="1:13">
      <c r="A1348" t="s">
        <v>28</v>
      </c>
      <c r="B1348">
        <f ca="1">IF(OR(changes[[#This Row],[Type]]="Checklist",changes[[#This Row],[Type]]="checklist-flat"),1+IF(changes[[#This Row],[Type of change]] = "Edit",COUNTIFS($I$4:changes[[#This Row],[Name]],changes[[#This Row],[Name]], $E$4:changes[[#This Row],[Type of change]], "Edit")),B1347)</f>
        <v>1</v>
      </c>
      <c r="C1348" s="16">
        <v>44658</v>
      </c>
      <c r="D1348" s="1" t="s">
        <v>2393</v>
      </c>
      <c r="E1348" t="s">
        <v>27</v>
      </c>
      <c r="F1348" s="10" t="s">
        <v>9</v>
      </c>
      <c r="G1348" t="s">
        <v>1960</v>
      </c>
      <c r="H1348" t="s">
        <v>55</v>
      </c>
      <c r="I1348" t="s">
        <v>1971</v>
      </c>
      <c r="K1348" s="2"/>
      <c r="M1348" s="2"/>
    </row>
    <row r="1349" spans="1:13">
      <c r="A1349" t="s">
        <v>28</v>
      </c>
      <c r="B1349">
        <f ca="1">IF(OR(changes[[#This Row],[Type]]="Checklist",changes[[#This Row],[Type]]="checklist-flat"),1+IF(changes[[#This Row],[Type of change]] = "Edit",COUNTIFS($I$4:changes[[#This Row],[Name]],changes[[#This Row],[Name]], $E$4:changes[[#This Row],[Type of change]], "Edit")),B1348)</f>
        <v>1</v>
      </c>
      <c r="C1349" s="16">
        <v>44658</v>
      </c>
      <c r="D1349" s="1" t="s">
        <v>2393</v>
      </c>
      <c r="E1349" t="s">
        <v>27</v>
      </c>
      <c r="F1349" s="10" t="s">
        <v>9</v>
      </c>
      <c r="G1349" t="s">
        <v>1960</v>
      </c>
      <c r="H1349" t="s">
        <v>479</v>
      </c>
      <c r="I1349" t="s">
        <v>1972</v>
      </c>
      <c r="K1349" s="2"/>
      <c r="M1349" s="2"/>
    </row>
    <row r="1350" spans="1:13">
      <c r="A1350" t="s">
        <v>28</v>
      </c>
      <c r="B1350">
        <f ca="1">IF(OR(changes[[#This Row],[Type]]="Checklist",changes[[#This Row],[Type]]="checklist-flat"),1+IF(changes[[#This Row],[Type of change]] = "Edit",COUNTIFS($I$4:changes[[#This Row],[Name]],changes[[#This Row],[Name]], $E$4:changes[[#This Row],[Type of change]], "Edit")),B1349)</f>
        <v>1</v>
      </c>
      <c r="C1350" s="16">
        <v>44658</v>
      </c>
      <c r="D1350" s="1" t="s">
        <v>2393</v>
      </c>
      <c r="E1350" t="s">
        <v>27</v>
      </c>
      <c r="F1350" s="10" t="s">
        <v>9</v>
      </c>
      <c r="G1350" t="s">
        <v>1960</v>
      </c>
      <c r="H1350" t="s">
        <v>55</v>
      </c>
      <c r="I1350" t="s">
        <v>1973</v>
      </c>
      <c r="K1350" s="2"/>
      <c r="M1350" s="2"/>
    </row>
    <row r="1351" spans="1:13">
      <c r="A1351" t="s">
        <v>28</v>
      </c>
      <c r="B1351">
        <f ca="1">IF(OR(changes[[#This Row],[Type]]="Checklist",changes[[#This Row],[Type]]="checklist-flat"),1+IF(changes[[#This Row],[Type of change]] = "Edit",COUNTIFS($I$4:changes[[#This Row],[Name]],changes[[#This Row],[Name]], $E$4:changes[[#This Row],[Type of change]], "Edit")),B1350)</f>
        <v>1</v>
      </c>
      <c r="C1351" s="16">
        <v>44658</v>
      </c>
      <c r="D1351" s="1" t="s">
        <v>2393</v>
      </c>
      <c r="E1351" t="s">
        <v>27</v>
      </c>
      <c r="F1351" s="10" t="s">
        <v>9</v>
      </c>
      <c r="G1351" t="s">
        <v>1960</v>
      </c>
      <c r="H1351" t="s">
        <v>55</v>
      </c>
      <c r="I1351" t="s">
        <v>1974</v>
      </c>
      <c r="K1351" s="2"/>
      <c r="M1351" s="2"/>
    </row>
    <row r="1352" spans="1:13">
      <c r="A1352" t="s">
        <v>28</v>
      </c>
      <c r="B1352">
        <f ca="1">IF(OR(changes[[#This Row],[Type]]="Checklist",changes[[#This Row],[Type]]="checklist-flat"),1+IF(changes[[#This Row],[Type of change]] = "Edit",COUNTIFS($I$4:changes[[#This Row],[Name]],changes[[#This Row],[Name]], $E$4:changes[[#This Row],[Type of change]], "Edit")),B1351)</f>
        <v>1</v>
      </c>
      <c r="C1352" s="16">
        <v>44658</v>
      </c>
      <c r="D1352" s="1" t="s">
        <v>2393</v>
      </c>
      <c r="E1352" t="s">
        <v>27</v>
      </c>
      <c r="F1352" s="10" t="s">
        <v>9</v>
      </c>
      <c r="G1352" t="s">
        <v>1960</v>
      </c>
      <c r="H1352" t="s">
        <v>479</v>
      </c>
      <c r="I1352" t="s">
        <v>34</v>
      </c>
      <c r="K1352" s="2"/>
      <c r="M1352" s="2"/>
    </row>
    <row r="1353" spans="1:13">
      <c r="A1353" t="s">
        <v>28</v>
      </c>
      <c r="B1353">
        <f ca="1">IF(OR(changes[[#This Row],[Type]]="Checklist",changes[[#This Row],[Type]]="checklist-flat"),1+IF(changes[[#This Row],[Type of change]] = "Edit",COUNTIFS($I$4:changes[[#This Row],[Name]],changes[[#This Row],[Name]], $E$4:changes[[#This Row],[Type of change]], "Edit")),B1352)</f>
        <v>1</v>
      </c>
      <c r="C1353" s="16">
        <v>44658</v>
      </c>
      <c r="D1353" s="1" t="s">
        <v>2393</v>
      </c>
      <c r="E1353" t="s">
        <v>27</v>
      </c>
      <c r="F1353" s="10" t="s">
        <v>9</v>
      </c>
      <c r="G1353" t="s">
        <v>1960</v>
      </c>
      <c r="H1353" t="s">
        <v>55</v>
      </c>
      <c r="I1353" t="s">
        <v>1975</v>
      </c>
      <c r="K1353" s="2"/>
      <c r="M1353" s="2"/>
    </row>
    <row r="1354" spans="1:13">
      <c r="A1354" t="s">
        <v>28</v>
      </c>
      <c r="B1354">
        <f ca="1">IF(OR(changes[[#This Row],[Type]]="Checklist",changes[[#This Row],[Type]]="checklist-flat"),1+IF(changes[[#This Row],[Type of change]] = "Edit",COUNTIFS($I$4:changes[[#This Row],[Name]],changes[[#This Row],[Name]], $E$4:changes[[#This Row],[Type of change]], "Edit")),B1353)</f>
        <v>1</v>
      </c>
      <c r="C1354" s="16">
        <v>44658</v>
      </c>
      <c r="D1354" s="1" t="s">
        <v>2393</v>
      </c>
      <c r="E1354" t="s">
        <v>27</v>
      </c>
      <c r="F1354" s="10" t="s">
        <v>9</v>
      </c>
      <c r="G1354" t="s">
        <v>1960</v>
      </c>
      <c r="H1354" t="s">
        <v>55</v>
      </c>
      <c r="I1354" t="s">
        <v>1976</v>
      </c>
      <c r="K1354" s="2"/>
      <c r="M1354" s="2"/>
    </row>
    <row r="1355" spans="1:13">
      <c r="A1355" t="s">
        <v>28</v>
      </c>
      <c r="B1355">
        <f ca="1">IF(OR(changes[[#This Row],[Type]]="Checklist",changes[[#This Row],[Type]]="checklist-flat"),1+IF(changes[[#This Row],[Type of change]] = "Edit",COUNTIFS($I$4:changes[[#This Row],[Name]],changes[[#This Row],[Name]], $E$4:changes[[#This Row],[Type of change]], "Edit")),B1354)</f>
        <v>1</v>
      </c>
      <c r="C1355" s="16">
        <v>44658</v>
      </c>
      <c r="D1355" s="1" t="s">
        <v>2393</v>
      </c>
      <c r="E1355" t="s">
        <v>27</v>
      </c>
      <c r="F1355" s="10" t="s">
        <v>9</v>
      </c>
      <c r="G1355" t="s">
        <v>1977</v>
      </c>
      <c r="H1355" t="s">
        <v>478</v>
      </c>
      <c r="I1355" t="s">
        <v>1977</v>
      </c>
      <c r="K1355" s="2"/>
      <c r="M1355" s="2"/>
    </row>
    <row r="1356" spans="1:13">
      <c r="A1356" t="s">
        <v>28</v>
      </c>
      <c r="B1356">
        <f ca="1">IF(OR(changes[[#This Row],[Type]]="Checklist",changes[[#This Row],[Type]]="checklist-flat"),1+IF(changes[[#This Row],[Type of change]] = "Edit",COUNTIFS($I$4:changes[[#This Row],[Name]],changes[[#This Row],[Name]], $E$4:changes[[#This Row],[Type of change]], "Edit")),B1355)</f>
        <v>1</v>
      </c>
      <c r="C1356" s="16">
        <v>44658</v>
      </c>
      <c r="D1356" s="1" t="s">
        <v>2393</v>
      </c>
      <c r="E1356" t="s">
        <v>27</v>
      </c>
      <c r="F1356" s="10" t="s">
        <v>9</v>
      </c>
      <c r="G1356" t="s">
        <v>1977</v>
      </c>
      <c r="H1356" t="s">
        <v>55</v>
      </c>
      <c r="I1356" t="s">
        <v>1978</v>
      </c>
      <c r="K1356" s="2"/>
      <c r="M1356" s="2"/>
    </row>
    <row r="1357" spans="1:13">
      <c r="A1357" t="s">
        <v>28</v>
      </c>
      <c r="B1357">
        <f ca="1">IF(OR(changes[[#This Row],[Type]]="Checklist",changes[[#This Row],[Type]]="checklist-flat"),1+IF(changes[[#This Row],[Type of change]] = "Edit",COUNTIFS($I$4:changes[[#This Row],[Name]],changes[[#This Row],[Name]], $E$4:changes[[#This Row],[Type of change]], "Edit")),B1356)</f>
        <v>1</v>
      </c>
      <c r="C1357" s="16">
        <v>44658</v>
      </c>
      <c r="D1357" s="1" t="s">
        <v>2393</v>
      </c>
      <c r="E1357" t="s">
        <v>27</v>
      </c>
      <c r="F1357" s="10" t="s">
        <v>9</v>
      </c>
      <c r="G1357" t="s">
        <v>1977</v>
      </c>
      <c r="H1357" t="s">
        <v>994</v>
      </c>
      <c r="I1357" t="s">
        <v>1273</v>
      </c>
      <c r="K1357" s="2"/>
      <c r="M1357" s="2"/>
    </row>
    <row r="1358" spans="1:13">
      <c r="A1358" t="s">
        <v>28</v>
      </c>
      <c r="B1358">
        <f ca="1">IF(OR(changes[[#This Row],[Type]]="Checklist",changes[[#This Row],[Type]]="checklist-flat"),1+IF(changes[[#This Row],[Type of change]] = "Edit",COUNTIFS($I$4:changes[[#This Row],[Name]],changes[[#This Row],[Name]], $E$4:changes[[#This Row],[Type of change]], "Edit")),B1357)</f>
        <v>1</v>
      </c>
      <c r="C1358" s="16">
        <v>44658</v>
      </c>
      <c r="D1358" s="1" t="s">
        <v>2401</v>
      </c>
      <c r="E1358" t="s">
        <v>27</v>
      </c>
      <c r="F1358" s="10" t="s">
        <v>9</v>
      </c>
      <c r="G1358" t="s">
        <v>797</v>
      </c>
      <c r="H1358" t="s">
        <v>478</v>
      </c>
      <c r="I1358" t="s">
        <v>797</v>
      </c>
      <c r="K1358" s="2"/>
      <c r="M1358" s="2"/>
    </row>
    <row r="1359" spans="1:13">
      <c r="A1359" t="s">
        <v>28</v>
      </c>
      <c r="B1359">
        <f ca="1">IF(OR(changes[[#This Row],[Type]]="Checklist",changes[[#This Row],[Type]]="checklist-flat"),1+IF(changes[[#This Row],[Type of change]] = "Edit",COUNTIFS($I$4:changes[[#This Row],[Name]],changes[[#This Row],[Name]], $E$4:changes[[#This Row],[Type of change]], "Edit")),B1358)</f>
        <v>1</v>
      </c>
      <c r="C1359" s="16">
        <v>44658</v>
      </c>
      <c r="D1359" s="1" t="s">
        <v>2401</v>
      </c>
      <c r="E1359" t="s">
        <v>27</v>
      </c>
      <c r="F1359" s="10" t="s">
        <v>9</v>
      </c>
      <c r="G1359" t="s">
        <v>797</v>
      </c>
      <c r="H1359" t="s">
        <v>55</v>
      </c>
      <c r="I1359" t="s">
        <v>2756</v>
      </c>
      <c r="K1359" s="2"/>
      <c r="M1359" s="2"/>
    </row>
    <row r="1360" spans="1:13">
      <c r="A1360" t="s">
        <v>28</v>
      </c>
      <c r="B1360">
        <f ca="1">IF(OR(changes[[#This Row],[Type]]="Checklist",changes[[#This Row],[Type]]="checklist-flat"),1+IF(changes[[#This Row],[Type of change]] = "Edit",COUNTIFS($I$4:changes[[#This Row],[Name]],changes[[#This Row],[Name]], $E$4:changes[[#This Row],[Type of change]], "Edit")),B1359)</f>
        <v>1</v>
      </c>
      <c r="C1360" s="16">
        <v>44658</v>
      </c>
      <c r="D1360" s="1" t="s">
        <v>2401</v>
      </c>
      <c r="E1360" t="s">
        <v>27</v>
      </c>
      <c r="F1360" s="10" t="s">
        <v>9</v>
      </c>
      <c r="G1360" t="s">
        <v>797</v>
      </c>
      <c r="H1360" t="s">
        <v>55</v>
      </c>
      <c r="I1360" t="s">
        <v>2757</v>
      </c>
      <c r="K1360" s="2"/>
      <c r="M1360" s="2"/>
    </row>
    <row r="1361" spans="1:13">
      <c r="A1361" t="s">
        <v>28</v>
      </c>
      <c r="B1361">
        <f ca="1">IF(OR(changes[[#This Row],[Type]]="Checklist",changes[[#This Row],[Type]]="checklist-flat"),1+IF(changes[[#This Row],[Type of change]] = "Edit",COUNTIFS($I$4:changes[[#This Row],[Name]],changes[[#This Row],[Name]], $E$4:changes[[#This Row],[Type of change]], "Edit")),B1360)</f>
        <v>1</v>
      </c>
      <c r="C1361" s="16">
        <v>44658</v>
      </c>
      <c r="D1361" s="1" t="s">
        <v>2401</v>
      </c>
      <c r="E1361" t="s">
        <v>27</v>
      </c>
      <c r="F1361" s="10" t="s">
        <v>9</v>
      </c>
      <c r="G1361" t="s">
        <v>797</v>
      </c>
      <c r="H1361" t="s">
        <v>55</v>
      </c>
      <c r="I1361" t="s">
        <v>2758</v>
      </c>
      <c r="K1361" s="2"/>
      <c r="M1361" s="2"/>
    </row>
    <row r="1362" spans="1:13">
      <c r="A1362" t="s">
        <v>28</v>
      </c>
      <c r="B1362">
        <f ca="1">IF(OR(changes[[#This Row],[Type]]="Checklist",changes[[#This Row],[Type]]="checklist-flat"),1+IF(changes[[#This Row],[Type of change]] = "Edit",COUNTIFS($I$4:changes[[#This Row],[Name]],changes[[#This Row],[Name]], $E$4:changes[[#This Row],[Type of change]], "Edit")),B1361)</f>
        <v>1</v>
      </c>
      <c r="C1362" s="16">
        <v>44658</v>
      </c>
      <c r="D1362" s="1" t="s">
        <v>2401</v>
      </c>
      <c r="E1362" t="s">
        <v>27</v>
      </c>
      <c r="F1362" s="10" t="s">
        <v>9</v>
      </c>
      <c r="G1362" t="s">
        <v>797</v>
      </c>
      <c r="H1362" t="s">
        <v>55</v>
      </c>
      <c r="I1362" t="s">
        <v>2759</v>
      </c>
      <c r="K1362" s="2"/>
      <c r="M1362" s="2"/>
    </row>
    <row r="1363" spans="1:13">
      <c r="A1363" t="s">
        <v>28</v>
      </c>
      <c r="B1363">
        <f ca="1">IF(OR(changes[[#This Row],[Type]]="Checklist",changes[[#This Row],[Type]]="checklist-flat"),1+IF(changes[[#This Row],[Type of change]] = "Edit",COUNTIFS($I$4:changes[[#This Row],[Name]],changes[[#This Row],[Name]], $E$4:changes[[#This Row],[Type of change]], "Edit")),B1362)</f>
        <v>1</v>
      </c>
      <c r="C1363" s="16">
        <v>44659</v>
      </c>
      <c r="D1363" s="1" t="s">
        <v>2427</v>
      </c>
      <c r="E1363" t="s">
        <v>27</v>
      </c>
      <c r="F1363" s="10" t="s">
        <v>9</v>
      </c>
      <c r="G1363" s="10" t="s">
        <v>1258</v>
      </c>
      <c r="H1363" t="s">
        <v>478</v>
      </c>
      <c r="I1363" s="10" t="s">
        <v>1258</v>
      </c>
      <c r="K1363" s="2"/>
      <c r="M1363" s="2"/>
    </row>
    <row r="1364" spans="1:13">
      <c r="A1364" t="s">
        <v>28</v>
      </c>
      <c r="B1364">
        <f ca="1">IF(OR(changes[[#This Row],[Type]]="Checklist",changes[[#This Row],[Type]]="checklist-flat"),1+IF(changes[[#This Row],[Type of change]] = "Edit",COUNTIFS($I$4:changes[[#This Row],[Name]],changes[[#This Row],[Name]], $E$4:changes[[#This Row],[Type of change]], "Edit")),B1363)</f>
        <v>1</v>
      </c>
      <c r="C1364" s="16">
        <v>44659</v>
      </c>
      <c r="D1364" s="1" t="s">
        <v>2427</v>
      </c>
      <c r="E1364" t="s">
        <v>27</v>
      </c>
      <c r="F1364" s="10" t="s">
        <v>9</v>
      </c>
      <c r="G1364" s="10" t="s">
        <v>1258</v>
      </c>
      <c r="H1364" t="s">
        <v>55</v>
      </c>
      <c r="I1364" t="s">
        <v>1259</v>
      </c>
      <c r="K1364" s="2"/>
      <c r="M1364" s="2"/>
    </row>
    <row r="1365" spans="1:13">
      <c r="A1365" t="s">
        <v>28</v>
      </c>
      <c r="B1365">
        <f ca="1">IF(OR(changes[[#This Row],[Type]]="Checklist",changes[[#This Row],[Type]]="checklist-flat"),1+IF(changes[[#This Row],[Type of change]] = "Edit",COUNTIFS($I$4:changes[[#This Row],[Name]],changes[[#This Row],[Name]], $E$4:changes[[#This Row],[Type of change]], "Edit")),B1364)</f>
        <v>1</v>
      </c>
      <c r="C1365" s="16">
        <v>44659</v>
      </c>
      <c r="D1365" s="1" t="s">
        <v>2427</v>
      </c>
      <c r="E1365" t="s">
        <v>27</v>
      </c>
      <c r="F1365" s="10" t="s">
        <v>9</v>
      </c>
      <c r="G1365" s="10" t="s">
        <v>1258</v>
      </c>
      <c r="H1365" t="s">
        <v>218</v>
      </c>
      <c r="I1365" t="s">
        <v>1260</v>
      </c>
      <c r="J1365" t="s">
        <v>1261</v>
      </c>
      <c r="K1365" s="2"/>
      <c r="M1365" s="2"/>
    </row>
    <row r="1366" spans="1:13">
      <c r="A1366" t="s">
        <v>28</v>
      </c>
      <c r="B1366">
        <f ca="1">IF(OR(changes[[#This Row],[Type]]="Checklist",changes[[#This Row],[Type]]="checklist-flat"),1+IF(changes[[#This Row],[Type of change]] = "Edit",COUNTIFS($I$4:changes[[#This Row],[Name]],changes[[#This Row],[Name]], $E$4:changes[[#This Row],[Type of change]], "Edit")),B1365)</f>
        <v>1</v>
      </c>
      <c r="C1366" s="16">
        <v>44659</v>
      </c>
      <c r="D1366" s="1" t="s">
        <v>2427</v>
      </c>
      <c r="E1366" t="s">
        <v>27</v>
      </c>
      <c r="F1366" s="10" t="s">
        <v>9</v>
      </c>
      <c r="G1366" s="10" t="s">
        <v>1258</v>
      </c>
      <c r="H1366" t="s">
        <v>218</v>
      </c>
      <c r="I1366" t="s">
        <v>1262</v>
      </c>
      <c r="J1366" t="s">
        <v>1263</v>
      </c>
      <c r="K1366" s="2"/>
      <c r="M1366" s="2"/>
    </row>
    <row r="1367" spans="1:13">
      <c r="A1367" t="s">
        <v>28</v>
      </c>
      <c r="B1367">
        <f ca="1">IF(OR(changes[[#This Row],[Type]]="Checklist",changes[[#This Row],[Type]]="checklist-flat"),1+IF(changes[[#This Row],[Type of change]] = "Edit",COUNTIFS($I$4:changes[[#This Row],[Name]],changes[[#This Row],[Name]], $E$4:changes[[#This Row],[Type of change]], "Edit")),B1366)</f>
        <v>1</v>
      </c>
      <c r="C1367" s="16">
        <v>44659</v>
      </c>
      <c r="D1367" s="1" t="s">
        <v>2427</v>
      </c>
      <c r="E1367" t="s">
        <v>27</v>
      </c>
      <c r="F1367" s="10" t="s">
        <v>9</v>
      </c>
      <c r="G1367" s="10" t="s">
        <v>1258</v>
      </c>
      <c r="H1367" t="s">
        <v>724</v>
      </c>
      <c r="I1367" t="s">
        <v>1264</v>
      </c>
      <c r="K1367" s="2"/>
      <c r="M1367" s="2"/>
    </row>
    <row r="1368" spans="1:13">
      <c r="A1368" t="s">
        <v>28</v>
      </c>
      <c r="B1368">
        <f ca="1">IF(OR(changes[[#This Row],[Type]]="Checklist",changes[[#This Row],[Type]]="checklist-flat"),1+IF(changes[[#This Row],[Type of change]] = "Edit",COUNTIFS($I$4:changes[[#This Row],[Name]],changes[[#This Row],[Name]], $E$4:changes[[#This Row],[Type of change]], "Edit")),B1367)</f>
        <v>1</v>
      </c>
      <c r="C1368" s="16">
        <v>44659</v>
      </c>
      <c r="D1368" s="1" t="s">
        <v>2427</v>
      </c>
      <c r="E1368" t="s">
        <v>27</v>
      </c>
      <c r="F1368" s="10" t="s">
        <v>9</v>
      </c>
      <c r="G1368" s="10" t="s">
        <v>1258</v>
      </c>
      <c r="H1368" t="s">
        <v>951</v>
      </c>
      <c r="I1368" t="s">
        <v>1265</v>
      </c>
      <c r="J1368" t="s">
        <v>1266</v>
      </c>
      <c r="K1368" s="2"/>
      <c r="M1368" s="2"/>
    </row>
    <row r="1369" spans="1:13">
      <c r="A1369" t="s">
        <v>28</v>
      </c>
      <c r="B1369">
        <f ca="1">IF(OR(changes[[#This Row],[Type]]="Checklist",changes[[#This Row],[Type]]="checklist-flat"),1+IF(changes[[#This Row],[Type of change]] = "Edit",COUNTIFS($I$4:changes[[#This Row],[Name]],changes[[#This Row],[Name]], $E$4:changes[[#This Row],[Type of change]], "Edit")),B1368)</f>
        <v>1</v>
      </c>
      <c r="C1369" s="16">
        <v>44659</v>
      </c>
      <c r="D1369" s="1" t="s">
        <v>2427</v>
      </c>
      <c r="E1369" t="s">
        <v>27</v>
      </c>
      <c r="F1369" s="10" t="s">
        <v>9</v>
      </c>
      <c r="G1369" s="10" t="s">
        <v>1258</v>
      </c>
      <c r="H1369" t="s">
        <v>724</v>
      </c>
      <c r="I1369" t="s">
        <v>1264</v>
      </c>
      <c r="K1369" s="2"/>
      <c r="M1369" s="2"/>
    </row>
    <row r="1370" spans="1:13">
      <c r="A1370" t="s">
        <v>28</v>
      </c>
      <c r="B1370">
        <f ca="1">IF(OR(changes[[#This Row],[Type]]="Checklist",changes[[#This Row],[Type]]="checklist-flat"),1+IF(changes[[#This Row],[Type of change]] = "Edit",COUNTIFS($I$4:changes[[#This Row],[Name]],changes[[#This Row],[Name]], $E$4:changes[[#This Row],[Type of change]], "Edit")),B1369)</f>
        <v>1</v>
      </c>
      <c r="C1370" s="16">
        <v>44659</v>
      </c>
      <c r="D1370" s="1" t="s">
        <v>2427</v>
      </c>
      <c r="E1370" t="s">
        <v>27</v>
      </c>
      <c r="F1370" s="10" t="s">
        <v>9</v>
      </c>
      <c r="G1370" s="10" t="s">
        <v>1258</v>
      </c>
      <c r="H1370" t="s">
        <v>951</v>
      </c>
      <c r="I1370" t="s">
        <v>1267</v>
      </c>
      <c r="J1370" t="s">
        <v>1268</v>
      </c>
      <c r="K1370" s="2"/>
      <c r="M1370" s="2"/>
    </row>
    <row r="1371" spans="1:13">
      <c r="A1371" t="s">
        <v>28</v>
      </c>
      <c r="B1371">
        <f ca="1">IF(OR(changes[[#This Row],[Type]]="Checklist",changes[[#This Row],[Type]]="checklist-flat"),1+IF(changes[[#This Row],[Type of change]] = "Edit",COUNTIFS($I$4:changes[[#This Row],[Name]],changes[[#This Row],[Name]], $E$4:changes[[#This Row],[Type of change]], "Edit")),B1370)</f>
        <v>1</v>
      </c>
      <c r="C1371" s="16">
        <v>44659</v>
      </c>
      <c r="D1371" s="1" t="s">
        <v>2427</v>
      </c>
      <c r="E1371" t="s">
        <v>27</v>
      </c>
      <c r="F1371" s="10" t="s">
        <v>9</v>
      </c>
      <c r="G1371" s="10" t="s">
        <v>1258</v>
      </c>
      <c r="H1371" t="s">
        <v>724</v>
      </c>
      <c r="I1371" t="s">
        <v>1264</v>
      </c>
      <c r="K1371" s="2"/>
      <c r="M1371" s="2"/>
    </row>
    <row r="1372" spans="1:13">
      <c r="A1372" t="s">
        <v>28</v>
      </c>
      <c r="B1372">
        <f ca="1">IF(OR(changes[[#This Row],[Type]]="Checklist",changes[[#This Row],[Type]]="checklist-flat"),1+IF(changes[[#This Row],[Type of change]] = "Edit",COUNTIFS($I$4:changes[[#This Row],[Name]],changes[[#This Row],[Name]], $E$4:changes[[#This Row],[Type of change]], "Edit")),B1371)</f>
        <v>1</v>
      </c>
      <c r="C1372" s="16">
        <v>44659</v>
      </c>
      <c r="D1372" s="1" t="s">
        <v>2427</v>
      </c>
      <c r="E1372" t="s">
        <v>27</v>
      </c>
      <c r="F1372" s="10" t="s">
        <v>9</v>
      </c>
      <c r="G1372" s="10" t="s">
        <v>1258</v>
      </c>
      <c r="H1372" t="s">
        <v>218</v>
      </c>
      <c r="I1372" t="s">
        <v>1269</v>
      </c>
      <c r="J1372" t="s">
        <v>1270</v>
      </c>
      <c r="K1372" s="2"/>
      <c r="M1372" s="2"/>
    </row>
    <row r="1373" spans="1:13">
      <c r="A1373" t="s">
        <v>28</v>
      </c>
      <c r="B1373">
        <f ca="1">IF(OR(changes[[#This Row],[Type]]="Checklist",changes[[#This Row],[Type]]="checklist-flat"),1+IF(changes[[#This Row],[Type of change]] = "Edit",COUNTIFS($I$4:changes[[#This Row],[Name]],changes[[#This Row],[Name]], $E$4:changes[[#This Row],[Type of change]], "Edit")),B1372)</f>
        <v>1</v>
      </c>
      <c r="C1373" s="16">
        <v>44659</v>
      </c>
      <c r="D1373" s="1" t="s">
        <v>2427</v>
      </c>
      <c r="E1373" t="s">
        <v>27</v>
      </c>
      <c r="F1373" s="10" t="s">
        <v>9</v>
      </c>
      <c r="G1373" s="10" t="s">
        <v>1258</v>
      </c>
      <c r="H1373" t="s">
        <v>724</v>
      </c>
      <c r="I1373" t="s">
        <v>1264</v>
      </c>
      <c r="K1373" s="2"/>
      <c r="M1373" s="2"/>
    </row>
    <row r="1374" spans="1:13">
      <c r="A1374" t="s">
        <v>28</v>
      </c>
      <c r="B1374">
        <f ca="1">IF(OR(changes[[#This Row],[Type]]="Checklist",changes[[#This Row],[Type]]="checklist-flat"),1+IF(changes[[#This Row],[Type of change]] = "Edit",COUNTIFS($I$4:changes[[#This Row],[Name]],changes[[#This Row],[Name]], $E$4:changes[[#This Row],[Type of change]], "Edit")),B1373)</f>
        <v>1</v>
      </c>
      <c r="C1374" s="16">
        <v>44659</v>
      </c>
      <c r="D1374" s="1" t="s">
        <v>2427</v>
      </c>
      <c r="E1374" t="s">
        <v>27</v>
      </c>
      <c r="F1374" s="10" t="s">
        <v>9</v>
      </c>
      <c r="G1374" s="10" t="s">
        <v>1258</v>
      </c>
      <c r="H1374" t="s">
        <v>218</v>
      </c>
      <c r="I1374" t="s">
        <v>1271</v>
      </c>
      <c r="J1374" t="s">
        <v>1272</v>
      </c>
      <c r="K1374" s="2"/>
      <c r="M1374" s="2"/>
    </row>
    <row r="1375" spans="1:13">
      <c r="A1375" t="s">
        <v>28</v>
      </c>
      <c r="B1375">
        <f ca="1">IF(OR(changes[[#This Row],[Type]]="Checklist",changes[[#This Row],[Type]]="checklist-flat"),1+IF(changes[[#This Row],[Type of change]] = "Edit",COUNTIFS($I$4:changes[[#This Row],[Name]],changes[[#This Row],[Name]], $E$4:changes[[#This Row],[Type of change]], "Edit")),B1374)</f>
        <v>1</v>
      </c>
      <c r="C1375" s="16">
        <v>44659</v>
      </c>
      <c r="D1375" s="1" t="s">
        <v>2427</v>
      </c>
      <c r="E1375" t="s">
        <v>27</v>
      </c>
      <c r="F1375" s="10" t="s">
        <v>9</v>
      </c>
      <c r="G1375" s="10" t="s">
        <v>1258</v>
      </c>
      <c r="H1375" t="s">
        <v>64</v>
      </c>
      <c r="I1375" t="s">
        <v>1273</v>
      </c>
      <c r="K1375" s="2"/>
      <c r="M1375" s="2"/>
    </row>
    <row r="1376" spans="1:13">
      <c r="A1376" t="s">
        <v>28</v>
      </c>
      <c r="B1376">
        <f ca="1">IF(OR(changes[[#This Row],[Type]]="Checklist",changes[[#This Row],[Type]]="checklist-flat"),1+IF(changes[[#This Row],[Type of change]] = "Edit",COUNTIFS($I$4:changes[[#This Row],[Name]],changes[[#This Row],[Name]], $E$4:changes[[#This Row],[Type of change]], "Edit")),B1375)</f>
        <v>1</v>
      </c>
      <c r="C1376" s="16">
        <v>44659</v>
      </c>
      <c r="D1376" s="1" t="s">
        <v>2760</v>
      </c>
      <c r="E1376" t="s">
        <v>10</v>
      </c>
      <c r="F1376" s="10" t="s">
        <v>9</v>
      </c>
      <c r="G1376" s="10" t="s">
        <v>821</v>
      </c>
      <c r="H1376" t="s">
        <v>55</v>
      </c>
      <c r="I1376" t="s">
        <v>2761</v>
      </c>
      <c r="K1376" s="2"/>
      <c r="M1376" s="2"/>
    </row>
    <row r="1377" spans="1:13">
      <c r="A1377" t="s">
        <v>28</v>
      </c>
      <c r="B1377">
        <f ca="1">IF(OR(changes[[#This Row],[Type]]="Checklist",changes[[#This Row],[Type]]="checklist-flat"),1+IF(changes[[#This Row],[Type of change]] = "Edit",COUNTIFS($I$4:changes[[#This Row],[Name]],changes[[#This Row],[Name]], $E$4:changes[[#This Row],[Type of change]], "Edit")),B1376)</f>
        <v>2</v>
      </c>
      <c r="C1377" s="16">
        <v>44665</v>
      </c>
      <c r="D1377" s="1" t="s">
        <v>2452</v>
      </c>
      <c r="E1377" t="s">
        <v>15</v>
      </c>
      <c r="F1377" s="10" t="s">
        <v>9</v>
      </c>
      <c r="G1377" s="10" t="s">
        <v>821</v>
      </c>
      <c r="H1377" t="s">
        <v>478</v>
      </c>
      <c r="I1377" t="s">
        <v>821</v>
      </c>
      <c r="K1377" s="2"/>
      <c r="M1377" s="2"/>
    </row>
    <row r="1378" spans="1:13">
      <c r="A1378" t="s">
        <v>28</v>
      </c>
      <c r="B1378">
        <f ca="1">IF(OR(changes[[#This Row],[Type]]="Checklist",changes[[#This Row],[Type]]="checklist-flat"),1+IF(changes[[#This Row],[Type of change]] = "Edit",COUNTIFS($I$4:changes[[#This Row],[Name]],changes[[#This Row],[Name]], $E$4:changes[[#This Row],[Type of change]], "Edit")),B1377)</f>
        <v>2</v>
      </c>
      <c r="C1378" s="16">
        <v>44665</v>
      </c>
      <c r="D1378" s="1" t="s">
        <v>2452</v>
      </c>
      <c r="E1378" t="s">
        <v>15</v>
      </c>
      <c r="F1378" s="10" t="s">
        <v>9</v>
      </c>
      <c r="G1378" s="10" t="s">
        <v>821</v>
      </c>
      <c r="H1378" t="s">
        <v>479</v>
      </c>
      <c r="I1378" t="s">
        <v>822</v>
      </c>
      <c r="K1378" s="2"/>
      <c r="M1378" s="2"/>
    </row>
    <row r="1379" spans="1:13">
      <c r="A1379" t="s">
        <v>28</v>
      </c>
      <c r="B1379">
        <f ca="1">IF(OR(changes[[#This Row],[Type]]="Checklist",changes[[#This Row],[Type]]="checklist-flat"),1+IF(changes[[#This Row],[Type of change]] = "Edit",COUNTIFS($I$4:changes[[#This Row],[Name]],changes[[#This Row],[Name]], $E$4:changes[[#This Row],[Type of change]], "Edit")),B1378)</f>
        <v>2</v>
      </c>
      <c r="C1379" s="16">
        <v>44665</v>
      </c>
      <c r="D1379" s="1" t="s">
        <v>2452</v>
      </c>
      <c r="E1379" t="s">
        <v>15</v>
      </c>
      <c r="F1379" s="10" t="s">
        <v>9</v>
      </c>
      <c r="G1379" s="10" t="s">
        <v>821</v>
      </c>
      <c r="H1379" t="s">
        <v>55</v>
      </c>
      <c r="I1379" t="s">
        <v>823</v>
      </c>
      <c r="K1379" s="2"/>
      <c r="M1379" s="2"/>
    </row>
    <row r="1380" spans="1:13">
      <c r="A1380" t="s">
        <v>28</v>
      </c>
      <c r="B1380">
        <f ca="1">IF(OR(changes[[#This Row],[Type]]="Checklist",changes[[#This Row],[Type]]="checklist-flat"),1+IF(changes[[#This Row],[Type of change]] = "Edit",COUNTIFS($I$4:changes[[#This Row],[Name]],changes[[#This Row],[Name]], $E$4:changes[[#This Row],[Type of change]], "Edit")),B1379)</f>
        <v>2</v>
      </c>
      <c r="C1380" s="16">
        <v>44665</v>
      </c>
      <c r="D1380" s="1" t="s">
        <v>2452</v>
      </c>
      <c r="E1380" t="s">
        <v>15</v>
      </c>
      <c r="F1380" s="10" t="s">
        <v>9</v>
      </c>
      <c r="G1380" s="10" t="s">
        <v>821</v>
      </c>
      <c r="H1380" t="s">
        <v>55</v>
      </c>
      <c r="I1380" t="s">
        <v>824</v>
      </c>
      <c r="K1380" s="2"/>
      <c r="M1380" s="2"/>
    </row>
    <row r="1381" spans="1:13">
      <c r="A1381" t="s">
        <v>28</v>
      </c>
      <c r="B1381">
        <f ca="1">IF(OR(changes[[#This Row],[Type]]="Checklist",changes[[#This Row],[Type]]="checklist-flat"),1+IF(changes[[#This Row],[Type of change]] = "Edit",COUNTIFS($I$4:changes[[#This Row],[Name]],changes[[#This Row],[Name]], $E$4:changes[[#This Row],[Type of change]], "Edit")),B1380)</f>
        <v>2</v>
      </c>
      <c r="C1381" s="16">
        <v>44665</v>
      </c>
      <c r="D1381" s="1" t="s">
        <v>2452</v>
      </c>
      <c r="E1381" t="s">
        <v>15</v>
      </c>
      <c r="F1381" s="10" t="s">
        <v>9</v>
      </c>
      <c r="G1381" s="10" t="s">
        <v>821</v>
      </c>
      <c r="H1381" t="s">
        <v>55</v>
      </c>
      <c r="I1381" t="s">
        <v>825</v>
      </c>
      <c r="K1381" s="2"/>
      <c r="M1381" s="2"/>
    </row>
    <row r="1382" spans="1:13">
      <c r="A1382" t="s">
        <v>28</v>
      </c>
      <c r="B1382">
        <f ca="1">IF(OR(changes[[#This Row],[Type]]="Checklist",changes[[#This Row],[Type]]="checklist-flat"),1+IF(changes[[#This Row],[Type of change]] = "Edit",COUNTIFS($I$4:changes[[#This Row],[Name]],changes[[#This Row],[Name]], $E$4:changes[[#This Row],[Type of change]], "Edit")),B1381)</f>
        <v>2</v>
      </c>
      <c r="C1382" s="16">
        <v>44665</v>
      </c>
      <c r="D1382" s="1" t="s">
        <v>2452</v>
      </c>
      <c r="E1382" t="s">
        <v>15</v>
      </c>
      <c r="F1382" s="10" t="s">
        <v>9</v>
      </c>
      <c r="G1382" s="10" t="s">
        <v>821</v>
      </c>
      <c r="H1382" t="s">
        <v>55</v>
      </c>
      <c r="I1382" t="s">
        <v>826</v>
      </c>
      <c r="K1382" s="2"/>
      <c r="M1382" s="2"/>
    </row>
    <row r="1383" spans="1:13">
      <c r="A1383" t="s">
        <v>28</v>
      </c>
      <c r="B1383">
        <f ca="1">IF(OR(changes[[#This Row],[Type]]="Checklist",changes[[#This Row],[Type]]="checklist-flat"),1+IF(changes[[#This Row],[Type of change]] = "Edit",COUNTIFS($I$4:changes[[#This Row],[Name]],changes[[#This Row],[Name]], $E$4:changes[[#This Row],[Type of change]], "Edit")),B1382)</f>
        <v>2</v>
      </c>
      <c r="C1383" s="16">
        <v>44665</v>
      </c>
      <c r="D1383" s="1" t="s">
        <v>2452</v>
      </c>
      <c r="E1383" t="s">
        <v>15</v>
      </c>
      <c r="F1383" s="10" t="s">
        <v>9</v>
      </c>
      <c r="G1383" s="10" t="s">
        <v>821</v>
      </c>
      <c r="H1383" t="s">
        <v>55</v>
      </c>
      <c r="I1383" t="s">
        <v>827</v>
      </c>
      <c r="K1383" s="2"/>
      <c r="M1383" s="2"/>
    </row>
    <row r="1384" spans="1:13">
      <c r="A1384" t="s">
        <v>28</v>
      </c>
      <c r="B1384">
        <f ca="1">IF(OR(changes[[#This Row],[Type]]="Checklist",changes[[#This Row],[Type]]="checklist-flat"),1+IF(changes[[#This Row],[Type of change]] = "Edit",COUNTIFS($I$4:changes[[#This Row],[Name]],changes[[#This Row],[Name]], $E$4:changes[[#This Row],[Type of change]], "Edit")),B1383)</f>
        <v>2</v>
      </c>
      <c r="C1384" s="16">
        <v>44665</v>
      </c>
      <c r="D1384" s="1" t="s">
        <v>2452</v>
      </c>
      <c r="E1384" t="s">
        <v>15</v>
      </c>
      <c r="F1384" s="10" t="s">
        <v>9</v>
      </c>
      <c r="G1384" s="10" t="s">
        <v>821</v>
      </c>
      <c r="H1384" t="s">
        <v>479</v>
      </c>
      <c r="I1384" t="s">
        <v>828</v>
      </c>
      <c r="K1384" s="2"/>
      <c r="M1384" s="2"/>
    </row>
    <row r="1385" spans="1:13">
      <c r="A1385" t="s">
        <v>28</v>
      </c>
      <c r="B1385">
        <f ca="1">IF(OR(changes[[#This Row],[Type]]="Checklist",changes[[#This Row],[Type]]="checklist-flat"),1+IF(changes[[#This Row],[Type of change]] = "Edit",COUNTIFS($I$4:changes[[#This Row],[Name]],changes[[#This Row],[Name]], $E$4:changes[[#This Row],[Type of change]], "Edit")),B1384)</f>
        <v>2</v>
      </c>
      <c r="C1385" s="16">
        <v>44665</v>
      </c>
      <c r="D1385" s="1" t="s">
        <v>2452</v>
      </c>
      <c r="E1385" t="s">
        <v>15</v>
      </c>
      <c r="F1385" s="10" t="s">
        <v>9</v>
      </c>
      <c r="G1385" s="10" t="s">
        <v>821</v>
      </c>
      <c r="H1385" t="s">
        <v>55</v>
      </c>
      <c r="I1385" t="s">
        <v>829</v>
      </c>
      <c r="K1385" s="2"/>
      <c r="M1385" s="2"/>
    </row>
    <row r="1386" spans="1:13">
      <c r="A1386" t="s">
        <v>28</v>
      </c>
      <c r="B1386">
        <f ca="1">IF(OR(changes[[#This Row],[Type]]="Checklist",changes[[#This Row],[Type]]="checklist-flat"),1+IF(changes[[#This Row],[Type of change]] = "Edit",COUNTIFS($I$4:changes[[#This Row],[Name]],changes[[#This Row],[Name]], $E$4:changes[[#This Row],[Type of change]], "Edit")),B1385)</f>
        <v>2</v>
      </c>
      <c r="C1386" s="16">
        <v>44665</v>
      </c>
      <c r="D1386" s="1" t="s">
        <v>2452</v>
      </c>
      <c r="E1386" t="s">
        <v>15</v>
      </c>
      <c r="F1386" s="10" t="s">
        <v>9</v>
      </c>
      <c r="G1386" s="10" t="s">
        <v>821</v>
      </c>
      <c r="H1386" t="s">
        <v>55</v>
      </c>
      <c r="I1386" t="s">
        <v>830</v>
      </c>
      <c r="K1386" s="2"/>
      <c r="M1386" s="2"/>
    </row>
    <row r="1387" spans="1:13">
      <c r="A1387" t="s">
        <v>28</v>
      </c>
      <c r="B1387">
        <f ca="1">IF(OR(changes[[#This Row],[Type]]="Checklist",changes[[#This Row],[Type]]="checklist-flat"),1+IF(changes[[#This Row],[Type of change]] = "Edit",COUNTIFS($I$4:changes[[#This Row],[Name]],changes[[#This Row],[Name]], $E$4:changes[[#This Row],[Type of change]], "Edit")),B1386)</f>
        <v>2</v>
      </c>
      <c r="C1387" s="16">
        <v>44665</v>
      </c>
      <c r="D1387" s="1" t="s">
        <v>2452</v>
      </c>
      <c r="E1387" t="s">
        <v>15</v>
      </c>
      <c r="F1387" s="10" t="s">
        <v>9</v>
      </c>
      <c r="G1387" s="10" t="s">
        <v>821</v>
      </c>
      <c r="H1387" t="s">
        <v>55</v>
      </c>
      <c r="I1387" t="s">
        <v>831</v>
      </c>
      <c r="K1387" s="2"/>
      <c r="M1387" s="2"/>
    </row>
    <row r="1388" spans="1:13">
      <c r="A1388" t="s">
        <v>28</v>
      </c>
      <c r="B1388">
        <f ca="1">IF(OR(changes[[#This Row],[Type]]="Checklist",changes[[#This Row],[Type]]="checklist-flat"),1+IF(changes[[#This Row],[Type of change]] = "Edit",COUNTIFS($I$4:changes[[#This Row],[Name]],changes[[#This Row],[Name]], $E$4:changes[[#This Row],[Type of change]], "Edit")),B1387)</f>
        <v>2</v>
      </c>
      <c r="C1388" s="16">
        <v>44665</v>
      </c>
      <c r="D1388" s="1" t="s">
        <v>2452</v>
      </c>
      <c r="E1388" t="s">
        <v>15</v>
      </c>
      <c r="F1388" s="10" t="s">
        <v>9</v>
      </c>
      <c r="G1388" s="10" t="s">
        <v>821</v>
      </c>
      <c r="H1388" t="s">
        <v>55</v>
      </c>
      <c r="I1388" t="s">
        <v>832</v>
      </c>
      <c r="K1388" s="2"/>
      <c r="M1388" s="2"/>
    </row>
    <row r="1389" spans="1:13">
      <c r="A1389" t="s">
        <v>28</v>
      </c>
      <c r="B1389">
        <f ca="1">IF(OR(changes[[#This Row],[Type]]="Checklist",changes[[#This Row],[Type]]="checklist-flat"),1+IF(changes[[#This Row],[Type of change]] = "Edit",COUNTIFS($I$4:changes[[#This Row],[Name]],changes[[#This Row],[Name]], $E$4:changes[[#This Row],[Type of change]], "Edit")),B1388)</f>
        <v>2</v>
      </c>
      <c r="C1389" s="16">
        <v>44665</v>
      </c>
      <c r="D1389" s="1" t="s">
        <v>2452</v>
      </c>
      <c r="E1389" t="s">
        <v>15</v>
      </c>
      <c r="F1389" s="10" t="s">
        <v>9</v>
      </c>
      <c r="G1389" s="10" t="s">
        <v>821</v>
      </c>
      <c r="H1389" t="s">
        <v>55</v>
      </c>
      <c r="I1389" t="s">
        <v>833</v>
      </c>
      <c r="K1389" s="2"/>
      <c r="M1389" s="2"/>
    </row>
    <row r="1390" spans="1:13">
      <c r="A1390" t="s">
        <v>28</v>
      </c>
      <c r="B1390">
        <f ca="1">IF(OR(changes[[#This Row],[Type]]="Checklist",changes[[#This Row],[Type]]="checklist-flat"),1+IF(changes[[#This Row],[Type of change]] = "Edit",COUNTIFS($I$4:changes[[#This Row],[Name]],changes[[#This Row],[Name]], $E$4:changes[[#This Row],[Type of change]], "Edit")),B1389)</f>
        <v>2</v>
      </c>
      <c r="C1390" s="16">
        <v>44665</v>
      </c>
      <c r="D1390" s="1" t="s">
        <v>2452</v>
      </c>
      <c r="E1390" t="s">
        <v>15</v>
      </c>
      <c r="F1390" s="10" t="s">
        <v>9</v>
      </c>
      <c r="G1390" s="10" t="s">
        <v>821</v>
      </c>
      <c r="H1390" t="s">
        <v>55</v>
      </c>
      <c r="I1390" t="s">
        <v>827</v>
      </c>
      <c r="K1390" s="2"/>
      <c r="M1390" s="2"/>
    </row>
    <row r="1391" spans="1:13">
      <c r="A1391" t="s">
        <v>28</v>
      </c>
      <c r="B1391">
        <f ca="1">IF(OR(changes[[#This Row],[Type]]="Checklist",changes[[#This Row],[Type]]="checklist-flat"),1+IF(changes[[#This Row],[Type of change]] = "Edit",COUNTIFS($I$4:changes[[#This Row],[Name]],changes[[#This Row],[Name]], $E$4:changes[[#This Row],[Type of change]], "Edit")),B1390)</f>
        <v>2</v>
      </c>
      <c r="C1391" s="16">
        <v>44665</v>
      </c>
      <c r="D1391" s="1" t="s">
        <v>2452</v>
      </c>
      <c r="E1391" t="s">
        <v>15</v>
      </c>
      <c r="F1391" s="10" t="s">
        <v>9</v>
      </c>
      <c r="G1391" s="10" t="s">
        <v>821</v>
      </c>
      <c r="H1391" t="s">
        <v>479</v>
      </c>
      <c r="I1391" t="s">
        <v>834</v>
      </c>
      <c r="K1391" s="2"/>
      <c r="M1391" s="2"/>
    </row>
    <row r="1392" spans="1:13">
      <c r="A1392" t="s">
        <v>28</v>
      </c>
      <c r="B1392">
        <f ca="1">IF(OR(changes[[#This Row],[Type]]="Checklist",changes[[#This Row],[Type]]="checklist-flat"),1+IF(changes[[#This Row],[Type of change]] = "Edit",COUNTIFS($I$4:changes[[#This Row],[Name]],changes[[#This Row],[Name]], $E$4:changes[[#This Row],[Type of change]], "Edit")),B1391)</f>
        <v>2</v>
      </c>
      <c r="C1392" s="16">
        <v>44665</v>
      </c>
      <c r="D1392" s="1" t="s">
        <v>2452</v>
      </c>
      <c r="E1392" t="s">
        <v>15</v>
      </c>
      <c r="F1392" s="10" t="s">
        <v>9</v>
      </c>
      <c r="G1392" s="10" t="s">
        <v>821</v>
      </c>
      <c r="H1392" t="s">
        <v>55</v>
      </c>
      <c r="I1392" t="s">
        <v>835</v>
      </c>
      <c r="K1392" s="2"/>
      <c r="M1392" s="2"/>
    </row>
    <row r="1393" spans="1:13">
      <c r="A1393" t="s">
        <v>28</v>
      </c>
      <c r="B1393">
        <f ca="1">IF(OR(changes[[#This Row],[Type]]="Checklist",changes[[#This Row],[Type]]="checklist-flat"),1+IF(changes[[#This Row],[Type of change]] = "Edit",COUNTIFS($I$4:changes[[#This Row],[Name]],changes[[#This Row],[Name]], $E$4:changes[[#This Row],[Type of change]], "Edit")),B1392)</f>
        <v>2</v>
      </c>
      <c r="C1393" s="16">
        <v>44665</v>
      </c>
      <c r="D1393" s="1" t="s">
        <v>2452</v>
      </c>
      <c r="E1393" t="s">
        <v>15</v>
      </c>
      <c r="F1393" s="10" t="s">
        <v>9</v>
      </c>
      <c r="G1393" s="10" t="s">
        <v>821</v>
      </c>
      <c r="H1393" t="s">
        <v>55</v>
      </c>
      <c r="I1393" t="s">
        <v>836</v>
      </c>
      <c r="K1393" s="2"/>
      <c r="M1393" s="2"/>
    </row>
    <row r="1394" spans="1:13">
      <c r="A1394" t="s">
        <v>28</v>
      </c>
      <c r="B1394">
        <f ca="1">IF(OR(changes[[#This Row],[Type]]="Checklist",changes[[#This Row],[Type]]="checklist-flat"),1+IF(changes[[#This Row],[Type of change]] = "Edit",COUNTIFS($I$4:changes[[#This Row],[Name]],changes[[#This Row],[Name]], $E$4:changes[[#This Row],[Type of change]], "Edit")),B1393)</f>
        <v>2</v>
      </c>
      <c r="C1394" s="16">
        <v>44665</v>
      </c>
      <c r="D1394" s="1" t="s">
        <v>2452</v>
      </c>
      <c r="E1394" t="s">
        <v>15</v>
      </c>
      <c r="F1394" s="10" t="s">
        <v>9</v>
      </c>
      <c r="G1394" s="10" t="s">
        <v>821</v>
      </c>
      <c r="H1394" t="s">
        <v>55</v>
      </c>
      <c r="I1394" t="s">
        <v>837</v>
      </c>
      <c r="K1394" s="2"/>
      <c r="M1394" s="2"/>
    </row>
    <row r="1395" spans="1:13">
      <c r="A1395" t="s">
        <v>28</v>
      </c>
      <c r="B1395">
        <f ca="1">IF(OR(changes[[#This Row],[Type]]="Checklist",changes[[#This Row],[Type]]="checklist-flat"),1+IF(changes[[#This Row],[Type of change]] = "Edit",COUNTIFS($I$4:changes[[#This Row],[Name]],changes[[#This Row],[Name]], $E$4:changes[[#This Row],[Type of change]], "Edit")),B1394)</f>
        <v>2</v>
      </c>
      <c r="C1395" s="16">
        <v>44665</v>
      </c>
      <c r="D1395" s="1" t="s">
        <v>2452</v>
      </c>
      <c r="E1395" t="s">
        <v>15</v>
      </c>
      <c r="F1395" s="10" t="s">
        <v>9</v>
      </c>
      <c r="G1395" s="10" t="s">
        <v>821</v>
      </c>
      <c r="H1395" t="s">
        <v>55</v>
      </c>
      <c r="I1395" t="s">
        <v>838</v>
      </c>
      <c r="K1395" s="2"/>
      <c r="M1395" s="2"/>
    </row>
    <row r="1396" spans="1:13">
      <c r="A1396" t="s">
        <v>28</v>
      </c>
      <c r="B1396">
        <f ca="1">IF(OR(changes[[#This Row],[Type]]="Checklist",changes[[#This Row],[Type]]="checklist-flat"),1+IF(changes[[#This Row],[Type of change]] = "Edit",COUNTIFS($I$4:changes[[#This Row],[Name]],changes[[#This Row],[Name]], $E$4:changes[[#This Row],[Type of change]], "Edit")),B1395)</f>
        <v>2</v>
      </c>
      <c r="C1396" s="16">
        <v>44665</v>
      </c>
      <c r="D1396" s="1" t="s">
        <v>2452</v>
      </c>
      <c r="E1396" t="s">
        <v>15</v>
      </c>
      <c r="F1396" s="10" t="s">
        <v>9</v>
      </c>
      <c r="G1396" s="10" t="s">
        <v>821</v>
      </c>
      <c r="H1396" t="s">
        <v>55</v>
      </c>
      <c r="I1396" t="s">
        <v>839</v>
      </c>
      <c r="K1396" s="2"/>
      <c r="M1396" s="2"/>
    </row>
    <row r="1397" spans="1:13">
      <c r="A1397" t="s">
        <v>28</v>
      </c>
      <c r="B1397">
        <f ca="1">IF(OR(changes[[#This Row],[Type]]="Checklist",changes[[#This Row],[Type]]="checklist-flat"),1+IF(changes[[#This Row],[Type of change]] = "Edit",COUNTIFS($I$4:changes[[#This Row],[Name]],changes[[#This Row],[Name]], $E$4:changes[[#This Row],[Type of change]], "Edit")),B1396)</f>
        <v>2</v>
      </c>
      <c r="C1397" s="16">
        <v>44665</v>
      </c>
      <c r="D1397" s="1" t="s">
        <v>2452</v>
      </c>
      <c r="E1397" t="s">
        <v>15</v>
      </c>
      <c r="F1397" s="10" t="s">
        <v>9</v>
      </c>
      <c r="G1397" s="10" t="s">
        <v>821</v>
      </c>
      <c r="H1397" t="s">
        <v>55</v>
      </c>
      <c r="I1397" t="s">
        <v>827</v>
      </c>
      <c r="K1397" s="2"/>
      <c r="M1397" s="2"/>
    </row>
    <row r="1398" spans="1:13">
      <c r="A1398" t="s">
        <v>28</v>
      </c>
      <c r="B1398">
        <f ca="1">IF(OR(changes[[#This Row],[Type]]="Checklist",changes[[#This Row],[Type]]="checklist-flat"),1+IF(changes[[#This Row],[Type of change]] = "Edit",COUNTIFS($I$4:changes[[#This Row],[Name]],changes[[#This Row],[Name]], $E$4:changes[[#This Row],[Type of change]], "Edit")),B1397)</f>
        <v>2</v>
      </c>
      <c r="C1398" s="16">
        <v>44665</v>
      </c>
      <c r="D1398" s="1" t="s">
        <v>2452</v>
      </c>
      <c r="E1398" t="s">
        <v>15</v>
      </c>
      <c r="F1398" s="10" t="s">
        <v>9</v>
      </c>
      <c r="G1398" s="10" t="s">
        <v>821</v>
      </c>
      <c r="H1398" t="s">
        <v>479</v>
      </c>
      <c r="I1398" t="s">
        <v>840</v>
      </c>
      <c r="K1398" s="2"/>
      <c r="M1398" s="2"/>
    </row>
    <row r="1399" spans="1:13">
      <c r="A1399" t="s">
        <v>28</v>
      </c>
      <c r="B1399">
        <f ca="1">IF(OR(changes[[#This Row],[Type]]="Checklist",changes[[#This Row],[Type]]="checklist-flat"),1+IF(changes[[#This Row],[Type of change]] = "Edit",COUNTIFS($I$4:changes[[#This Row],[Name]],changes[[#This Row],[Name]], $E$4:changes[[#This Row],[Type of change]], "Edit")),B1398)</f>
        <v>2</v>
      </c>
      <c r="C1399" s="16">
        <v>44665</v>
      </c>
      <c r="D1399" s="1" t="s">
        <v>2452</v>
      </c>
      <c r="E1399" t="s">
        <v>15</v>
      </c>
      <c r="F1399" s="10" t="s">
        <v>9</v>
      </c>
      <c r="G1399" s="10" t="s">
        <v>821</v>
      </c>
      <c r="H1399" t="s">
        <v>55</v>
      </c>
      <c r="I1399" t="s">
        <v>841</v>
      </c>
      <c r="K1399" s="2"/>
      <c r="M1399" s="2"/>
    </row>
    <row r="1400" spans="1:13">
      <c r="A1400" t="s">
        <v>28</v>
      </c>
      <c r="B1400">
        <f ca="1">IF(OR(changes[[#This Row],[Type]]="Checklist",changes[[#This Row],[Type]]="checklist-flat"),1+IF(changes[[#This Row],[Type of change]] = "Edit",COUNTIFS($I$4:changes[[#This Row],[Name]],changes[[#This Row],[Name]], $E$4:changes[[#This Row],[Type of change]], "Edit")),B1399)</f>
        <v>2</v>
      </c>
      <c r="C1400" s="16">
        <v>44665</v>
      </c>
      <c r="D1400" s="1" t="s">
        <v>2452</v>
      </c>
      <c r="E1400" t="s">
        <v>15</v>
      </c>
      <c r="F1400" s="10" t="s">
        <v>9</v>
      </c>
      <c r="G1400" s="10" t="s">
        <v>821</v>
      </c>
      <c r="H1400" t="s">
        <v>55</v>
      </c>
      <c r="I1400" t="s">
        <v>842</v>
      </c>
      <c r="K1400" s="2"/>
      <c r="M1400" s="2"/>
    </row>
    <row r="1401" spans="1:13">
      <c r="A1401" t="s">
        <v>28</v>
      </c>
      <c r="B1401">
        <f ca="1">IF(OR(changes[[#This Row],[Type]]="Checklist",changes[[#This Row],[Type]]="checklist-flat"),1+IF(changes[[#This Row],[Type of change]] = "Edit",COUNTIFS($I$4:changes[[#This Row],[Name]],changes[[#This Row],[Name]], $E$4:changes[[#This Row],[Type of change]], "Edit")),B1400)</f>
        <v>2</v>
      </c>
      <c r="C1401" s="16">
        <v>44665</v>
      </c>
      <c r="D1401" s="1" t="s">
        <v>2452</v>
      </c>
      <c r="E1401" t="s">
        <v>15</v>
      </c>
      <c r="F1401" s="10" t="s">
        <v>9</v>
      </c>
      <c r="G1401" s="10" t="s">
        <v>821</v>
      </c>
      <c r="H1401" t="s">
        <v>55</v>
      </c>
      <c r="I1401" t="s">
        <v>843</v>
      </c>
      <c r="K1401" s="2"/>
      <c r="M1401" s="2"/>
    </row>
    <row r="1402" spans="1:13">
      <c r="A1402" t="s">
        <v>28</v>
      </c>
      <c r="B1402">
        <f ca="1">IF(OR(changes[[#This Row],[Type]]="Checklist",changes[[#This Row],[Type]]="checklist-flat"),1+IF(changes[[#This Row],[Type of change]] = "Edit",COUNTIFS($I$4:changes[[#This Row],[Name]],changes[[#This Row],[Name]], $E$4:changes[[#This Row],[Type of change]], "Edit")),B1401)</f>
        <v>2</v>
      </c>
      <c r="C1402" s="16">
        <v>44665</v>
      </c>
      <c r="D1402" s="1" t="s">
        <v>2452</v>
      </c>
      <c r="E1402" t="s">
        <v>15</v>
      </c>
      <c r="F1402" s="10" t="s">
        <v>9</v>
      </c>
      <c r="G1402" s="10" t="s">
        <v>821</v>
      </c>
      <c r="H1402" t="s">
        <v>55</v>
      </c>
      <c r="I1402" t="s">
        <v>844</v>
      </c>
      <c r="K1402" s="2"/>
      <c r="M1402" s="2"/>
    </row>
    <row r="1403" spans="1:13">
      <c r="A1403" t="s">
        <v>28</v>
      </c>
      <c r="B1403">
        <f ca="1">IF(OR(changes[[#This Row],[Type]]="Checklist",changes[[#This Row],[Type]]="checklist-flat"),1+IF(changes[[#This Row],[Type of change]] = "Edit",COUNTIFS($I$4:changes[[#This Row],[Name]],changes[[#This Row],[Name]], $E$4:changes[[#This Row],[Type of change]], "Edit")),B1402)</f>
        <v>2</v>
      </c>
      <c r="C1403" s="16">
        <v>44665</v>
      </c>
      <c r="D1403" s="1" t="s">
        <v>2452</v>
      </c>
      <c r="E1403" t="s">
        <v>15</v>
      </c>
      <c r="F1403" s="10" t="s">
        <v>9</v>
      </c>
      <c r="G1403" s="10" t="s">
        <v>821</v>
      </c>
      <c r="H1403" t="s">
        <v>55</v>
      </c>
      <c r="I1403" t="s">
        <v>845</v>
      </c>
      <c r="K1403" s="2"/>
      <c r="M1403" s="2"/>
    </row>
    <row r="1404" spans="1:13">
      <c r="A1404" t="s">
        <v>28</v>
      </c>
      <c r="B1404">
        <f ca="1">IF(OR(changes[[#This Row],[Type]]="Checklist",changes[[#This Row],[Type]]="checklist-flat"),1+IF(changes[[#This Row],[Type of change]] = "Edit",COUNTIFS($I$4:changes[[#This Row],[Name]],changes[[#This Row],[Name]], $E$4:changes[[#This Row],[Type of change]], "Edit")),B1403)</f>
        <v>2</v>
      </c>
      <c r="C1404" s="16">
        <v>44665</v>
      </c>
      <c r="D1404" s="1" t="s">
        <v>2452</v>
      </c>
      <c r="E1404" t="s">
        <v>15</v>
      </c>
      <c r="F1404" s="10" t="s">
        <v>9</v>
      </c>
      <c r="G1404" s="10" t="s">
        <v>821</v>
      </c>
      <c r="H1404" t="s">
        <v>55</v>
      </c>
      <c r="I1404" t="s">
        <v>827</v>
      </c>
      <c r="K1404" s="2"/>
      <c r="M1404" s="2"/>
    </row>
    <row r="1405" spans="1:13">
      <c r="A1405" t="s">
        <v>28</v>
      </c>
      <c r="B1405">
        <f ca="1">IF(OR(changes[[#This Row],[Type]]="Checklist",changes[[#This Row],[Type]]="checklist-flat"),1+IF(changes[[#This Row],[Type of change]] = "Edit",COUNTIFS($I$4:changes[[#This Row],[Name]],changes[[#This Row],[Name]], $E$4:changes[[#This Row],[Type of change]], "Edit")),B1404)</f>
        <v>2</v>
      </c>
      <c r="C1405" s="16">
        <v>44665</v>
      </c>
      <c r="D1405" s="1" t="s">
        <v>2452</v>
      </c>
      <c r="E1405" t="s">
        <v>15</v>
      </c>
      <c r="F1405" s="10" t="s">
        <v>9</v>
      </c>
      <c r="G1405" s="10" t="s">
        <v>821</v>
      </c>
      <c r="H1405" t="s">
        <v>479</v>
      </c>
      <c r="I1405" t="s">
        <v>846</v>
      </c>
      <c r="K1405" s="2"/>
      <c r="M1405" s="2"/>
    </row>
    <row r="1406" spans="1:13">
      <c r="A1406" t="s">
        <v>28</v>
      </c>
      <c r="B1406">
        <f ca="1">IF(OR(changes[[#This Row],[Type]]="Checklist",changes[[#This Row],[Type]]="checklist-flat"),1+IF(changes[[#This Row],[Type of change]] = "Edit",COUNTIFS($I$4:changes[[#This Row],[Name]],changes[[#This Row],[Name]], $E$4:changes[[#This Row],[Type of change]], "Edit")),B1405)</f>
        <v>2</v>
      </c>
      <c r="C1406" s="16">
        <v>44665</v>
      </c>
      <c r="D1406" s="1" t="s">
        <v>2452</v>
      </c>
      <c r="E1406" t="s">
        <v>15</v>
      </c>
      <c r="F1406" s="10" t="s">
        <v>9</v>
      </c>
      <c r="G1406" s="10" t="s">
        <v>821</v>
      </c>
      <c r="H1406" t="s">
        <v>55</v>
      </c>
      <c r="I1406" t="s">
        <v>847</v>
      </c>
      <c r="K1406" s="2"/>
      <c r="M1406" s="2"/>
    </row>
    <row r="1407" spans="1:13">
      <c r="A1407" t="s">
        <v>28</v>
      </c>
      <c r="B1407">
        <f ca="1">IF(OR(changes[[#This Row],[Type]]="Checklist",changes[[#This Row],[Type]]="checklist-flat"),1+IF(changes[[#This Row],[Type of change]] = "Edit",COUNTIFS($I$4:changes[[#This Row],[Name]],changes[[#This Row],[Name]], $E$4:changes[[#This Row],[Type of change]], "Edit")),B1406)</f>
        <v>2</v>
      </c>
      <c r="C1407" s="16">
        <v>44665</v>
      </c>
      <c r="D1407" s="1" t="s">
        <v>2452</v>
      </c>
      <c r="E1407" t="s">
        <v>15</v>
      </c>
      <c r="F1407" s="10" t="s">
        <v>9</v>
      </c>
      <c r="G1407" s="10" t="s">
        <v>821</v>
      </c>
      <c r="H1407" t="s">
        <v>55</v>
      </c>
      <c r="I1407" t="s">
        <v>2762</v>
      </c>
      <c r="K1407" s="2"/>
      <c r="M1407" s="2"/>
    </row>
    <row r="1408" spans="1:13">
      <c r="A1408" t="s">
        <v>28</v>
      </c>
      <c r="B1408">
        <f ca="1">IF(OR(changes[[#This Row],[Type]]="Checklist",changes[[#This Row],[Type]]="checklist-flat"),1+IF(changes[[#This Row],[Type of change]] = "Edit",COUNTIFS($I$4:changes[[#This Row],[Name]],changes[[#This Row],[Name]], $E$4:changes[[#This Row],[Type of change]], "Edit")),B1407)</f>
        <v>2</v>
      </c>
      <c r="C1408" s="16">
        <v>44665</v>
      </c>
      <c r="D1408" s="1" t="s">
        <v>2452</v>
      </c>
      <c r="E1408" t="s">
        <v>15</v>
      </c>
      <c r="F1408" s="10" t="s">
        <v>9</v>
      </c>
      <c r="G1408" s="10" t="s">
        <v>821</v>
      </c>
      <c r="H1408" t="s">
        <v>55</v>
      </c>
      <c r="I1408" t="s">
        <v>849</v>
      </c>
    </row>
    <row r="1409" spans="1:13">
      <c r="A1409" t="s">
        <v>28</v>
      </c>
      <c r="B1409">
        <f ca="1">IF(OR(changes[[#This Row],[Type]]="Checklist",changes[[#This Row],[Type]]="checklist-flat"),1+IF(changes[[#This Row],[Type of change]] = "Edit",COUNTIFS($I$4:changes[[#This Row],[Name]],changes[[#This Row],[Name]], $E$4:changes[[#This Row],[Type of change]], "Edit")),B1408)</f>
        <v>2</v>
      </c>
      <c r="C1409" s="16">
        <v>44665</v>
      </c>
      <c r="D1409" s="1" t="s">
        <v>2452</v>
      </c>
      <c r="E1409" t="s">
        <v>15</v>
      </c>
      <c r="F1409" s="10" t="s">
        <v>9</v>
      </c>
      <c r="G1409" s="10" t="s">
        <v>821</v>
      </c>
      <c r="H1409" t="s">
        <v>55</v>
      </c>
      <c r="I1409" t="s">
        <v>850</v>
      </c>
    </row>
    <row r="1410" spans="1:13">
      <c r="A1410" t="s">
        <v>28</v>
      </c>
      <c r="B1410">
        <f ca="1">IF(OR(changes[[#This Row],[Type]]="Checklist",changes[[#This Row],[Type]]="checklist-flat"),1+IF(changes[[#This Row],[Type of change]] = "Edit",COUNTIFS($I$4:changes[[#This Row],[Name]],changes[[#This Row],[Name]], $E$4:changes[[#This Row],[Type of change]], "Edit")),B1409)</f>
        <v>2</v>
      </c>
      <c r="C1410" s="16">
        <v>44665</v>
      </c>
      <c r="D1410" s="1" t="s">
        <v>2452</v>
      </c>
      <c r="E1410" t="s">
        <v>15</v>
      </c>
      <c r="F1410" s="10" t="s">
        <v>9</v>
      </c>
      <c r="G1410" s="10" t="s">
        <v>821</v>
      </c>
      <c r="H1410" t="s">
        <v>55</v>
      </c>
      <c r="I1410" t="s">
        <v>827</v>
      </c>
    </row>
    <row r="1411" spans="1:13">
      <c r="A1411" t="s">
        <v>28</v>
      </c>
      <c r="B1411">
        <f ca="1">IF(OR(changes[[#This Row],[Type]]="Checklist",changes[[#This Row],[Type]]="checklist-flat"),1+IF(changes[[#This Row],[Type of change]] = "Edit",COUNTIFS($I$4:changes[[#This Row],[Name]],changes[[#This Row],[Name]], $E$4:changes[[#This Row],[Type of change]], "Edit")),B1410)</f>
        <v>2</v>
      </c>
      <c r="C1411" s="16">
        <v>44665</v>
      </c>
      <c r="D1411" s="1" t="s">
        <v>2401</v>
      </c>
      <c r="E1411" t="s">
        <v>19</v>
      </c>
      <c r="F1411" s="10" t="s">
        <v>9</v>
      </c>
      <c r="G1411" s="10" t="s">
        <v>821</v>
      </c>
      <c r="H1411" t="s">
        <v>479</v>
      </c>
      <c r="I1411" t="s">
        <v>2466</v>
      </c>
      <c r="M1411" t="s">
        <v>2763</v>
      </c>
    </row>
    <row r="1412" spans="1:13">
      <c r="A1412" t="s">
        <v>28</v>
      </c>
      <c r="B1412">
        <f ca="1">IF(OR(changes[[#This Row],[Type]]="Checklist",changes[[#This Row],[Type]]="checklist-flat"),1+IF(changes[[#This Row],[Type of change]] = "Edit",COUNTIFS($I$4:changes[[#This Row],[Name]],changes[[#This Row],[Name]], $E$4:changes[[#This Row],[Type of change]], "Edit")),B1411)</f>
        <v>2</v>
      </c>
      <c r="C1412" s="16">
        <v>44665</v>
      </c>
      <c r="D1412" s="1" t="s">
        <v>2401</v>
      </c>
      <c r="E1412" t="s">
        <v>19</v>
      </c>
      <c r="F1412" s="10" t="s">
        <v>9</v>
      </c>
      <c r="G1412" s="10" t="s">
        <v>821</v>
      </c>
      <c r="H1412" t="s">
        <v>55</v>
      </c>
      <c r="I1412" t="s">
        <v>757</v>
      </c>
    </row>
    <row r="1413" spans="1:13">
      <c r="A1413" t="s">
        <v>28</v>
      </c>
      <c r="B1413">
        <f ca="1">IF(OR(changes[[#This Row],[Type]]="Checklist",changes[[#This Row],[Type]]="checklist-flat"),1+IF(changes[[#This Row],[Type of change]] = "Edit",COUNTIFS($I$4:changes[[#This Row],[Name]],changes[[#This Row],[Name]], $E$4:changes[[#This Row],[Type of change]], "Edit")),B1412)</f>
        <v>2</v>
      </c>
      <c r="C1413" s="16">
        <v>44665</v>
      </c>
      <c r="D1413" s="1" t="s">
        <v>2401</v>
      </c>
      <c r="E1413" t="s">
        <v>19</v>
      </c>
      <c r="F1413" s="10" t="s">
        <v>9</v>
      </c>
      <c r="G1413" s="10" t="s">
        <v>821</v>
      </c>
      <c r="H1413" t="s">
        <v>55</v>
      </c>
      <c r="I1413" t="s">
        <v>2454</v>
      </c>
    </row>
    <row r="1414" spans="1:13">
      <c r="A1414" t="s">
        <v>28</v>
      </c>
      <c r="B1414">
        <f ca="1">IF(OR(changes[[#This Row],[Type]]="Checklist",changes[[#This Row],[Type]]="checklist-flat"),1+IF(changes[[#This Row],[Type of change]] = "Edit",COUNTIFS($I$4:changes[[#This Row],[Name]],changes[[#This Row],[Name]], $E$4:changes[[#This Row],[Type of change]], "Edit")),B1413)</f>
        <v>2</v>
      </c>
      <c r="C1414" s="16">
        <v>44665</v>
      </c>
      <c r="D1414" s="1" t="s">
        <v>2401</v>
      </c>
      <c r="E1414" t="s">
        <v>19</v>
      </c>
      <c r="F1414" s="10" t="s">
        <v>9</v>
      </c>
      <c r="G1414" s="10" t="s">
        <v>821</v>
      </c>
      <c r="H1414" t="s">
        <v>55</v>
      </c>
      <c r="I1414" t="s">
        <v>759</v>
      </c>
    </row>
    <row r="1415" spans="1:13">
      <c r="A1415" t="s">
        <v>28</v>
      </c>
      <c r="B1415">
        <f ca="1">IF(OR(changes[[#This Row],[Type]]="Checklist",changes[[#This Row],[Type]]="checklist-flat"),1+IF(changes[[#This Row],[Type of change]] = "Edit",COUNTIFS($I$4:changes[[#This Row],[Name]],changes[[#This Row],[Name]], $E$4:changes[[#This Row],[Type of change]], "Edit")),B1414)</f>
        <v>2</v>
      </c>
      <c r="C1415" s="16">
        <v>44665</v>
      </c>
      <c r="D1415" s="1" t="s">
        <v>2401</v>
      </c>
      <c r="E1415" t="s">
        <v>19</v>
      </c>
      <c r="F1415" s="10" t="s">
        <v>9</v>
      </c>
      <c r="G1415" s="10" t="s">
        <v>821</v>
      </c>
      <c r="H1415" t="s">
        <v>55</v>
      </c>
      <c r="I1415" t="s">
        <v>760</v>
      </c>
    </row>
    <row r="1416" spans="1:13">
      <c r="A1416" t="s">
        <v>28</v>
      </c>
      <c r="B1416">
        <f ca="1">IF(OR(changes[[#This Row],[Type]]="Checklist",changes[[#This Row],[Type]]="checklist-flat"),1+IF(changes[[#This Row],[Type of change]] = "Edit",COUNTIFS($I$4:changes[[#This Row],[Name]],changes[[#This Row],[Name]], $E$4:changes[[#This Row],[Type of change]], "Edit")),B1415)</f>
        <v>2</v>
      </c>
      <c r="C1416" s="16">
        <v>44665</v>
      </c>
      <c r="D1416" s="1" t="s">
        <v>2401</v>
      </c>
      <c r="E1416" t="s">
        <v>19</v>
      </c>
      <c r="F1416" s="10" t="s">
        <v>9</v>
      </c>
      <c r="G1416" s="10" t="s">
        <v>821</v>
      </c>
      <c r="H1416" t="s">
        <v>55</v>
      </c>
      <c r="I1416" t="s">
        <v>761</v>
      </c>
    </row>
    <row r="1417" spans="1:13">
      <c r="A1417" t="s">
        <v>28</v>
      </c>
      <c r="B1417">
        <f ca="1">IF(OR(changes[[#This Row],[Type]]="Checklist",changes[[#This Row],[Type]]="checklist-flat"),1+IF(changes[[#This Row],[Type of change]] = "Edit",COUNTIFS($I$4:changes[[#This Row],[Name]],changes[[#This Row],[Name]], $E$4:changes[[#This Row],[Type of change]], "Edit")),B1416)</f>
        <v>2</v>
      </c>
      <c r="C1417" s="16">
        <v>44665</v>
      </c>
      <c r="D1417" s="1" t="s">
        <v>2401</v>
      </c>
      <c r="E1417" t="s">
        <v>19</v>
      </c>
      <c r="F1417" s="10" t="s">
        <v>9</v>
      </c>
      <c r="G1417" s="10" t="s">
        <v>821</v>
      </c>
      <c r="H1417" t="s">
        <v>55</v>
      </c>
      <c r="I1417" t="s">
        <v>2455</v>
      </c>
    </row>
    <row r="1418" spans="1:13">
      <c r="A1418" t="s">
        <v>28</v>
      </c>
      <c r="B1418">
        <f ca="1">IF(OR(changes[[#This Row],[Type]]="Checklist",changes[[#This Row],[Type]]="checklist-flat"),1+IF(changes[[#This Row],[Type of change]] = "Edit",COUNTIFS($I$4:changes[[#This Row],[Name]],changes[[#This Row],[Name]], $E$4:changes[[#This Row],[Type of change]], "Edit")),B1417)</f>
        <v>2</v>
      </c>
      <c r="C1418" s="16">
        <v>44665</v>
      </c>
      <c r="D1418" s="1" t="s">
        <v>2401</v>
      </c>
      <c r="E1418" t="s">
        <v>19</v>
      </c>
      <c r="F1418" s="10" t="s">
        <v>9</v>
      </c>
      <c r="G1418" s="10" t="s">
        <v>821</v>
      </c>
      <c r="H1418" t="s">
        <v>55</v>
      </c>
      <c r="I1418" t="s">
        <v>763</v>
      </c>
    </row>
    <row r="1419" spans="1:13">
      <c r="A1419" t="s">
        <v>28</v>
      </c>
      <c r="B1419">
        <f ca="1">IF(OR(changes[[#This Row],[Type]]="Checklist",changes[[#This Row],[Type]]="checklist-flat"),1+IF(changes[[#This Row],[Type of change]] = "Edit",COUNTIFS($I$4:changes[[#This Row],[Name]],changes[[#This Row],[Name]], $E$4:changes[[#This Row],[Type of change]], "Edit")),B1418)</f>
        <v>2</v>
      </c>
      <c r="C1419" s="16">
        <v>44665</v>
      </c>
      <c r="D1419" s="1" t="s">
        <v>2401</v>
      </c>
      <c r="E1419" t="s">
        <v>19</v>
      </c>
      <c r="F1419" s="10" t="s">
        <v>9</v>
      </c>
      <c r="G1419" s="10" t="s">
        <v>821</v>
      </c>
      <c r="H1419" t="s">
        <v>479</v>
      </c>
      <c r="I1419" t="s">
        <v>2467</v>
      </c>
      <c r="M1419" t="s">
        <v>2763</v>
      </c>
    </row>
    <row r="1420" spans="1:13">
      <c r="A1420" t="s">
        <v>28</v>
      </c>
      <c r="B1420">
        <f ca="1">IF(OR(changes[[#This Row],[Type]]="Checklist",changes[[#This Row],[Type]]="checklist-flat"),1+IF(changes[[#This Row],[Type of change]] = "Edit",COUNTIFS($I$4:changes[[#This Row],[Name]],changes[[#This Row],[Name]], $E$4:changes[[#This Row],[Type of change]], "Edit")),B1419)</f>
        <v>2</v>
      </c>
      <c r="C1420" s="16">
        <v>44665</v>
      </c>
      <c r="D1420" s="1" t="s">
        <v>2401</v>
      </c>
      <c r="E1420" t="s">
        <v>19</v>
      </c>
      <c r="F1420" s="10" t="s">
        <v>9</v>
      </c>
      <c r="G1420" s="10" t="s">
        <v>821</v>
      </c>
      <c r="H1420" t="s">
        <v>55</v>
      </c>
      <c r="I1420" t="s">
        <v>757</v>
      </c>
    </row>
    <row r="1421" spans="1:13">
      <c r="A1421" t="s">
        <v>28</v>
      </c>
      <c r="B1421">
        <f ca="1">IF(OR(changes[[#This Row],[Type]]="Checklist",changes[[#This Row],[Type]]="checklist-flat"),1+IF(changes[[#This Row],[Type of change]] = "Edit",COUNTIFS($I$4:changes[[#This Row],[Name]],changes[[#This Row],[Name]], $E$4:changes[[#This Row],[Type of change]], "Edit")),B1420)</f>
        <v>2</v>
      </c>
      <c r="C1421" s="16">
        <v>44665</v>
      </c>
      <c r="D1421" s="1" t="s">
        <v>2401</v>
      </c>
      <c r="E1421" t="s">
        <v>19</v>
      </c>
      <c r="F1421" s="10" t="s">
        <v>9</v>
      </c>
      <c r="G1421" s="10" t="s">
        <v>821</v>
      </c>
      <c r="H1421" t="s">
        <v>55</v>
      </c>
      <c r="I1421" t="s">
        <v>2454</v>
      </c>
    </row>
    <row r="1422" spans="1:13">
      <c r="A1422" t="s">
        <v>28</v>
      </c>
      <c r="B1422">
        <f ca="1">IF(OR(changes[[#This Row],[Type]]="Checklist",changes[[#This Row],[Type]]="checklist-flat"),1+IF(changes[[#This Row],[Type of change]] = "Edit",COUNTIFS($I$4:changes[[#This Row],[Name]],changes[[#This Row],[Name]], $E$4:changes[[#This Row],[Type of change]], "Edit")),B1421)</f>
        <v>2</v>
      </c>
      <c r="C1422" s="16">
        <v>44665</v>
      </c>
      <c r="D1422" s="1" t="s">
        <v>2401</v>
      </c>
      <c r="E1422" t="s">
        <v>19</v>
      </c>
      <c r="F1422" s="10" t="s">
        <v>9</v>
      </c>
      <c r="G1422" s="10" t="s">
        <v>821</v>
      </c>
      <c r="H1422" t="s">
        <v>55</v>
      </c>
      <c r="I1422" t="s">
        <v>759</v>
      </c>
    </row>
    <row r="1423" spans="1:13">
      <c r="A1423" t="s">
        <v>28</v>
      </c>
      <c r="B1423">
        <f ca="1">IF(OR(changes[[#This Row],[Type]]="Checklist",changes[[#This Row],[Type]]="checklist-flat"),1+IF(changes[[#This Row],[Type of change]] = "Edit",COUNTIFS($I$4:changes[[#This Row],[Name]],changes[[#This Row],[Name]], $E$4:changes[[#This Row],[Type of change]], "Edit")),B1422)</f>
        <v>2</v>
      </c>
      <c r="C1423" s="16">
        <v>44665</v>
      </c>
      <c r="D1423" s="1" t="s">
        <v>2401</v>
      </c>
      <c r="E1423" t="s">
        <v>19</v>
      </c>
      <c r="F1423" s="10" t="s">
        <v>9</v>
      </c>
      <c r="G1423" s="10" t="s">
        <v>821</v>
      </c>
      <c r="H1423" t="s">
        <v>55</v>
      </c>
      <c r="I1423" t="s">
        <v>760</v>
      </c>
    </row>
    <row r="1424" spans="1:13">
      <c r="A1424" t="s">
        <v>28</v>
      </c>
      <c r="B1424">
        <f ca="1">IF(OR(changes[[#This Row],[Type]]="Checklist",changes[[#This Row],[Type]]="checklist-flat"),1+IF(changes[[#This Row],[Type of change]] = "Edit",COUNTIFS($I$4:changes[[#This Row],[Name]],changes[[#This Row],[Name]], $E$4:changes[[#This Row],[Type of change]], "Edit")),B1423)</f>
        <v>2</v>
      </c>
      <c r="C1424" s="16">
        <v>44665</v>
      </c>
      <c r="D1424" s="1" t="s">
        <v>2401</v>
      </c>
      <c r="E1424" t="s">
        <v>19</v>
      </c>
      <c r="F1424" s="10" t="s">
        <v>9</v>
      </c>
      <c r="G1424" s="10" t="s">
        <v>821</v>
      </c>
      <c r="H1424" t="s">
        <v>55</v>
      </c>
      <c r="I1424" t="s">
        <v>761</v>
      </c>
    </row>
    <row r="1425" spans="1:13">
      <c r="A1425" t="s">
        <v>28</v>
      </c>
      <c r="B1425">
        <f ca="1">IF(OR(changes[[#This Row],[Type]]="Checklist",changes[[#This Row],[Type]]="checklist-flat"),1+IF(changes[[#This Row],[Type of change]] = "Edit",COUNTIFS($I$4:changes[[#This Row],[Name]],changes[[#This Row],[Name]], $E$4:changes[[#This Row],[Type of change]], "Edit")),B1424)</f>
        <v>2</v>
      </c>
      <c r="C1425" s="16">
        <v>44665</v>
      </c>
      <c r="D1425" s="1" t="s">
        <v>2401</v>
      </c>
      <c r="E1425" t="s">
        <v>19</v>
      </c>
      <c r="F1425" s="10" t="s">
        <v>9</v>
      </c>
      <c r="G1425" s="10" t="s">
        <v>821</v>
      </c>
      <c r="H1425" t="s">
        <v>55</v>
      </c>
      <c r="I1425" t="s">
        <v>2455</v>
      </c>
    </row>
    <row r="1426" spans="1:13">
      <c r="A1426" t="s">
        <v>28</v>
      </c>
      <c r="B1426">
        <f ca="1">IF(OR(changes[[#This Row],[Type]]="Checklist",changes[[#This Row],[Type]]="checklist-flat"),1+IF(changes[[#This Row],[Type of change]] = "Edit",COUNTIFS($I$4:changes[[#This Row],[Name]],changes[[#This Row],[Name]], $E$4:changes[[#This Row],[Type of change]], "Edit")),B1425)</f>
        <v>2</v>
      </c>
      <c r="C1426" s="16">
        <v>44665</v>
      </c>
      <c r="D1426" s="1" t="s">
        <v>2401</v>
      </c>
      <c r="E1426" t="s">
        <v>19</v>
      </c>
      <c r="F1426" s="10" t="s">
        <v>9</v>
      </c>
      <c r="G1426" s="10" t="s">
        <v>821</v>
      </c>
      <c r="H1426" t="s">
        <v>55</v>
      </c>
      <c r="I1426" t="s">
        <v>763</v>
      </c>
      <c r="K1426" s="2"/>
      <c r="M1426" s="2"/>
    </row>
    <row r="1427" spans="1:13">
      <c r="A1427" t="s">
        <v>28</v>
      </c>
      <c r="B1427">
        <f ca="1">IF(OR(changes[[#This Row],[Type]]="Checklist",changes[[#This Row],[Type]]="checklist-flat"),1+IF(changes[[#This Row],[Type of change]] = "Edit",COUNTIFS($I$4:changes[[#This Row],[Name]],changes[[#This Row],[Name]], $E$4:changes[[#This Row],[Type of change]], "Edit")),B1426)</f>
        <v>1</v>
      </c>
      <c r="C1427" s="16">
        <v>44665</v>
      </c>
      <c r="D1427" s="1" t="s">
        <v>2401</v>
      </c>
      <c r="E1427" t="s">
        <v>27</v>
      </c>
      <c r="F1427" s="10" t="s">
        <v>9</v>
      </c>
      <c r="G1427" t="s">
        <v>796</v>
      </c>
      <c r="H1427" t="s">
        <v>54</v>
      </c>
      <c r="I1427" t="s">
        <v>796</v>
      </c>
    </row>
    <row r="1428" spans="1:13">
      <c r="A1428" t="s">
        <v>28</v>
      </c>
      <c r="B1428">
        <f ca="1">IF(OR(changes[[#This Row],[Type]]="Checklist",changes[[#This Row],[Type]]="checklist-flat"),1+IF(changes[[#This Row],[Type of change]] = "Edit",COUNTIFS($I$4:changes[[#This Row],[Name]],changes[[#This Row],[Name]], $E$4:changes[[#This Row],[Type of change]], "Edit")),B1427)</f>
        <v>1</v>
      </c>
      <c r="C1428" s="16">
        <v>44665</v>
      </c>
      <c r="D1428" s="1" t="s">
        <v>2401</v>
      </c>
      <c r="E1428" t="s">
        <v>27</v>
      </c>
      <c r="F1428" s="10" t="s">
        <v>9</v>
      </c>
      <c r="G1428" t="s">
        <v>796</v>
      </c>
      <c r="H1428" t="s">
        <v>55</v>
      </c>
      <c r="I1428" t="s">
        <v>757</v>
      </c>
    </row>
    <row r="1429" spans="1:13">
      <c r="A1429" t="s">
        <v>28</v>
      </c>
      <c r="B1429">
        <f ca="1">IF(OR(changes[[#This Row],[Type]]="Checklist",changes[[#This Row],[Type]]="checklist-flat"),1+IF(changes[[#This Row],[Type of change]] = "Edit",COUNTIFS($I$4:changes[[#This Row],[Name]],changes[[#This Row],[Name]], $E$4:changes[[#This Row],[Type of change]], "Edit")),B1428)</f>
        <v>1</v>
      </c>
      <c r="C1429" s="16">
        <v>44665</v>
      </c>
      <c r="D1429" s="1" t="s">
        <v>2401</v>
      </c>
      <c r="E1429" t="s">
        <v>27</v>
      </c>
      <c r="F1429" s="10" t="s">
        <v>9</v>
      </c>
      <c r="G1429" t="s">
        <v>796</v>
      </c>
      <c r="H1429" t="s">
        <v>55</v>
      </c>
      <c r="I1429" t="s">
        <v>2454</v>
      </c>
    </row>
    <row r="1430" spans="1:13">
      <c r="A1430" t="s">
        <v>28</v>
      </c>
      <c r="B1430">
        <f ca="1">IF(OR(changes[[#This Row],[Type]]="Checklist",changes[[#This Row],[Type]]="checklist-flat"),1+IF(changes[[#This Row],[Type of change]] = "Edit",COUNTIFS($I$4:changes[[#This Row],[Name]],changes[[#This Row],[Name]], $E$4:changes[[#This Row],[Type of change]], "Edit")),B1429)</f>
        <v>1</v>
      </c>
      <c r="C1430" s="16">
        <v>44665</v>
      </c>
      <c r="D1430" s="1" t="s">
        <v>2401</v>
      </c>
      <c r="E1430" t="s">
        <v>27</v>
      </c>
      <c r="F1430" s="10" t="s">
        <v>9</v>
      </c>
      <c r="G1430" t="s">
        <v>796</v>
      </c>
      <c r="H1430" t="s">
        <v>55</v>
      </c>
      <c r="I1430" t="s">
        <v>759</v>
      </c>
    </row>
    <row r="1431" spans="1:13">
      <c r="A1431" t="s">
        <v>28</v>
      </c>
      <c r="B1431">
        <f ca="1">IF(OR(changes[[#This Row],[Type]]="Checklist",changes[[#This Row],[Type]]="checklist-flat"),1+IF(changes[[#This Row],[Type of change]] = "Edit",COUNTIFS($I$4:changes[[#This Row],[Name]],changes[[#This Row],[Name]], $E$4:changes[[#This Row],[Type of change]], "Edit")),B1430)</f>
        <v>1</v>
      </c>
      <c r="C1431" s="16">
        <v>44665</v>
      </c>
      <c r="D1431" s="1" t="s">
        <v>2401</v>
      </c>
      <c r="E1431" t="s">
        <v>27</v>
      </c>
      <c r="F1431" s="10" t="s">
        <v>9</v>
      </c>
      <c r="G1431" t="s">
        <v>796</v>
      </c>
      <c r="H1431" t="s">
        <v>55</v>
      </c>
      <c r="I1431" t="s">
        <v>760</v>
      </c>
    </row>
    <row r="1432" spans="1:13">
      <c r="A1432" t="s">
        <v>28</v>
      </c>
      <c r="B1432">
        <f ca="1">IF(OR(changes[[#This Row],[Type]]="Checklist",changes[[#This Row],[Type]]="checklist-flat"),1+IF(changes[[#This Row],[Type of change]] = "Edit",COUNTIFS($I$4:changes[[#This Row],[Name]],changes[[#This Row],[Name]], $E$4:changes[[#This Row],[Type of change]], "Edit")),B1431)</f>
        <v>1</v>
      </c>
      <c r="C1432" s="16">
        <v>44665</v>
      </c>
      <c r="D1432" s="1" t="s">
        <v>2401</v>
      </c>
      <c r="E1432" t="s">
        <v>27</v>
      </c>
      <c r="F1432" s="10" t="s">
        <v>9</v>
      </c>
      <c r="G1432" t="s">
        <v>796</v>
      </c>
      <c r="H1432" t="s">
        <v>55</v>
      </c>
      <c r="I1432" t="s">
        <v>761</v>
      </c>
    </row>
    <row r="1433" spans="1:13">
      <c r="A1433" t="s">
        <v>28</v>
      </c>
      <c r="B1433">
        <f ca="1">IF(OR(changes[[#This Row],[Type]]="Checklist",changes[[#This Row],[Type]]="checklist-flat"),1+IF(changes[[#This Row],[Type of change]] = "Edit",COUNTIFS($I$4:changes[[#This Row],[Name]],changes[[#This Row],[Name]], $E$4:changes[[#This Row],[Type of change]], "Edit")),B1432)</f>
        <v>1</v>
      </c>
      <c r="C1433" s="16">
        <v>44665</v>
      </c>
      <c r="D1433" s="1" t="s">
        <v>2401</v>
      </c>
      <c r="E1433" t="s">
        <v>27</v>
      </c>
      <c r="F1433" s="10" t="s">
        <v>9</v>
      </c>
      <c r="G1433" t="s">
        <v>796</v>
      </c>
      <c r="H1433" t="s">
        <v>55</v>
      </c>
      <c r="I1433" t="s">
        <v>2455</v>
      </c>
    </row>
    <row r="1434" spans="1:13">
      <c r="A1434" t="s">
        <v>28</v>
      </c>
      <c r="B1434">
        <f ca="1">IF(OR(changes[[#This Row],[Type]]="Checklist",changes[[#This Row],[Type]]="checklist-flat"),1+IF(changes[[#This Row],[Type of change]] = "Edit",COUNTIFS($I$4:changes[[#This Row],[Name]],changes[[#This Row],[Name]], $E$4:changes[[#This Row],[Type of change]], "Edit")),B1433)</f>
        <v>1</v>
      </c>
      <c r="C1434" s="16">
        <v>44665</v>
      </c>
      <c r="D1434" s="1" t="s">
        <v>2401</v>
      </c>
      <c r="E1434" t="s">
        <v>27</v>
      </c>
      <c r="F1434" s="10" t="s">
        <v>9</v>
      </c>
      <c r="G1434" t="s">
        <v>796</v>
      </c>
      <c r="H1434" t="s">
        <v>55</v>
      </c>
      <c r="I1434" t="s">
        <v>763</v>
      </c>
    </row>
    <row r="1435" spans="1:13">
      <c r="A1435" t="s">
        <v>28</v>
      </c>
      <c r="B1435">
        <f ca="1">IF(OR(changes[[#This Row],[Type]]="Checklist",changes[[#This Row],[Type]]="checklist-flat"),1+IF(changes[[#This Row],[Type of change]] = "Edit",COUNTIFS($I$4:changes[[#This Row],[Name]],changes[[#This Row],[Name]], $E$4:changes[[#This Row],[Type of change]], "Edit")),B1434)</f>
        <v>1</v>
      </c>
      <c r="C1435" s="16">
        <v>44665</v>
      </c>
      <c r="D1435" s="1" t="s">
        <v>2401</v>
      </c>
      <c r="E1435" t="s">
        <v>27</v>
      </c>
      <c r="F1435" s="10" t="s">
        <v>9</v>
      </c>
      <c r="G1435" t="s">
        <v>795</v>
      </c>
      <c r="H1435" t="s">
        <v>54</v>
      </c>
      <c r="I1435" t="s">
        <v>795</v>
      </c>
    </row>
    <row r="1436" spans="1:13">
      <c r="A1436" t="s">
        <v>28</v>
      </c>
      <c r="B1436">
        <f ca="1">IF(OR(changes[[#This Row],[Type]]="Checklist",changes[[#This Row],[Type]]="checklist-flat"),1+IF(changes[[#This Row],[Type of change]] = "Edit",COUNTIFS($I$4:changes[[#This Row],[Name]],changes[[#This Row],[Name]], $E$4:changes[[#This Row],[Type of change]], "Edit")),B1435)</f>
        <v>1</v>
      </c>
      <c r="C1436" s="16">
        <v>44665</v>
      </c>
      <c r="D1436" s="1" t="s">
        <v>2401</v>
      </c>
      <c r="E1436" t="s">
        <v>27</v>
      </c>
      <c r="F1436" s="10" t="s">
        <v>9</v>
      </c>
      <c r="G1436" t="s">
        <v>795</v>
      </c>
      <c r="H1436" t="s">
        <v>55</v>
      </c>
      <c r="I1436" t="s">
        <v>757</v>
      </c>
    </row>
    <row r="1437" spans="1:13">
      <c r="A1437" t="s">
        <v>28</v>
      </c>
      <c r="B1437">
        <f ca="1">IF(OR(changes[[#This Row],[Type]]="Checklist",changes[[#This Row],[Type]]="checklist-flat"),1+IF(changes[[#This Row],[Type of change]] = "Edit",COUNTIFS($I$4:changes[[#This Row],[Name]],changes[[#This Row],[Name]], $E$4:changes[[#This Row],[Type of change]], "Edit")),B1436)</f>
        <v>1</v>
      </c>
      <c r="C1437" s="16">
        <v>44665</v>
      </c>
      <c r="D1437" s="1" t="s">
        <v>2401</v>
      </c>
      <c r="E1437" t="s">
        <v>27</v>
      </c>
      <c r="F1437" s="10" t="s">
        <v>9</v>
      </c>
      <c r="G1437" t="s">
        <v>795</v>
      </c>
      <c r="H1437" t="s">
        <v>55</v>
      </c>
      <c r="I1437" t="s">
        <v>2454</v>
      </c>
    </row>
    <row r="1438" spans="1:13">
      <c r="A1438" t="s">
        <v>28</v>
      </c>
      <c r="B1438">
        <f ca="1">IF(OR(changes[[#This Row],[Type]]="Checklist",changes[[#This Row],[Type]]="checklist-flat"),1+IF(changes[[#This Row],[Type of change]] = "Edit",COUNTIFS($I$4:changes[[#This Row],[Name]],changes[[#This Row],[Name]], $E$4:changes[[#This Row],[Type of change]], "Edit")),B1437)</f>
        <v>1</v>
      </c>
      <c r="C1438" s="16">
        <v>44665</v>
      </c>
      <c r="D1438" s="1" t="s">
        <v>2401</v>
      </c>
      <c r="E1438" t="s">
        <v>27</v>
      </c>
      <c r="F1438" s="10" t="s">
        <v>9</v>
      </c>
      <c r="G1438" t="s">
        <v>795</v>
      </c>
      <c r="H1438" t="s">
        <v>55</v>
      </c>
      <c r="I1438" t="s">
        <v>759</v>
      </c>
    </row>
    <row r="1439" spans="1:13">
      <c r="A1439" t="s">
        <v>28</v>
      </c>
      <c r="B1439">
        <f ca="1">IF(OR(changes[[#This Row],[Type]]="Checklist",changes[[#This Row],[Type]]="checklist-flat"),1+IF(changes[[#This Row],[Type of change]] = "Edit",COUNTIFS($I$4:changes[[#This Row],[Name]],changes[[#This Row],[Name]], $E$4:changes[[#This Row],[Type of change]], "Edit")),B1438)</f>
        <v>1</v>
      </c>
      <c r="C1439" s="16">
        <v>44665</v>
      </c>
      <c r="D1439" s="1" t="s">
        <v>2401</v>
      </c>
      <c r="E1439" t="s">
        <v>27</v>
      </c>
      <c r="F1439" s="10" t="s">
        <v>9</v>
      </c>
      <c r="G1439" t="s">
        <v>795</v>
      </c>
      <c r="H1439" t="s">
        <v>55</v>
      </c>
      <c r="I1439" t="s">
        <v>760</v>
      </c>
    </row>
    <row r="1440" spans="1:13">
      <c r="A1440" t="s">
        <v>28</v>
      </c>
      <c r="B1440">
        <f ca="1">IF(OR(changes[[#This Row],[Type]]="Checklist",changes[[#This Row],[Type]]="checklist-flat"),1+IF(changes[[#This Row],[Type of change]] = "Edit",COUNTIFS($I$4:changes[[#This Row],[Name]],changes[[#This Row],[Name]], $E$4:changes[[#This Row],[Type of change]], "Edit")),B1439)</f>
        <v>1</v>
      </c>
      <c r="C1440" s="16">
        <v>44665</v>
      </c>
      <c r="D1440" s="1" t="s">
        <v>2401</v>
      </c>
      <c r="E1440" t="s">
        <v>27</v>
      </c>
      <c r="F1440" s="10" t="s">
        <v>9</v>
      </c>
      <c r="G1440" t="s">
        <v>795</v>
      </c>
      <c r="H1440" t="s">
        <v>55</v>
      </c>
      <c r="I1440" t="s">
        <v>761</v>
      </c>
    </row>
    <row r="1441" spans="1:13">
      <c r="A1441" t="s">
        <v>28</v>
      </c>
      <c r="B1441">
        <f ca="1">IF(OR(changes[[#This Row],[Type]]="Checklist",changes[[#This Row],[Type]]="checklist-flat"),1+IF(changes[[#This Row],[Type of change]] = "Edit",COUNTIFS($I$4:changes[[#This Row],[Name]],changes[[#This Row],[Name]], $E$4:changes[[#This Row],[Type of change]], "Edit")),B1440)</f>
        <v>1</v>
      </c>
      <c r="C1441" s="16">
        <v>44665</v>
      </c>
      <c r="D1441" s="1" t="s">
        <v>2401</v>
      </c>
      <c r="E1441" t="s">
        <v>27</v>
      </c>
      <c r="F1441" s="10" t="s">
        <v>9</v>
      </c>
      <c r="G1441" t="s">
        <v>795</v>
      </c>
      <c r="H1441" t="s">
        <v>55</v>
      </c>
      <c r="I1441" t="s">
        <v>2455</v>
      </c>
    </row>
    <row r="1442" spans="1:13">
      <c r="A1442" t="s">
        <v>28</v>
      </c>
      <c r="B1442">
        <f ca="1">IF(OR(changes[[#This Row],[Type]]="Checklist",changes[[#This Row],[Type]]="checklist-flat"),1+IF(changes[[#This Row],[Type of change]] = "Edit",COUNTIFS($I$4:changes[[#This Row],[Name]],changes[[#This Row],[Name]], $E$4:changes[[#This Row],[Type of change]], "Edit")),B1441)</f>
        <v>1</v>
      </c>
      <c r="C1442" s="16">
        <v>44665</v>
      </c>
      <c r="D1442" s="1" t="s">
        <v>2401</v>
      </c>
      <c r="E1442" t="s">
        <v>27</v>
      </c>
      <c r="F1442" s="10" t="s">
        <v>9</v>
      </c>
      <c r="G1442" t="s">
        <v>795</v>
      </c>
      <c r="H1442" t="s">
        <v>55</v>
      </c>
      <c r="I1442" t="s">
        <v>763</v>
      </c>
      <c r="K1442" s="2"/>
      <c r="M1442" s="2"/>
    </row>
    <row r="1443" spans="1:13">
      <c r="A1443" t="s">
        <v>28</v>
      </c>
      <c r="B1443">
        <f ca="1">IF(OR(changes[[#This Row],[Type]]="Checklist",changes[[#This Row],[Type]]="checklist-flat"),1+IF(changes[[#This Row],[Type of change]] = "Edit",COUNTIFS($I$4:changes[[#This Row],[Name]],changes[[#This Row],[Name]], $E$4:changes[[#This Row],[Type of change]], "Edit")),B1442)</f>
        <v>2</v>
      </c>
      <c r="C1443" s="16">
        <v>44665</v>
      </c>
      <c r="D1443" s="1" t="s">
        <v>2753</v>
      </c>
      <c r="E1443" t="s">
        <v>15</v>
      </c>
      <c r="F1443" s="10" t="s">
        <v>9</v>
      </c>
      <c r="G1443" t="s">
        <v>1109</v>
      </c>
      <c r="H1443" t="s">
        <v>54</v>
      </c>
      <c r="I1443" t="s">
        <v>1109</v>
      </c>
      <c r="K1443" s="2"/>
      <c r="M1443" s="2"/>
    </row>
    <row r="1444" spans="1:13">
      <c r="A1444" t="s">
        <v>28</v>
      </c>
      <c r="B1444">
        <f ca="1">IF(OR(changes[[#This Row],[Type]]="Checklist",changes[[#This Row],[Type]]="checklist-flat"),1+IF(changes[[#This Row],[Type of change]] = "Edit",COUNTIFS($I$4:changes[[#This Row],[Name]],changes[[#This Row],[Name]], $E$4:changes[[#This Row],[Type of change]], "Edit")),B1443)</f>
        <v>2</v>
      </c>
      <c r="C1444" s="16">
        <v>44665</v>
      </c>
      <c r="D1444" s="1" t="s">
        <v>2753</v>
      </c>
      <c r="E1444" t="s">
        <v>15</v>
      </c>
      <c r="F1444" s="10" t="s">
        <v>9</v>
      </c>
      <c r="G1444" t="s">
        <v>1109</v>
      </c>
      <c r="H1444" t="s">
        <v>55</v>
      </c>
      <c r="I1444" t="s">
        <v>1079</v>
      </c>
      <c r="K1444" s="2"/>
      <c r="M1444" s="2"/>
    </row>
    <row r="1445" spans="1:13">
      <c r="A1445" t="s">
        <v>28</v>
      </c>
      <c r="B1445">
        <f ca="1">IF(OR(changes[[#This Row],[Type]]="Checklist",changes[[#This Row],[Type]]="checklist-flat"),1+IF(changes[[#This Row],[Type of change]] = "Edit",COUNTIFS($I$4:changes[[#This Row],[Name]],changes[[#This Row],[Name]], $E$4:changes[[#This Row],[Type of change]], "Edit")),B1444)</f>
        <v>2</v>
      </c>
      <c r="C1445" s="16">
        <v>44665</v>
      </c>
      <c r="D1445" s="1" t="s">
        <v>2753</v>
      </c>
      <c r="E1445" t="s">
        <v>15</v>
      </c>
      <c r="F1445" s="10" t="s">
        <v>9</v>
      </c>
      <c r="G1445" t="s">
        <v>1109</v>
      </c>
      <c r="H1445" t="s">
        <v>55</v>
      </c>
      <c r="I1445" t="s">
        <v>1080</v>
      </c>
      <c r="K1445" s="2"/>
      <c r="M1445" s="2"/>
    </row>
    <row r="1446" spans="1:13">
      <c r="A1446" t="s">
        <v>28</v>
      </c>
      <c r="B1446">
        <f ca="1">IF(OR(changes[[#This Row],[Type]]="Checklist",changes[[#This Row],[Type]]="checklist-flat"),1+IF(changes[[#This Row],[Type of change]] = "Edit",COUNTIFS($I$4:changes[[#This Row],[Name]],changes[[#This Row],[Name]], $E$4:changes[[#This Row],[Type of change]], "Edit")),B1445)</f>
        <v>2</v>
      </c>
      <c r="C1446" s="16">
        <v>44665</v>
      </c>
      <c r="D1446" s="1" t="s">
        <v>2753</v>
      </c>
      <c r="E1446" t="s">
        <v>15</v>
      </c>
      <c r="F1446" s="10" t="s">
        <v>9</v>
      </c>
      <c r="G1446" t="s">
        <v>1109</v>
      </c>
      <c r="H1446" t="s">
        <v>55</v>
      </c>
      <c r="I1446" t="s">
        <v>2764</v>
      </c>
      <c r="K1446" s="2"/>
      <c r="M1446" s="2" t="s">
        <v>2765</v>
      </c>
    </row>
    <row r="1447" spans="1:13">
      <c r="A1447" t="s">
        <v>28</v>
      </c>
      <c r="B1447">
        <f ca="1">IF(OR(changes[[#This Row],[Type]]="Checklist",changes[[#This Row],[Type]]="checklist-flat"),1+IF(changes[[#This Row],[Type of change]] = "Edit",COUNTIFS($I$4:changes[[#This Row],[Name]],changes[[#This Row],[Name]], $E$4:changes[[#This Row],[Type of change]], "Edit")),B1446)</f>
        <v>2</v>
      </c>
      <c r="C1447" s="16">
        <v>44665</v>
      </c>
      <c r="D1447" s="1" t="s">
        <v>2753</v>
      </c>
      <c r="E1447" t="s">
        <v>15</v>
      </c>
      <c r="F1447" s="10" t="s">
        <v>9</v>
      </c>
      <c r="G1447" t="s">
        <v>1109</v>
      </c>
      <c r="H1447" t="s">
        <v>55</v>
      </c>
      <c r="I1447" t="s">
        <v>2766</v>
      </c>
      <c r="K1447" s="2"/>
      <c r="M1447" s="2"/>
    </row>
    <row r="1448" spans="1:13">
      <c r="A1448" t="s">
        <v>28</v>
      </c>
      <c r="B1448">
        <f ca="1">IF(OR(changes[[#This Row],[Type]]="Checklist",changes[[#This Row],[Type]]="checklist-flat"),1+IF(changes[[#This Row],[Type of change]] = "Edit",COUNTIFS($I$4:changes[[#This Row],[Name]],changes[[#This Row],[Name]], $E$4:changes[[#This Row],[Type of change]], "Edit")),B1447)</f>
        <v>2</v>
      </c>
      <c r="C1448" s="16">
        <v>44665</v>
      </c>
      <c r="D1448" s="1" t="s">
        <v>2753</v>
      </c>
      <c r="E1448" t="s">
        <v>15</v>
      </c>
      <c r="F1448" s="10" t="s">
        <v>9</v>
      </c>
      <c r="G1448" t="s">
        <v>1109</v>
      </c>
      <c r="H1448" t="s">
        <v>55</v>
      </c>
      <c r="I1448" t="s">
        <v>1084</v>
      </c>
      <c r="K1448" s="2"/>
      <c r="M1448" s="2"/>
    </row>
    <row r="1449" spans="1:13">
      <c r="A1449" t="s">
        <v>28</v>
      </c>
      <c r="B1449">
        <f ca="1">IF(OR(changes[[#This Row],[Type]]="Checklist",changes[[#This Row],[Type]]="checklist-flat"),1+IF(changes[[#This Row],[Type of change]] = "Edit",COUNTIFS($I$4:changes[[#This Row],[Name]],changes[[#This Row],[Name]], $E$4:changes[[#This Row],[Type of change]], "Edit")),B1448)</f>
        <v>2</v>
      </c>
      <c r="C1449" s="16">
        <v>44665</v>
      </c>
      <c r="D1449" s="1" t="s">
        <v>2753</v>
      </c>
      <c r="E1449" t="s">
        <v>15</v>
      </c>
      <c r="F1449" s="10" t="s">
        <v>9</v>
      </c>
      <c r="G1449" t="s">
        <v>1109</v>
      </c>
      <c r="H1449" t="s">
        <v>55</v>
      </c>
      <c r="I1449" t="s">
        <v>1086</v>
      </c>
      <c r="K1449" s="2"/>
      <c r="M1449" s="2"/>
    </row>
    <row r="1450" spans="1:13">
      <c r="A1450" t="s">
        <v>28</v>
      </c>
      <c r="B1450">
        <f ca="1">IF(OR(changes[[#This Row],[Type]]="Checklist",changes[[#This Row],[Type]]="checklist-flat"),1+IF(changes[[#This Row],[Type of change]] = "Edit",COUNTIFS($I$4:changes[[#This Row],[Name]],changes[[#This Row],[Name]], $E$4:changes[[#This Row],[Type of change]], "Edit")),B1449)</f>
        <v>2</v>
      </c>
      <c r="C1450" s="16">
        <v>44671</v>
      </c>
      <c r="D1450" s="1" t="s">
        <v>2753</v>
      </c>
      <c r="E1450" t="s">
        <v>15</v>
      </c>
      <c r="F1450" s="10" t="s">
        <v>9</v>
      </c>
      <c r="G1450" s="30" t="s">
        <v>797</v>
      </c>
      <c r="H1450" s="30" t="s">
        <v>478</v>
      </c>
      <c r="I1450" s="30" t="s">
        <v>797</v>
      </c>
      <c r="K1450" s="2"/>
      <c r="M1450" s="2" t="s">
        <v>2767</v>
      </c>
    </row>
    <row r="1451" spans="1:13">
      <c r="A1451" t="s">
        <v>28</v>
      </c>
      <c r="B1451">
        <f ca="1">IF(OR(changes[[#This Row],[Type]]="Checklist",changes[[#This Row],[Type]]="checklist-flat"),1+IF(changes[[#This Row],[Type of change]] = "Edit",COUNTIFS($I$4:changes[[#This Row],[Name]],changes[[#This Row],[Name]], $E$4:changes[[#This Row],[Type of change]], "Edit")),B1450)</f>
        <v>2</v>
      </c>
      <c r="C1451" s="16">
        <v>44671</v>
      </c>
      <c r="D1451" s="1" t="s">
        <v>2753</v>
      </c>
      <c r="E1451" t="s">
        <v>15</v>
      </c>
      <c r="F1451" s="10" t="s">
        <v>9</v>
      </c>
      <c r="G1451" s="30" t="s">
        <v>797</v>
      </c>
      <c r="H1451" s="30" t="s">
        <v>479</v>
      </c>
      <c r="I1451" s="30" t="s">
        <v>711</v>
      </c>
      <c r="K1451" s="2"/>
      <c r="M1451" s="2"/>
    </row>
    <row r="1452" spans="1:13">
      <c r="A1452" t="s">
        <v>28</v>
      </c>
      <c r="B1452">
        <f ca="1">IF(OR(changes[[#This Row],[Type]]="Checklist",changes[[#This Row],[Type]]="checklist-flat"),1+IF(changes[[#This Row],[Type of change]] = "Edit",COUNTIFS($I$4:changes[[#This Row],[Name]],changes[[#This Row],[Name]], $E$4:changes[[#This Row],[Type of change]], "Edit")),B1451)</f>
        <v>2</v>
      </c>
      <c r="C1452" s="16">
        <v>44671</v>
      </c>
      <c r="D1452" s="1" t="s">
        <v>2753</v>
      </c>
      <c r="E1452" t="s">
        <v>15</v>
      </c>
      <c r="F1452" s="10" t="s">
        <v>9</v>
      </c>
      <c r="G1452" s="30" t="s">
        <v>797</v>
      </c>
      <c r="H1452" s="30" t="s">
        <v>55</v>
      </c>
      <c r="I1452" s="30" t="s">
        <v>712</v>
      </c>
      <c r="K1452" s="2"/>
      <c r="M1452" s="2"/>
    </row>
    <row r="1453" spans="1:13">
      <c r="A1453" t="s">
        <v>28</v>
      </c>
      <c r="B1453">
        <f ca="1">IF(OR(changes[[#This Row],[Type]]="Checklist",changes[[#This Row],[Type]]="checklist-flat"),1+IF(changes[[#This Row],[Type of change]] = "Edit",COUNTIFS($I$4:changes[[#This Row],[Name]],changes[[#This Row],[Name]], $E$4:changes[[#This Row],[Type of change]], "Edit")),B1452)</f>
        <v>2</v>
      </c>
      <c r="C1453" s="16">
        <v>44671</v>
      </c>
      <c r="D1453" s="1" t="s">
        <v>2753</v>
      </c>
      <c r="E1453" t="s">
        <v>15</v>
      </c>
      <c r="F1453" s="10" t="s">
        <v>9</v>
      </c>
      <c r="G1453" s="30" t="s">
        <v>797</v>
      </c>
      <c r="H1453" s="30" t="s">
        <v>55</v>
      </c>
      <c r="I1453" s="30" t="s">
        <v>713</v>
      </c>
      <c r="K1453" s="2"/>
      <c r="M1453" s="2"/>
    </row>
    <row r="1454" spans="1:13">
      <c r="A1454" t="s">
        <v>28</v>
      </c>
      <c r="B1454">
        <f ca="1">IF(OR(changes[[#This Row],[Type]]="Checklist",changes[[#This Row],[Type]]="checklist-flat"),1+IF(changes[[#This Row],[Type of change]] = "Edit",COUNTIFS($I$4:changes[[#This Row],[Name]],changes[[#This Row],[Name]], $E$4:changes[[#This Row],[Type of change]], "Edit")),B1453)</f>
        <v>2</v>
      </c>
      <c r="C1454" s="16">
        <v>44671</v>
      </c>
      <c r="D1454" s="1" t="s">
        <v>2753</v>
      </c>
      <c r="E1454" t="s">
        <v>15</v>
      </c>
      <c r="F1454" s="10" t="s">
        <v>9</v>
      </c>
      <c r="G1454" s="30" t="s">
        <v>797</v>
      </c>
      <c r="H1454" s="30" t="s">
        <v>479</v>
      </c>
      <c r="I1454" s="30" t="s">
        <v>714</v>
      </c>
      <c r="K1454" s="2"/>
      <c r="M1454" s="2"/>
    </row>
    <row r="1455" spans="1:13">
      <c r="A1455" t="s">
        <v>28</v>
      </c>
      <c r="B1455">
        <f ca="1">IF(OR(changes[[#This Row],[Type]]="Checklist",changes[[#This Row],[Type]]="checklist-flat"),1+IF(changes[[#This Row],[Type of change]] = "Edit",COUNTIFS($I$4:changes[[#This Row],[Name]],changes[[#This Row],[Name]], $E$4:changes[[#This Row],[Type of change]], "Edit")),B1454)</f>
        <v>2</v>
      </c>
      <c r="C1455" s="16">
        <v>44671</v>
      </c>
      <c r="D1455" s="1" t="s">
        <v>2753</v>
      </c>
      <c r="E1455" t="s">
        <v>15</v>
      </c>
      <c r="F1455" s="10" t="s">
        <v>9</v>
      </c>
      <c r="G1455" s="30" t="s">
        <v>797</v>
      </c>
      <c r="H1455" s="30" t="s">
        <v>55</v>
      </c>
      <c r="I1455" s="30" t="s">
        <v>798</v>
      </c>
      <c r="K1455" s="2"/>
      <c r="M1455" s="2"/>
    </row>
    <row r="1456" spans="1:13">
      <c r="A1456" t="s">
        <v>28</v>
      </c>
      <c r="B1456">
        <f ca="1">IF(OR(changes[[#This Row],[Type]]="Checklist",changes[[#This Row],[Type]]="checklist-flat"),1+IF(changes[[#This Row],[Type of change]] = "Edit",COUNTIFS($I$4:changes[[#This Row],[Name]],changes[[#This Row],[Name]], $E$4:changes[[#This Row],[Type of change]], "Edit")),B1455)</f>
        <v>2</v>
      </c>
      <c r="C1456" s="16">
        <v>44671</v>
      </c>
      <c r="D1456" s="1" t="s">
        <v>2753</v>
      </c>
      <c r="E1456" t="s">
        <v>15</v>
      </c>
      <c r="F1456" s="10" t="s">
        <v>9</v>
      </c>
      <c r="G1456" s="30" t="s">
        <v>797</v>
      </c>
      <c r="H1456" s="30" t="s">
        <v>55</v>
      </c>
      <c r="I1456" s="30" t="s">
        <v>799</v>
      </c>
      <c r="K1456" s="2"/>
      <c r="M1456" s="2"/>
    </row>
    <row r="1457" spans="1:13">
      <c r="A1457" t="s">
        <v>28</v>
      </c>
      <c r="B1457">
        <f ca="1">IF(OR(changes[[#This Row],[Type]]="Checklist",changes[[#This Row],[Type]]="checklist-flat"),1+IF(changes[[#This Row],[Type of change]] = "Edit",COUNTIFS($I$4:changes[[#This Row],[Name]],changes[[#This Row],[Name]], $E$4:changes[[#This Row],[Type of change]], "Edit")),B1456)</f>
        <v>2</v>
      </c>
      <c r="C1457" s="16">
        <v>44671</v>
      </c>
      <c r="D1457" s="1" t="s">
        <v>2753</v>
      </c>
      <c r="E1457" t="s">
        <v>15</v>
      </c>
      <c r="F1457" s="10" t="s">
        <v>9</v>
      </c>
      <c r="G1457" s="30" t="s">
        <v>797</v>
      </c>
      <c r="H1457" s="30" t="s">
        <v>55</v>
      </c>
      <c r="I1457" s="30" t="s">
        <v>800</v>
      </c>
      <c r="K1457" s="2"/>
      <c r="M1457" s="2"/>
    </row>
    <row r="1458" spans="1:13">
      <c r="A1458" t="s">
        <v>28</v>
      </c>
      <c r="B1458">
        <f ca="1">IF(OR(changes[[#This Row],[Type]]="Checklist",changes[[#This Row],[Type]]="checklist-flat"),1+IF(changes[[#This Row],[Type of change]] = "Edit",COUNTIFS($I$4:changes[[#This Row],[Name]],changes[[#This Row],[Name]], $E$4:changes[[#This Row],[Type of change]], "Edit")),B1457)</f>
        <v>2</v>
      </c>
      <c r="C1458" s="16">
        <v>44671</v>
      </c>
      <c r="D1458" s="1" t="s">
        <v>2753</v>
      </c>
      <c r="E1458" t="s">
        <v>15</v>
      </c>
      <c r="F1458" s="10" t="s">
        <v>9</v>
      </c>
      <c r="G1458" s="30" t="s">
        <v>797</v>
      </c>
      <c r="H1458" s="30" t="s">
        <v>55</v>
      </c>
      <c r="I1458" s="30" t="s">
        <v>801</v>
      </c>
      <c r="K1458" s="2"/>
      <c r="M1458" s="2"/>
    </row>
    <row r="1459" spans="1:13">
      <c r="A1459" t="s">
        <v>28</v>
      </c>
      <c r="B1459">
        <f ca="1">IF(OR(changes[[#This Row],[Type]]="Checklist",changes[[#This Row],[Type]]="checklist-flat"),1+IF(changes[[#This Row],[Type of change]] = "Edit",COUNTIFS($I$4:changes[[#This Row],[Name]],changes[[#This Row],[Name]], $E$4:changes[[#This Row],[Type of change]], "Edit")),B1458)</f>
        <v>2</v>
      </c>
      <c r="C1459" s="16">
        <v>44671</v>
      </c>
      <c r="D1459" s="1" t="s">
        <v>2753</v>
      </c>
      <c r="E1459" t="s">
        <v>15</v>
      </c>
      <c r="F1459" s="10" t="s">
        <v>9</v>
      </c>
      <c r="G1459" s="30" t="s">
        <v>797</v>
      </c>
      <c r="H1459" s="30" t="s">
        <v>55</v>
      </c>
      <c r="I1459" s="30" t="s">
        <v>718</v>
      </c>
      <c r="K1459" s="2"/>
      <c r="M1459" s="2"/>
    </row>
    <row r="1460" spans="1:13">
      <c r="A1460" t="s">
        <v>28</v>
      </c>
      <c r="B1460">
        <f ca="1">IF(OR(changes[[#This Row],[Type]]="Checklist",changes[[#This Row],[Type]]="checklist-flat"),1+IF(changes[[#This Row],[Type of change]] = "Edit",COUNTIFS($I$4:changes[[#This Row],[Name]],changes[[#This Row],[Name]], $E$4:changes[[#This Row],[Type of change]], "Edit")),B1459)</f>
        <v>2</v>
      </c>
      <c r="C1460" s="16">
        <v>44671</v>
      </c>
      <c r="D1460" s="1" t="s">
        <v>2753</v>
      </c>
      <c r="E1460" t="s">
        <v>15</v>
      </c>
      <c r="F1460" s="10" t="s">
        <v>9</v>
      </c>
      <c r="G1460" s="30" t="s">
        <v>797</v>
      </c>
      <c r="H1460" s="30" t="s">
        <v>55</v>
      </c>
      <c r="I1460" s="30" t="s">
        <v>719</v>
      </c>
      <c r="K1460" s="2"/>
      <c r="M1460" s="2"/>
    </row>
    <row r="1461" spans="1:13">
      <c r="A1461" t="s">
        <v>28</v>
      </c>
      <c r="B1461">
        <f ca="1">IF(OR(changes[[#This Row],[Type]]="Checklist",changes[[#This Row],[Type]]="checklist-flat"),1+IF(changes[[#This Row],[Type of change]] = "Edit",COUNTIFS($I$4:changes[[#This Row],[Name]],changes[[#This Row],[Name]], $E$4:changes[[#This Row],[Type of change]], "Edit")),B1460)</f>
        <v>2</v>
      </c>
      <c r="C1461" s="16">
        <v>44671</v>
      </c>
      <c r="D1461" s="1" t="s">
        <v>2753</v>
      </c>
      <c r="E1461" t="s">
        <v>15</v>
      </c>
      <c r="F1461" s="10" t="s">
        <v>9</v>
      </c>
      <c r="G1461" s="30" t="s">
        <v>797</v>
      </c>
      <c r="H1461" s="30" t="s">
        <v>55</v>
      </c>
      <c r="I1461" s="30" t="s">
        <v>802</v>
      </c>
      <c r="K1461" s="2"/>
      <c r="M1461" s="2"/>
    </row>
    <row r="1462" spans="1:13">
      <c r="A1462" t="s">
        <v>28</v>
      </c>
      <c r="B1462">
        <f ca="1">IF(OR(changes[[#This Row],[Type]]="Checklist",changes[[#This Row],[Type]]="checklist-flat"),1+IF(changes[[#This Row],[Type of change]] = "Edit",COUNTIFS($I$4:changes[[#This Row],[Name]],changes[[#This Row],[Name]], $E$4:changes[[#This Row],[Type of change]], "Edit")),B1461)</f>
        <v>1</v>
      </c>
      <c r="C1462" s="16">
        <v>44671</v>
      </c>
      <c r="D1462" s="1" t="s">
        <v>2427</v>
      </c>
      <c r="E1462" t="s">
        <v>27</v>
      </c>
      <c r="F1462" s="10" t="s">
        <v>52</v>
      </c>
      <c r="G1462" t="s">
        <v>213</v>
      </c>
      <c r="H1462" t="s">
        <v>54</v>
      </c>
      <c r="I1462" t="s">
        <v>213</v>
      </c>
      <c r="K1462" s="2"/>
      <c r="M1462" s="2"/>
    </row>
    <row r="1463" spans="1:13">
      <c r="A1463" t="s">
        <v>28</v>
      </c>
      <c r="B1463">
        <f ca="1">IF(OR(changes[[#This Row],[Type]]="Checklist",changes[[#This Row],[Type]]="checklist-flat"),1+IF(changes[[#This Row],[Type of change]] = "Edit",COUNTIFS($I$4:changes[[#This Row],[Name]],changes[[#This Row],[Name]], $E$4:changes[[#This Row],[Type of change]], "Edit")),B1462)</f>
        <v>1</v>
      </c>
      <c r="C1463" s="16">
        <v>44671</v>
      </c>
      <c r="D1463" s="1" t="s">
        <v>2427</v>
      </c>
      <c r="E1463" t="s">
        <v>27</v>
      </c>
      <c r="F1463" s="10" t="s">
        <v>52</v>
      </c>
      <c r="G1463" t="s">
        <v>213</v>
      </c>
      <c r="H1463" t="s">
        <v>214</v>
      </c>
      <c r="I1463" t="s">
        <v>215</v>
      </c>
      <c r="K1463" s="2"/>
      <c r="M1463" s="2"/>
    </row>
    <row r="1464" spans="1:13">
      <c r="A1464" t="s">
        <v>28</v>
      </c>
      <c r="B1464">
        <f ca="1">IF(OR(changes[[#This Row],[Type]]="Checklist",changes[[#This Row],[Type]]="checklist-flat"),1+IF(changes[[#This Row],[Type of change]] = "Edit",COUNTIFS($I$4:changes[[#This Row],[Name]],changes[[#This Row],[Name]], $E$4:changes[[#This Row],[Type of change]], "Edit")),B1463)</f>
        <v>1</v>
      </c>
      <c r="C1464" s="16">
        <v>44671</v>
      </c>
      <c r="D1464" s="1" t="s">
        <v>2427</v>
      </c>
      <c r="E1464" t="s">
        <v>27</v>
      </c>
      <c r="F1464" s="10" t="s">
        <v>52</v>
      </c>
      <c r="G1464" t="s">
        <v>213</v>
      </c>
      <c r="H1464" t="s">
        <v>214</v>
      </c>
      <c r="I1464" t="s">
        <v>216</v>
      </c>
      <c r="K1464" s="2"/>
      <c r="M1464" s="2"/>
    </row>
    <row r="1465" spans="1:13">
      <c r="A1465" t="s">
        <v>28</v>
      </c>
      <c r="B1465">
        <f ca="1">IF(OR(changes[[#This Row],[Type]]="Checklist",changes[[#This Row],[Type]]="checklist-flat"),1+IF(changes[[#This Row],[Type of change]] = "Edit",COUNTIFS($I$4:changes[[#This Row],[Name]],changes[[#This Row],[Name]], $E$4:changes[[#This Row],[Type of change]], "Edit")),B1464)</f>
        <v>1</v>
      </c>
      <c r="C1465" s="16">
        <v>44671</v>
      </c>
      <c r="D1465" s="1" t="s">
        <v>2427</v>
      </c>
      <c r="E1465" t="s">
        <v>27</v>
      </c>
      <c r="F1465" s="10" t="s">
        <v>52</v>
      </c>
      <c r="G1465" t="s">
        <v>213</v>
      </c>
      <c r="H1465" t="s">
        <v>214</v>
      </c>
      <c r="I1465" t="s">
        <v>217</v>
      </c>
      <c r="K1465" s="2"/>
      <c r="M1465" s="2"/>
    </row>
    <row r="1466" spans="1:13">
      <c r="A1466" t="s">
        <v>28</v>
      </c>
      <c r="B1466">
        <f ca="1">IF(OR(changes[[#This Row],[Type]]="Checklist",changes[[#This Row],[Type]]="checklist-flat"),1+IF(changes[[#This Row],[Type of change]] = "Edit",COUNTIFS($I$4:changes[[#This Row],[Name]],changes[[#This Row],[Name]], $E$4:changes[[#This Row],[Type of change]], "Edit")),B1465)</f>
        <v>1</v>
      </c>
      <c r="C1466" s="16">
        <v>44671</v>
      </c>
      <c r="D1466" s="1" t="s">
        <v>2427</v>
      </c>
      <c r="E1466" t="s">
        <v>27</v>
      </c>
      <c r="F1466" s="10" t="s">
        <v>52</v>
      </c>
      <c r="G1466" t="s">
        <v>213</v>
      </c>
      <c r="H1466" t="s">
        <v>218</v>
      </c>
      <c r="I1466" t="s">
        <v>219</v>
      </c>
      <c r="J1466" t="s">
        <v>2768</v>
      </c>
      <c r="K1466" s="2"/>
      <c r="M1466" s="2"/>
    </row>
    <row r="1467" spans="1:13">
      <c r="A1467" t="s">
        <v>28</v>
      </c>
      <c r="B1467">
        <f ca="1">IF(OR(changes[[#This Row],[Type]]="Checklist",changes[[#This Row],[Type]]="checklist-flat"),1+IF(changes[[#This Row],[Type of change]] = "Edit",COUNTIFS($I$4:changes[[#This Row],[Name]],changes[[#This Row],[Name]], $E$4:changes[[#This Row],[Type of change]], "Edit")),B1466)</f>
        <v>1</v>
      </c>
      <c r="C1467" s="16">
        <v>44671</v>
      </c>
      <c r="D1467" s="1" t="s">
        <v>2427</v>
      </c>
      <c r="E1467" t="s">
        <v>27</v>
      </c>
      <c r="F1467" s="10" t="s">
        <v>52</v>
      </c>
      <c r="G1467" t="s">
        <v>213</v>
      </c>
      <c r="H1467" t="s">
        <v>99</v>
      </c>
      <c r="I1467" t="s">
        <v>221</v>
      </c>
      <c r="K1467" s="2"/>
      <c r="M1467" s="2"/>
    </row>
    <row r="1468" spans="1:13">
      <c r="A1468" t="s">
        <v>28</v>
      </c>
      <c r="B1468">
        <f ca="1">IF(OR(changes[[#This Row],[Type]]="Checklist",changes[[#This Row],[Type]]="checklist-flat"),1+IF(changes[[#This Row],[Type of change]] = "Edit",COUNTIFS($I$4:changes[[#This Row],[Name]],changes[[#This Row],[Name]], $E$4:changes[[#This Row],[Type of change]], "Edit")),B1467)</f>
        <v>1</v>
      </c>
      <c r="C1468" s="16">
        <v>44671</v>
      </c>
      <c r="D1468" s="1" t="s">
        <v>2427</v>
      </c>
      <c r="E1468" t="s">
        <v>27</v>
      </c>
      <c r="F1468" s="10" t="s">
        <v>52</v>
      </c>
      <c r="G1468" t="s">
        <v>213</v>
      </c>
      <c r="H1468" t="s">
        <v>55</v>
      </c>
      <c r="I1468" t="s">
        <v>222</v>
      </c>
      <c r="K1468" s="2"/>
      <c r="M1468" s="2"/>
    </row>
    <row r="1469" spans="1:13">
      <c r="A1469" t="s">
        <v>28</v>
      </c>
      <c r="B1469">
        <f ca="1">IF(OR(changes[[#This Row],[Type]]="Checklist",changes[[#This Row],[Type]]="checklist-flat"),1+IF(changes[[#This Row],[Type of change]] = "Edit",COUNTIFS($I$4:changes[[#This Row],[Name]],changes[[#This Row],[Name]], $E$4:changes[[#This Row],[Type of change]], "Edit")),B1468)</f>
        <v>1</v>
      </c>
      <c r="C1469" s="16">
        <v>44671</v>
      </c>
      <c r="D1469" s="1" t="s">
        <v>2427</v>
      </c>
      <c r="E1469" t="s">
        <v>27</v>
      </c>
      <c r="F1469" s="10" t="s">
        <v>52</v>
      </c>
      <c r="G1469" t="s">
        <v>213</v>
      </c>
      <c r="H1469" t="s">
        <v>214</v>
      </c>
      <c r="I1469" t="s">
        <v>223</v>
      </c>
      <c r="K1469" s="2"/>
      <c r="M1469" s="2"/>
    </row>
    <row r="1470" spans="1:13">
      <c r="A1470" t="s">
        <v>28</v>
      </c>
      <c r="B1470">
        <f ca="1">IF(OR(changes[[#This Row],[Type]]="Checklist",changes[[#This Row],[Type]]="checklist-flat"),1+IF(changes[[#This Row],[Type of change]] = "Edit",COUNTIFS($I$4:changes[[#This Row],[Name]],changes[[#This Row],[Name]], $E$4:changes[[#This Row],[Type of change]], "Edit")),B1469)</f>
        <v>1</v>
      </c>
      <c r="C1470" s="16">
        <v>44671</v>
      </c>
      <c r="D1470" s="1" t="s">
        <v>2753</v>
      </c>
      <c r="E1470" t="s">
        <v>27</v>
      </c>
      <c r="F1470" s="10" t="s">
        <v>9</v>
      </c>
      <c r="G1470" s="17" t="s">
        <v>2769</v>
      </c>
      <c r="H1470" s="30" t="s">
        <v>54</v>
      </c>
      <c r="I1470" s="17" t="s">
        <v>686</v>
      </c>
      <c r="K1470" s="2"/>
      <c r="M1470" s="2" t="s">
        <v>2770</v>
      </c>
    </row>
    <row r="1471" spans="1:13">
      <c r="A1471" t="s">
        <v>28</v>
      </c>
      <c r="B1471">
        <f ca="1">IF(OR(changes[[#This Row],[Type]]="Checklist",changes[[#This Row],[Type]]="checklist-flat"),1+IF(changes[[#This Row],[Type of change]] = "Edit",COUNTIFS($I$4:changes[[#This Row],[Name]],changes[[#This Row],[Name]], $E$4:changes[[#This Row],[Type of change]], "Edit")),B1470)</f>
        <v>1</v>
      </c>
      <c r="C1471" s="16">
        <v>44671</v>
      </c>
      <c r="D1471" s="1" t="s">
        <v>2753</v>
      </c>
      <c r="E1471" t="s">
        <v>27</v>
      </c>
      <c r="F1471" s="10" t="s">
        <v>9</v>
      </c>
      <c r="G1471" s="17" t="s">
        <v>2769</v>
      </c>
      <c r="H1471" s="30" t="s">
        <v>55</v>
      </c>
      <c r="I1471" t="s">
        <v>687</v>
      </c>
      <c r="K1471" s="2"/>
      <c r="M1471" s="2"/>
    </row>
    <row r="1472" spans="1:13">
      <c r="A1472" t="s">
        <v>28</v>
      </c>
      <c r="B1472">
        <f ca="1">IF(OR(changes[[#This Row],[Type]]="Checklist",changes[[#This Row],[Type]]="checklist-flat"),1+IF(changes[[#This Row],[Type of change]] = "Edit",COUNTIFS($I$4:changes[[#This Row],[Name]],changes[[#This Row],[Name]], $E$4:changes[[#This Row],[Type of change]], "Edit")),B1471)</f>
        <v>1</v>
      </c>
      <c r="C1472" s="16">
        <v>44671</v>
      </c>
      <c r="D1472" s="1" t="s">
        <v>2753</v>
      </c>
      <c r="E1472" t="s">
        <v>27</v>
      </c>
      <c r="F1472" s="10" t="s">
        <v>9</v>
      </c>
      <c r="G1472" s="17" t="s">
        <v>2769</v>
      </c>
      <c r="H1472" s="30" t="s">
        <v>55</v>
      </c>
      <c r="I1472" t="s">
        <v>688</v>
      </c>
      <c r="K1472" s="2"/>
      <c r="M1472" s="2"/>
    </row>
    <row r="1473" spans="1:13">
      <c r="A1473" t="s">
        <v>28</v>
      </c>
      <c r="B1473">
        <f ca="1">IF(OR(changes[[#This Row],[Type]]="Checklist",changes[[#This Row],[Type]]="checklist-flat"),1+IF(changes[[#This Row],[Type of change]] = "Edit",COUNTIFS($I$4:changes[[#This Row],[Name]],changes[[#This Row],[Name]], $E$4:changes[[#This Row],[Type of change]], "Edit")),B1472)</f>
        <v>1</v>
      </c>
      <c r="C1473" s="16">
        <v>44671</v>
      </c>
      <c r="D1473" s="1" t="s">
        <v>2753</v>
      </c>
      <c r="E1473" t="s">
        <v>27</v>
      </c>
      <c r="F1473" s="10" t="s">
        <v>9</v>
      </c>
      <c r="G1473" s="17" t="s">
        <v>2769</v>
      </c>
      <c r="H1473" s="30" t="s">
        <v>55</v>
      </c>
      <c r="I1473" t="s">
        <v>689</v>
      </c>
      <c r="K1473" s="2"/>
      <c r="M1473" s="2"/>
    </row>
    <row r="1474" spans="1:13">
      <c r="A1474" t="s">
        <v>28</v>
      </c>
      <c r="B1474">
        <f ca="1">IF(OR(changes[[#This Row],[Type]]="Checklist",changes[[#This Row],[Type]]="checklist-flat"),1+IF(changes[[#This Row],[Type of change]] = "Edit",COUNTIFS($I$4:changes[[#This Row],[Name]],changes[[#This Row],[Name]], $E$4:changes[[#This Row],[Type of change]], "Edit")),B1473)</f>
        <v>1</v>
      </c>
      <c r="C1474" s="16">
        <v>44671</v>
      </c>
      <c r="D1474" s="1" t="s">
        <v>2753</v>
      </c>
      <c r="E1474" t="s">
        <v>27</v>
      </c>
      <c r="F1474" s="10" t="s">
        <v>9</v>
      </c>
      <c r="G1474" s="17" t="s">
        <v>2769</v>
      </c>
      <c r="H1474" s="30" t="s">
        <v>55</v>
      </c>
      <c r="I1474" t="s">
        <v>690</v>
      </c>
      <c r="K1474" s="2"/>
      <c r="M1474" s="2"/>
    </row>
    <row r="1475" spans="1:13">
      <c r="A1475" t="s">
        <v>28</v>
      </c>
      <c r="B1475">
        <f ca="1">IF(OR(changes[[#This Row],[Type]]="Checklist",changes[[#This Row],[Type]]="checklist-flat"),1+IF(changes[[#This Row],[Type of change]] = "Edit",COUNTIFS($I$4:changes[[#This Row],[Name]],changes[[#This Row],[Name]], $E$4:changes[[#This Row],[Type of change]], "Edit")),B1474)</f>
        <v>1</v>
      </c>
      <c r="C1475" s="16">
        <v>44671</v>
      </c>
      <c r="D1475" s="1" t="s">
        <v>2753</v>
      </c>
      <c r="E1475" t="s">
        <v>27</v>
      </c>
      <c r="F1475" s="10" t="s">
        <v>9</v>
      </c>
      <c r="G1475" s="17" t="s">
        <v>2769</v>
      </c>
      <c r="H1475" s="30" t="s">
        <v>55</v>
      </c>
      <c r="I1475" t="s">
        <v>691</v>
      </c>
      <c r="K1475" s="2"/>
      <c r="M1475" s="2"/>
    </row>
    <row r="1476" spans="1:13">
      <c r="A1476" t="s">
        <v>28</v>
      </c>
      <c r="B1476">
        <f ca="1">IF(OR(changes[[#This Row],[Type]]="Checklist",changes[[#This Row],[Type]]="checklist-flat"),1+IF(changes[[#This Row],[Type of change]] = "Edit",COUNTIFS($I$4:changes[[#This Row],[Name]],changes[[#This Row],[Name]], $E$4:changes[[#This Row],[Type of change]], "Edit")),B1475)</f>
        <v>3</v>
      </c>
      <c r="C1476" s="16">
        <v>44673</v>
      </c>
      <c r="D1476" s="1" t="s">
        <v>2452</v>
      </c>
      <c r="E1476" t="s">
        <v>15</v>
      </c>
      <c r="F1476" s="10" t="s">
        <v>52</v>
      </c>
      <c r="G1476" t="s">
        <v>1576</v>
      </c>
      <c r="H1476" t="s">
        <v>54</v>
      </c>
      <c r="I1476" t="s">
        <v>1576</v>
      </c>
      <c r="K1476" s="2"/>
      <c r="M1476" s="2" t="s">
        <v>2771</v>
      </c>
    </row>
    <row r="1477" spans="1:13">
      <c r="A1477" t="s">
        <v>28</v>
      </c>
      <c r="B1477">
        <f ca="1">IF(OR(changes[[#This Row],[Type]]="Checklist",changes[[#This Row],[Type]]="checklist-flat"),1+IF(changes[[#This Row],[Type of change]] = "Edit",COUNTIFS($I$4:changes[[#This Row],[Name]],changes[[#This Row],[Name]], $E$4:changes[[#This Row],[Type of change]], "Edit")),B1476)</f>
        <v>3</v>
      </c>
      <c r="C1477" s="16">
        <v>44673</v>
      </c>
      <c r="D1477" s="1" t="s">
        <v>2452</v>
      </c>
      <c r="E1477" t="s">
        <v>15</v>
      </c>
      <c r="F1477" s="10" t="s">
        <v>52</v>
      </c>
      <c r="G1477" t="s">
        <v>1576</v>
      </c>
      <c r="H1477" t="s">
        <v>55</v>
      </c>
      <c r="I1477" t="s">
        <v>62</v>
      </c>
      <c r="K1477" s="2"/>
      <c r="M1477" s="2"/>
    </row>
    <row r="1478" spans="1:13">
      <c r="A1478" t="s">
        <v>28</v>
      </c>
      <c r="B1478">
        <f ca="1">IF(OR(changes[[#This Row],[Type]]="Checklist",changes[[#This Row],[Type]]="checklist-flat"),1+IF(changes[[#This Row],[Type of change]] = "Edit",COUNTIFS($I$4:changes[[#This Row],[Name]],changes[[#This Row],[Name]], $E$4:changes[[#This Row],[Type of change]], "Edit")),B1477)</f>
        <v>3</v>
      </c>
      <c r="C1478" s="16">
        <v>44673</v>
      </c>
      <c r="D1478" s="1" t="s">
        <v>2452</v>
      </c>
      <c r="E1478" t="s">
        <v>15</v>
      </c>
      <c r="F1478" s="10" t="s">
        <v>52</v>
      </c>
      <c r="G1478" t="s">
        <v>1576</v>
      </c>
      <c r="H1478" t="s">
        <v>55</v>
      </c>
      <c r="I1478" t="s">
        <v>1581</v>
      </c>
      <c r="K1478" s="2"/>
      <c r="M1478" s="2"/>
    </row>
    <row r="1479" spans="1:13">
      <c r="A1479" t="s">
        <v>28</v>
      </c>
      <c r="B1479">
        <f ca="1">IF(OR(changes[[#This Row],[Type]]="Checklist",changes[[#This Row],[Type]]="checklist-flat"),1+IF(changes[[#This Row],[Type of change]] = "Edit",COUNTIFS($I$4:changes[[#This Row],[Name]],changes[[#This Row],[Name]], $E$4:changes[[#This Row],[Type of change]], "Edit")),B1478)</f>
        <v>3</v>
      </c>
      <c r="C1479" s="16">
        <v>44673</v>
      </c>
      <c r="D1479" s="1" t="s">
        <v>2452</v>
      </c>
      <c r="E1479" t="s">
        <v>15</v>
      </c>
      <c r="F1479" s="10" t="s">
        <v>52</v>
      </c>
      <c r="G1479" t="s">
        <v>1576</v>
      </c>
      <c r="H1479" t="s">
        <v>55</v>
      </c>
      <c r="I1479" t="s">
        <v>1582</v>
      </c>
      <c r="K1479" s="2"/>
      <c r="M1479" s="2"/>
    </row>
    <row r="1480" spans="1:13">
      <c r="A1480" t="s">
        <v>28</v>
      </c>
      <c r="B1480">
        <f ca="1">IF(OR(changes[[#This Row],[Type]]="Checklist",changes[[#This Row],[Type]]="checklist-flat"),1+IF(changes[[#This Row],[Type of change]] = "Edit",COUNTIFS($I$4:changes[[#This Row],[Name]],changes[[#This Row],[Name]], $E$4:changes[[#This Row],[Type of change]], "Edit")),B1479)</f>
        <v>3</v>
      </c>
      <c r="C1480" s="16">
        <v>44673</v>
      </c>
      <c r="D1480" s="1" t="s">
        <v>2452</v>
      </c>
      <c r="E1480" t="s">
        <v>15</v>
      </c>
      <c r="F1480" s="10" t="s">
        <v>52</v>
      </c>
      <c r="G1480" t="s">
        <v>1576</v>
      </c>
      <c r="H1480" t="s">
        <v>55</v>
      </c>
      <c r="I1480" t="s">
        <v>1583</v>
      </c>
      <c r="K1480" s="2"/>
      <c r="M1480" s="2"/>
    </row>
    <row r="1481" spans="1:13">
      <c r="A1481" t="s">
        <v>28</v>
      </c>
      <c r="B1481">
        <f ca="1">IF(OR(changes[[#This Row],[Type]]="Checklist",changes[[#This Row],[Type]]="checklist-flat"),1+IF(changes[[#This Row],[Type of change]] = "Edit",COUNTIFS($I$4:changes[[#This Row],[Name]],changes[[#This Row],[Name]], $E$4:changes[[#This Row],[Type of change]], "Edit")),B1480)</f>
        <v>3</v>
      </c>
      <c r="C1481" s="16">
        <v>44673</v>
      </c>
      <c r="D1481" s="1" t="s">
        <v>2452</v>
      </c>
      <c r="E1481" t="s">
        <v>15</v>
      </c>
      <c r="F1481" s="10" t="s">
        <v>52</v>
      </c>
      <c r="G1481" t="s">
        <v>1576</v>
      </c>
      <c r="H1481" t="s">
        <v>55</v>
      </c>
      <c r="I1481" t="s">
        <v>63</v>
      </c>
      <c r="K1481" s="2"/>
      <c r="M1481" s="2"/>
    </row>
    <row r="1482" spans="1:13">
      <c r="A1482" t="s">
        <v>28</v>
      </c>
      <c r="B1482">
        <f ca="1">IF(OR(changes[[#This Row],[Type]]="Checklist",changes[[#This Row],[Type]]="checklist-flat"),1+IF(changes[[#This Row],[Type of change]] = "Edit",COUNTIFS($I$4:changes[[#This Row],[Name]],changes[[#This Row],[Name]], $E$4:changes[[#This Row],[Type of change]], "Edit")),B1481)</f>
        <v>3</v>
      </c>
      <c r="C1482" s="16">
        <v>44673</v>
      </c>
      <c r="D1482" s="1" t="s">
        <v>2452</v>
      </c>
      <c r="E1482" t="s">
        <v>15</v>
      </c>
      <c r="F1482" s="10" t="s">
        <v>52</v>
      </c>
      <c r="G1482" t="s">
        <v>1576</v>
      </c>
      <c r="H1482" t="s">
        <v>64</v>
      </c>
      <c r="I1482" t="s">
        <v>65</v>
      </c>
      <c r="K1482" s="2"/>
      <c r="M1482" s="2"/>
    </row>
    <row r="1483" spans="1:13">
      <c r="A1483" t="s">
        <v>28</v>
      </c>
      <c r="B1483">
        <f ca="1">IF(OR(changes[[#This Row],[Type]]="Checklist",changes[[#This Row],[Type]]="checklist-flat"),1+IF(changes[[#This Row],[Type of change]] = "Edit",COUNTIFS($I$4:changes[[#This Row],[Name]],changes[[#This Row],[Name]], $E$4:changes[[#This Row],[Type of change]], "Edit")),B1482)</f>
        <v>3</v>
      </c>
      <c r="C1483" s="16">
        <v>44673</v>
      </c>
      <c r="D1483" s="1" t="s">
        <v>2452</v>
      </c>
      <c r="E1483" t="s">
        <v>15</v>
      </c>
      <c r="F1483" s="10" t="s">
        <v>52</v>
      </c>
      <c r="G1483" t="s">
        <v>1576</v>
      </c>
      <c r="H1483" t="s">
        <v>55</v>
      </c>
      <c r="I1483" t="s">
        <v>1584</v>
      </c>
      <c r="K1483" s="2"/>
      <c r="M1483" s="2"/>
    </row>
    <row r="1484" spans="1:13">
      <c r="A1484" t="s">
        <v>28</v>
      </c>
      <c r="B1484">
        <f ca="1">IF(OR(changes[[#This Row],[Type]]="Checklist",changes[[#This Row],[Type]]="checklist-flat"),1+IF(changes[[#This Row],[Type of change]] = "Edit",COUNTIFS($I$4:changes[[#This Row],[Name]],changes[[#This Row],[Name]], $E$4:changes[[#This Row],[Type of change]], "Edit")),B1483)</f>
        <v>1</v>
      </c>
      <c r="C1484" s="16">
        <v>44678</v>
      </c>
      <c r="D1484" s="1" t="s">
        <v>2427</v>
      </c>
      <c r="E1484" t="s">
        <v>27</v>
      </c>
      <c r="F1484" s="10" t="s">
        <v>9</v>
      </c>
      <c r="G1484" t="s">
        <v>1137</v>
      </c>
      <c r="H1484" t="s">
        <v>54</v>
      </c>
      <c r="I1484" t="s">
        <v>1137</v>
      </c>
      <c r="K1484" s="2"/>
      <c r="M1484" s="2" t="s">
        <v>2772</v>
      </c>
    </row>
    <row r="1485" spans="1:13">
      <c r="A1485" t="s">
        <v>28</v>
      </c>
      <c r="B1485">
        <f ca="1">IF(OR(changes[[#This Row],[Type]]="Checklist",changes[[#This Row],[Type]]="checklist-flat"),1+IF(changes[[#This Row],[Type of change]] = "Edit",COUNTIFS($I$4:changes[[#This Row],[Name]],changes[[#This Row],[Name]], $E$4:changes[[#This Row],[Type of change]], "Edit")),B1484)</f>
        <v>1</v>
      </c>
      <c r="C1485" s="16">
        <v>44678</v>
      </c>
      <c r="D1485" s="1" t="s">
        <v>2427</v>
      </c>
      <c r="E1485" t="s">
        <v>27</v>
      </c>
      <c r="F1485" s="10" t="s">
        <v>9</v>
      </c>
      <c r="G1485" t="s">
        <v>1137</v>
      </c>
      <c r="H1485" t="s">
        <v>55</v>
      </c>
      <c r="I1485" t="s">
        <v>1138</v>
      </c>
      <c r="K1485" s="2"/>
      <c r="M1485" s="2"/>
    </row>
    <row r="1486" spans="1:13">
      <c r="A1486" t="s">
        <v>28</v>
      </c>
      <c r="B1486">
        <f ca="1">IF(OR(changes[[#This Row],[Type]]="Checklist",changes[[#This Row],[Type]]="checklist-flat"),1+IF(changes[[#This Row],[Type of change]] = "Edit",COUNTIFS($I$4:changes[[#This Row],[Name]],changes[[#This Row],[Name]], $E$4:changes[[#This Row],[Type of change]], "Edit")),B1485)</f>
        <v>1</v>
      </c>
      <c r="C1486" s="16">
        <v>44678</v>
      </c>
      <c r="D1486" s="1" t="s">
        <v>2427</v>
      </c>
      <c r="E1486" t="s">
        <v>27</v>
      </c>
      <c r="F1486" s="10" t="s">
        <v>9</v>
      </c>
      <c r="G1486" t="s">
        <v>1137</v>
      </c>
      <c r="H1486" t="s">
        <v>55</v>
      </c>
      <c r="I1486" t="s">
        <v>1139</v>
      </c>
      <c r="K1486" s="2"/>
      <c r="M1486" s="2"/>
    </row>
    <row r="1487" spans="1:13">
      <c r="A1487" t="s">
        <v>28</v>
      </c>
      <c r="B1487">
        <f ca="1">IF(OR(changes[[#This Row],[Type]]="Checklist",changes[[#This Row],[Type]]="checklist-flat"),1+IF(changes[[#This Row],[Type of change]] = "Edit",COUNTIFS($I$4:changes[[#This Row],[Name]],changes[[#This Row],[Name]], $E$4:changes[[#This Row],[Type of change]], "Edit")),B1486)</f>
        <v>1</v>
      </c>
      <c r="C1487" s="16">
        <v>44678</v>
      </c>
      <c r="D1487" s="1" t="s">
        <v>2427</v>
      </c>
      <c r="E1487" t="s">
        <v>27</v>
      </c>
      <c r="F1487" s="10" t="s">
        <v>9</v>
      </c>
      <c r="G1487" t="s">
        <v>1137</v>
      </c>
      <c r="H1487" t="s">
        <v>55</v>
      </c>
      <c r="I1487" t="s">
        <v>1140</v>
      </c>
      <c r="K1487" s="2"/>
      <c r="M1487" s="2"/>
    </row>
    <row r="1488" spans="1:13">
      <c r="A1488" t="s">
        <v>28</v>
      </c>
      <c r="B1488">
        <f ca="1">IF(OR(changes[[#This Row],[Type]]="Checklist",changes[[#This Row],[Type]]="checklist-flat"),1+IF(changes[[#This Row],[Type of change]] = "Edit",COUNTIFS($I$4:changes[[#This Row],[Name]],changes[[#This Row],[Name]], $E$4:changes[[#This Row],[Type of change]], "Edit")),B1487)</f>
        <v>1</v>
      </c>
      <c r="C1488" s="16">
        <v>44678</v>
      </c>
      <c r="D1488" s="1" t="s">
        <v>2427</v>
      </c>
      <c r="E1488" t="s">
        <v>27</v>
      </c>
      <c r="F1488" s="10" t="s">
        <v>9</v>
      </c>
      <c r="G1488" t="s">
        <v>1137</v>
      </c>
      <c r="H1488" t="s">
        <v>55</v>
      </c>
      <c r="I1488" t="s">
        <v>1141</v>
      </c>
      <c r="K1488" s="2"/>
      <c r="M1488" s="2"/>
    </row>
    <row r="1489" spans="1:13">
      <c r="A1489" t="s">
        <v>28</v>
      </c>
      <c r="B1489">
        <f ca="1">IF(OR(changes[[#This Row],[Type]]="Checklist",changes[[#This Row],[Type]]="checklist-flat"),1+IF(changes[[#This Row],[Type of change]] = "Edit",COUNTIFS($I$4:changes[[#This Row],[Name]],changes[[#This Row],[Name]], $E$4:changes[[#This Row],[Type of change]], "Edit")),B1488)</f>
        <v>1</v>
      </c>
      <c r="C1489" s="16">
        <v>44678</v>
      </c>
      <c r="D1489" s="1" t="s">
        <v>2427</v>
      </c>
      <c r="E1489" t="s">
        <v>27</v>
      </c>
      <c r="F1489" s="10" t="s">
        <v>9</v>
      </c>
      <c r="G1489" t="s">
        <v>1137</v>
      </c>
      <c r="H1489" t="s">
        <v>64</v>
      </c>
      <c r="I1489" t="s">
        <v>1142</v>
      </c>
      <c r="K1489" s="2"/>
      <c r="M1489" s="2"/>
    </row>
    <row r="1490" spans="1:13">
      <c r="A1490" t="s">
        <v>28</v>
      </c>
      <c r="B1490">
        <f ca="1">IF(OR(changes[[#This Row],[Type]]="Checklist",changes[[#This Row],[Type]]="checklist-flat"),1+IF(changes[[#This Row],[Type of change]] = "Edit",COUNTIFS($I$4:changes[[#This Row],[Name]],changes[[#This Row],[Name]], $E$4:changes[[#This Row],[Type of change]], "Edit")),B1489)</f>
        <v>1</v>
      </c>
      <c r="C1490" s="16">
        <v>44678</v>
      </c>
      <c r="D1490" s="1" t="s">
        <v>2427</v>
      </c>
      <c r="E1490" t="s">
        <v>27</v>
      </c>
      <c r="F1490" s="10" t="s">
        <v>9</v>
      </c>
      <c r="G1490" t="s">
        <v>1137</v>
      </c>
      <c r="H1490" t="s">
        <v>54</v>
      </c>
      <c r="I1490" t="s">
        <v>1211</v>
      </c>
      <c r="K1490" s="2"/>
      <c r="M1490" s="2" t="s">
        <v>2772</v>
      </c>
    </row>
    <row r="1491" spans="1:13">
      <c r="A1491" t="s">
        <v>28</v>
      </c>
      <c r="B1491">
        <f ca="1">IF(OR(changes[[#This Row],[Type]]="Checklist",changes[[#This Row],[Type]]="checklist-flat"),1+IF(changes[[#This Row],[Type of change]] = "Edit",COUNTIFS($I$4:changes[[#This Row],[Name]],changes[[#This Row],[Name]], $E$4:changes[[#This Row],[Type of change]], "Edit")),B1490)</f>
        <v>1</v>
      </c>
      <c r="C1491" s="16">
        <v>44678</v>
      </c>
      <c r="D1491" s="1" t="s">
        <v>2427</v>
      </c>
      <c r="E1491" t="s">
        <v>27</v>
      </c>
      <c r="F1491" s="10" t="s">
        <v>9</v>
      </c>
      <c r="G1491" t="s">
        <v>1137</v>
      </c>
      <c r="H1491" t="s">
        <v>55</v>
      </c>
      <c r="I1491" t="s">
        <v>1212</v>
      </c>
      <c r="K1491" s="2"/>
      <c r="M1491" s="2"/>
    </row>
    <row r="1492" spans="1:13">
      <c r="A1492" t="s">
        <v>28</v>
      </c>
      <c r="B1492">
        <f ca="1">IF(OR(changes[[#This Row],[Type]]="Checklist",changes[[#This Row],[Type]]="checklist-flat"),1+IF(changes[[#This Row],[Type of change]] = "Edit",COUNTIFS($I$4:changes[[#This Row],[Name]],changes[[#This Row],[Name]], $E$4:changes[[#This Row],[Type of change]], "Edit")),B1491)</f>
        <v>1</v>
      </c>
      <c r="C1492" s="16">
        <v>44678</v>
      </c>
      <c r="D1492" s="1" t="s">
        <v>2427</v>
      </c>
      <c r="E1492" t="s">
        <v>27</v>
      </c>
      <c r="F1492" s="10" t="s">
        <v>9</v>
      </c>
      <c r="G1492" t="s">
        <v>1137</v>
      </c>
      <c r="H1492" t="s">
        <v>55</v>
      </c>
      <c r="I1492" t="s">
        <v>1213</v>
      </c>
      <c r="K1492" s="2"/>
      <c r="M1492" s="2"/>
    </row>
    <row r="1493" spans="1:13">
      <c r="A1493" t="s">
        <v>28</v>
      </c>
      <c r="B1493">
        <f ca="1">IF(OR(changes[[#This Row],[Type]]="Checklist",changes[[#This Row],[Type]]="checklist-flat"),1+IF(changes[[#This Row],[Type of change]] = "Edit",COUNTIFS($I$4:changes[[#This Row],[Name]],changes[[#This Row],[Name]], $E$4:changes[[#This Row],[Type of change]], "Edit")),B1492)</f>
        <v>1</v>
      </c>
      <c r="C1493" s="16">
        <v>44678</v>
      </c>
      <c r="D1493" s="1" t="s">
        <v>2427</v>
      </c>
      <c r="E1493" t="s">
        <v>27</v>
      </c>
      <c r="F1493" s="10" t="s">
        <v>9</v>
      </c>
      <c r="G1493" t="s">
        <v>1137</v>
      </c>
      <c r="H1493" t="s">
        <v>55</v>
      </c>
      <c r="I1493" t="s">
        <v>1214</v>
      </c>
      <c r="K1493" s="2"/>
      <c r="M1493" s="2"/>
    </row>
    <row r="1494" spans="1:13">
      <c r="A1494" t="s">
        <v>28</v>
      </c>
      <c r="B1494">
        <f ca="1">IF(OR(changes[[#This Row],[Type]]="Checklist",changes[[#This Row],[Type]]="checklist-flat"),1+IF(changes[[#This Row],[Type of change]] = "Edit",COUNTIFS($I$4:changes[[#This Row],[Name]],changes[[#This Row],[Name]], $E$4:changes[[#This Row],[Type of change]], "Edit")),B1493)</f>
        <v>1</v>
      </c>
      <c r="C1494" s="16">
        <v>44678</v>
      </c>
      <c r="D1494" s="1" t="s">
        <v>2427</v>
      </c>
      <c r="E1494" t="s">
        <v>27</v>
      </c>
      <c r="F1494" s="10" t="s">
        <v>9</v>
      </c>
      <c r="G1494" t="s">
        <v>1137</v>
      </c>
      <c r="H1494" t="s">
        <v>55</v>
      </c>
      <c r="I1494" t="s">
        <v>1141</v>
      </c>
      <c r="K1494" s="2"/>
      <c r="M1494" s="2"/>
    </row>
    <row r="1495" spans="1:13">
      <c r="A1495" t="s">
        <v>28</v>
      </c>
      <c r="B1495">
        <f ca="1">IF(OR(changes[[#This Row],[Type]]="Checklist",changes[[#This Row],[Type]]="checklist-flat"),1+IF(changes[[#This Row],[Type of change]] = "Edit",COUNTIFS($I$4:changes[[#This Row],[Name]],changes[[#This Row],[Name]], $E$4:changes[[#This Row],[Type of change]], "Edit")),B1494)</f>
        <v>1</v>
      </c>
      <c r="C1495" s="16">
        <v>44678</v>
      </c>
      <c r="D1495" s="1" t="s">
        <v>2427</v>
      </c>
      <c r="E1495" t="s">
        <v>27</v>
      </c>
      <c r="F1495" s="10" t="s">
        <v>9</v>
      </c>
      <c r="G1495" t="s">
        <v>1137</v>
      </c>
      <c r="H1495" t="s">
        <v>55</v>
      </c>
      <c r="I1495" t="s">
        <v>1215</v>
      </c>
      <c r="K1495" s="2"/>
      <c r="M1495" s="2"/>
    </row>
    <row r="1496" spans="1:13">
      <c r="A1496" t="s">
        <v>28</v>
      </c>
      <c r="B1496">
        <f ca="1">IF(OR(changes[[#This Row],[Type]]="Checklist",changes[[#This Row],[Type]]="checklist-flat"),1+IF(changes[[#This Row],[Type of change]] = "Edit",COUNTIFS($I$4:changes[[#This Row],[Name]],changes[[#This Row],[Name]], $E$4:changes[[#This Row],[Type of change]], "Edit")),B1495)</f>
        <v>1</v>
      </c>
      <c r="C1496" s="16">
        <v>44678</v>
      </c>
      <c r="D1496" s="1" t="s">
        <v>2427</v>
      </c>
      <c r="E1496" t="s">
        <v>27</v>
      </c>
      <c r="F1496" s="10" t="s">
        <v>9</v>
      </c>
      <c r="G1496" t="s">
        <v>1137</v>
      </c>
      <c r="H1496" t="s">
        <v>64</v>
      </c>
      <c r="I1496" t="s">
        <v>1142</v>
      </c>
      <c r="K1496" s="2"/>
      <c r="M1496" s="2"/>
    </row>
    <row r="1497" spans="1:13">
      <c r="A1497" t="s">
        <v>28</v>
      </c>
      <c r="B1497">
        <f ca="1">IF(OR(changes[[#This Row],[Type]]="Checklist",changes[[#This Row],[Type]]="checklist-flat"),1+IF(changes[[#This Row],[Type of change]] = "Edit",COUNTIFS($I$4:changes[[#This Row],[Name]],changes[[#This Row],[Name]], $E$4:changes[[#This Row],[Type of change]], "Edit")),B1496)</f>
        <v>2</v>
      </c>
      <c r="C1497" s="16">
        <v>44684</v>
      </c>
      <c r="D1497" s="1" t="s">
        <v>2452</v>
      </c>
      <c r="E1497" t="s">
        <v>15</v>
      </c>
      <c r="F1497" s="10" t="s">
        <v>9</v>
      </c>
      <c r="G1497" t="s">
        <v>2773</v>
      </c>
      <c r="H1497" t="s">
        <v>54</v>
      </c>
      <c r="I1497" t="s">
        <v>2773</v>
      </c>
      <c r="K1497" s="2"/>
      <c r="M1497" s="2" t="s">
        <v>2774</v>
      </c>
    </row>
    <row r="1498" spans="1:13" ht="14.25">
      <c r="A1498" t="s">
        <v>28</v>
      </c>
      <c r="B1498">
        <f ca="1">IF(OR(changes[[#This Row],[Type]]="Checklist",changes[[#This Row],[Type]]="checklist-flat"),1+IF(changes[[#This Row],[Type of change]] = "Edit",COUNTIFS($I$4:changes[[#This Row],[Name]],changes[[#This Row],[Name]], $E$4:changes[[#This Row],[Type of change]], "Edit")),B1497)</f>
        <v>2</v>
      </c>
      <c r="C1498" s="16">
        <v>44684</v>
      </c>
      <c r="D1498" s="1" t="s">
        <v>2452</v>
      </c>
      <c r="E1498" t="s">
        <v>15</v>
      </c>
      <c r="F1498" s="10" t="s">
        <v>9</v>
      </c>
      <c r="G1498" t="s">
        <v>2773</v>
      </c>
      <c r="H1498" t="s">
        <v>55</v>
      </c>
      <c r="I1498" s="8" t="s">
        <v>1152</v>
      </c>
      <c r="K1498" s="2"/>
      <c r="M1498" s="2"/>
    </row>
    <row r="1499" spans="1:13" ht="14.25">
      <c r="A1499" t="s">
        <v>28</v>
      </c>
      <c r="B1499">
        <f ca="1">IF(OR(changes[[#This Row],[Type]]="Checklist",changes[[#This Row],[Type]]="checklist-flat"),1+IF(changes[[#This Row],[Type of change]] = "Edit",COUNTIFS($I$4:changes[[#This Row],[Name]],changes[[#This Row],[Name]], $E$4:changes[[#This Row],[Type of change]], "Edit")),B1498)</f>
        <v>2</v>
      </c>
      <c r="C1499" s="16">
        <v>44684</v>
      </c>
      <c r="D1499" s="1" t="s">
        <v>2452</v>
      </c>
      <c r="E1499" t="s">
        <v>15</v>
      </c>
      <c r="F1499" s="10" t="s">
        <v>9</v>
      </c>
      <c r="G1499" t="s">
        <v>2773</v>
      </c>
      <c r="H1499" t="s">
        <v>55</v>
      </c>
      <c r="I1499" s="41" t="s">
        <v>1153</v>
      </c>
      <c r="K1499" s="2"/>
      <c r="M1499" s="2"/>
    </row>
    <row r="1500" spans="1:13" ht="14.25">
      <c r="A1500" t="s">
        <v>28</v>
      </c>
      <c r="B1500">
        <f ca="1">IF(OR(changes[[#This Row],[Type]]="Checklist",changes[[#This Row],[Type]]="checklist-flat"),1+IF(changes[[#This Row],[Type of change]] = "Edit",COUNTIFS($I$4:changes[[#This Row],[Name]],changes[[#This Row],[Name]], $E$4:changes[[#This Row],[Type of change]], "Edit")),B1499)</f>
        <v>2</v>
      </c>
      <c r="C1500" s="16">
        <v>44684</v>
      </c>
      <c r="D1500" s="1" t="s">
        <v>2452</v>
      </c>
      <c r="E1500" t="s">
        <v>15</v>
      </c>
      <c r="F1500" s="10" t="s">
        <v>9</v>
      </c>
      <c r="G1500" t="s">
        <v>2773</v>
      </c>
      <c r="H1500" t="s">
        <v>55</v>
      </c>
      <c r="I1500" s="41" t="s">
        <v>1154</v>
      </c>
      <c r="K1500" s="2"/>
      <c r="M1500" s="2"/>
    </row>
    <row r="1501" spans="1:13" ht="14.25">
      <c r="A1501" t="s">
        <v>28</v>
      </c>
      <c r="B1501">
        <f ca="1">IF(OR(changes[[#This Row],[Type]]="Checklist",changes[[#This Row],[Type]]="checklist-flat"),1+IF(changes[[#This Row],[Type of change]] = "Edit",COUNTIFS($I$4:changes[[#This Row],[Name]],changes[[#This Row],[Name]], $E$4:changes[[#This Row],[Type of change]], "Edit")),B1500)</f>
        <v>2</v>
      </c>
      <c r="C1501" s="16">
        <v>44684</v>
      </c>
      <c r="D1501" s="1" t="s">
        <v>2452</v>
      </c>
      <c r="E1501" t="s">
        <v>15</v>
      </c>
      <c r="F1501" s="10" t="s">
        <v>9</v>
      </c>
      <c r="G1501" t="s">
        <v>2773</v>
      </c>
      <c r="H1501" t="s">
        <v>55</v>
      </c>
      <c r="I1501" s="41" t="s">
        <v>1155</v>
      </c>
      <c r="K1501" s="2"/>
      <c r="M1501" s="2"/>
    </row>
    <row r="1502" spans="1:13">
      <c r="A1502" t="s">
        <v>28</v>
      </c>
      <c r="B1502">
        <f ca="1">IF(OR(changes[[#This Row],[Type]]="Checklist",changes[[#This Row],[Type]]="checklist-flat"),1+IF(changes[[#This Row],[Type of change]] = "Edit",COUNTIFS($I$4:changes[[#This Row],[Name]],changes[[#This Row],[Name]], $E$4:changes[[#This Row],[Type of change]], "Edit")),B1501)</f>
        <v>2</v>
      </c>
      <c r="C1502" s="16">
        <v>44684</v>
      </c>
      <c r="D1502" s="1" t="s">
        <v>2452</v>
      </c>
      <c r="E1502" t="s">
        <v>15</v>
      </c>
      <c r="F1502" s="10" t="s">
        <v>9</v>
      </c>
      <c r="G1502" t="s">
        <v>2773</v>
      </c>
      <c r="H1502" t="s">
        <v>55</v>
      </c>
      <c r="I1502" t="s">
        <v>1156</v>
      </c>
      <c r="K1502" s="2"/>
      <c r="M1502" s="2"/>
    </row>
    <row r="1503" spans="1:13">
      <c r="A1503" t="s">
        <v>28</v>
      </c>
      <c r="B1503">
        <f ca="1">IF(OR(changes[[#This Row],[Type]]="Checklist",changes[[#This Row],[Type]]="checklist-flat"),1+IF(changes[[#This Row],[Type of change]] = "Edit",COUNTIFS($I$4:changes[[#This Row],[Name]],changes[[#This Row],[Name]], $E$4:changes[[#This Row],[Type of change]], "Edit")),B1502)</f>
        <v>1</v>
      </c>
      <c r="C1503" s="16">
        <v>44684</v>
      </c>
      <c r="D1503" s="1" t="s">
        <v>2753</v>
      </c>
      <c r="E1503" t="s">
        <v>27</v>
      </c>
      <c r="F1503" s="10" t="s">
        <v>9</v>
      </c>
      <c r="G1503" s="10" t="s">
        <v>1483</v>
      </c>
      <c r="H1503" t="s">
        <v>478</v>
      </c>
      <c r="I1503" t="s">
        <v>1483</v>
      </c>
      <c r="K1503" s="2"/>
      <c r="M1503" s="2"/>
    </row>
    <row r="1504" spans="1:13">
      <c r="A1504" t="s">
        <v>28</v>
      </c>
      <c r="B1504">
        <f ca="1">IF(OR(changes[[#This Row],[Type]]="Checklist",changes[[#This Row],[Type]]="checklist-flat"),1+IF(changes[[#This Row],[Type of change]] = "Edit",COUNTIFS($I$4:changes[[#This Row],[Name]],changes[[#This Row],[Name]], $E$4:changes[[#This Row],[Type of change]], "Edit")),B1503)</f>
        <v>1</v>
      </c>
      <c r="C1504" s="16">
        <v>44684</v>
      </c>
      <c r="D1504" s="1" t="s">
        <v>2753</v>
      </c>
      <c r="E1504" t="s">
        <v>27</v>
      </c>
      <c r="F1504" s="10" t="s">
        <v>9</v>
      </c>
      <c r="G1504" s="10" t="s">
        <v>1483</v>
      </c>
      <c r="H1504" t="s">
        <v>55</v>
      </c>
      <c r="I1504" t="s">
        <v>2775</v>
      </c>
      <c r="K1504" s="2"/>
      <c r="M1504" s="2"/>
    </row>
    <row r="1505" spans="1:13">
      <c r="A1505" t="s">
        <v>28</v>
      </c>
      <c r="B1505">
        <f ca="1">IF(OR(changes[[#This Row],[Type]]="Checklist",changes[[#This Row],[Type]]="checklist-flat"),1+IF(changes[[#This Row],[Type of change]] = "Edit",COUNTIFS($I$4:changes[[#This Row],[Name]],changes[[#This Row],[Name]], $E$4:changes[[#This Row],[Type of change]], "Edit")),B1504)</f>
        <v>1</v>
      </c>
      <c r="C1505" s="16">
        <v>44684</v>
      </c>
      <c r="D1505" s="1" t="s">
        <v>2753</v>
      </c>
      <c r="E1505" t="s">
        <v>27</v>
      </c>
      <c r="F1505" s="10" t="s">
        <v>9</v>
      </c>
      <c r="G1505" s="10" t="s">
        <v>1483</v>
      </c>
      <c r="H1505" t="s">
        <v>55</v>
      </c>
      <c r="I1505" t="s">
        <v>1485</v>
      </c>
      <c r="K1505" s="2"/>
      <c r="M1505" s="2"/>
    </row>
    <row r="1506" spans="1:13">
      <c r="A1506" t="s">
        <v>28</v>
      </c>
      <c r="B1506">
        <f ca="1">IF(OR(changes[[#This Row],[Type]]="Checklist",changes[[#This Row],[Type]]="checklist-flat"),1+IF(changes[[#This Row],[Type of change]] = "Edit",COUNTIFS($I$4:changes[[#This Row],[Name]],changes[[#This Row],[Name]], $E$4:changes[[#This Row],[Type of change]], "Edit")),B1505)</f>
        <v>1</v>
      </c>
      <c r="C1506" s="16">
        <v>44684</v>
      </c>
      <c r="D1506" s="1" t="s">
        <v>2753</v>
      </c>
      <c r="E1506" t="s">
        <v>27</v>
      </c>
      <c r="F1506" s="10" t="s">
        <v>9</v>
      </c>
      <c r="G1506" s="10" t="s">
        <v>1483</v>
      </c>
      <c r="H1506" t="s">
        <v>55</v>
      </c>
      <c r="I1506" t="s">
        <v>1486</v>
      </c>
      <c r="K1506" s="2"/>
      <c r="M1506" s="2"/>
    </row>
    <row r="1507" spans="1:13">
      <c r="A1507" t="s">
        <v>28</v>
      </c>
      <c r="B1507">
        <f ca="1">IF(OR(changes[[#This Row],[Type]]="Checklist",changes[[#This Row],[Type]]="checklist-flat"),1+IF(changes[[#This Row],[Type of change]] = "Edit",COUNTIFS($I$4:changes[[#This Row],[Name]],changes[[#This Row],[Name]], $E$4:changes[[#This Row],[Type of change]], "Edit")),B1506)</f>
        <v>1</v>
      </c>
      <c r="C1507" s="16">
        <v>44684</v>
      </c>
      <c r="D1507" s="1" t="s">
        <v>2753</v>
      </c>
      <c r="E1507" t="s">
        <v>27</v>
      </c>
      <c r="F1507" s="10" t="s">
        <v>9</v>
      </c>
      <c r="G1507" s="10" t="s">
        <v>1483</v>
      </c>
      <c r="H1507" t="s">
        <v>55</v>
      </c>
      <c r="I1507" t="s">
        <v>1487</v>
      </c>
      <c r="K1507" s="2"/>
      <c r="M1507" s="2"/>
    </row>
    <row r="1508" spans="1:13">
      <c r="A1508" t="s">
        <v>28</v>
      </c>
      <c r="B1508">
        <f ca="1">IF(OR(changes[[#This Row],[Type]]="Checklist",changes[[#This Row],[Type]]="checklist-flat"),1+IF(changes[[#This Row],[Type of change]] = "Edit",COUNTIFS($I$4:changes[[#This Row],[Name]],changes[[#This Row],[Name]], $E$4:changes[[#This Row],[Type of change]], "Edit")),B1507)</f>
        <v>1</v>
      </c>
      <c r="C1508" s="16">
        <v>44684</v>
      </c>
      <c r="D1508" s="1" t="s">
        <v>2753</v>
      </c>
      <c r="E1508" t="s">
        <v>27</v>
      </c>
      <c r="F1508" s="10" t="s">
        <v>9</v>
      </c>
      <c r="G1508" s="10" t="s">
        <v>1483</v>
      </c>
      <c r="H1508" t="s">
        <v>55</v>
      </c>
      <c r="I1508" t="s">
        <v>1488</v>
      </c>
      <c r="K1508" s="2"/>
      <c r="M1508" s="2"/>
    </row>
    <row r="1509" spans="1:13">
      <c r="A1509" t="s">
        <v>28</v>
      </c>
      <c r="B1509">
        <f ca="1">IF(OR(changes[[#This Row],[Type]]="Checklist",changes[[#This Row],[Type]]="checklist-flat"),1+IF(changes[[#This Row],[Type of change]] = "Edit",COUNTIFS($I$4:changes[[#This Row],[Name]],changes[[#This Row],[Name]], $E$4:changes[[#This Row],[Type of change]], "Edit")),B1508)</f>
        <v>1</v>
      </c>
      <c r="C1509" s="16">
        <v>44684</v>
      </c>
      <c r="D1509" s="1" t="s">
        <v>2753</v>
      </c>
      <c r="E1509" t="s">
        <v>27</v>
      </c>
      <c r="F1509" s="10" t="s">
        <v>9</v>
      </c>
      <c r="G1509" s="10" t="s">
        <v>1483</v>
      </c>
      <c r="H1509" t="s">
        <v>55</v>
      </c>
      <c r="I1509" t="s">
        <v>1489</v>
      </c>
      <c r="K1509" s="2"/>
      <c r="M1509" s="2"/>
    </row>
    <row r="1510" spans="1:13">
      <c r="A1510" t="s">
        <v>28</v>
      </c>
      <c r="B1510">
        <f ca="1">IF(OR(changes[[#This Row],[Type]]="Checklist",changes[[#This Row],[Type]]="checklist-flat"),1+IF(changes[[#This Row],[Type of change]] = "Edit",COUNTIFS($I$4:changes[[#This Row],[Name]],changes[[#This Row],[Name]], $E$4:changes[[#This Row],[Type of change]], "Edit")),B1509)</f>
        <v>1</v>
      </c>
      <c r="C1510" s="16">
        <v>44684</v>
      </c>
      <c r="D1510" s="1" t="s">
        <v>2753</v>
      </c>
      <c r="E1510" t="s">
        <v>27</v>
      </c>
      <c r="F1510" s="10" t="s">
        <v>9</v>
      </c>
      <c r="G1510" s="10" t="s">
        <v>1483</v>
      </c>
      <c r="H1510" t="s">
        <v>55</v>
      </c>
      <c r="I1510" t="s">
        <v>1490</v>
      </c>
      <c r="K1510" s="2"/>
      <c r="M1510" s="2"/>
    </row>
    <row r="1511" spans="1:13">
      <c r="A1511" t="s">
        <v>28</v>
      </c>
      <c r="B1511">
        <f ca="1">IF(OR(changes[[#This Row],[Type]]="Checklist",changes[[#This Row],[Type]]="checklist-flat"),1+IF(changes[[#This Row],[Type of change]] = "Edit",COUNTIFS($I$4:changes[[#This Row],[Name]],changes[[#This Row],[Name]], $E$4:changes[[#This Row],[Type of change]], "Edit")),B1510)</f>
        <v>1</v>
      </c>
      <c r="C1511" s="16">
        <v>44684</v>
      </c>
      <c r="D1511" s="1" t="s">
        <v>2753</v>
      </c>
      <c r="E1511" t="s">
        <v>27</v>
      </c>
      <c r="F1511" s="10" t="s">
        <v>9</v>
      </c>
      <c r="G1511" s="10" t="s">
        <v>1483</v>
      </c>
      <c r="H1511" t="s">
        <v>55</v>
      </c>
      <c r="I1511" t="s">
        <v>1491</v>
      </c>
      <c r="K1511" s="2"/>
      <c r="M1511" s="2"/>
    </row>
    <row r="1512" spans="1:13">
      <c r="A1512" t="s">
        <v>28</v>
      </c>
      <c r="B1512">
        <f ca="1">IF(OR(changes[[#This Row],[Type]]="Checklist",changes[[#This Row],[Type]]="checklist-flat"),1+IF(changes[[#This Row],[Type of change]] = "Edit",COUNTIFS($I$4:changes[[#This Row],[Name]],changes[[#This Row],[Name]], $E$4:changes[[#This Row],[Type of change]], "Edit")),B1511)</f>
        <v>1</v>
      </c>
      <c r="C1512" s="16">
        <v>44684</v>
      </c>
      <c r="D1512" s="1" t="s">
        <v>2753</v>
      </c>
      <c r="E1512" t="s">
        <v>27</v>
      </c>
      <c r="F1512" s="10" t="s">
        <v>9</v>
      </c>
      <c r="G1512" s="10" t="s">
        <v>1483</v>
      </c>
      <c r="H1512" t="s">
        <v>55</v>
      </c>
      <c r="I1512" t="s">
        <v>1492</v>
      </c>
      <c r="K1512" s="2"/>
      <c r="M1512" s="2"/>
    </row>
    <row r="1513" spans="1:13">
      <c r="A1513" t="s">
        <v>28</v>
      </c>
      <c r="B1513">
        <f ca="1">IF(OR(changes[[#This Row],[Type]]="Checklist",changes[[#This Row],[Type]]="checklist-flat"),1+IF(changes[[#This Row],[Type of change]] = "Edit",COUNTIFS($I$4:changes[[#This Row],[Name]],changes[[#This Row],[Name]], $E$4:changes[[#This Row],[Type of change]], "Edit")),B1512)</f>
        <v>1</v>
      </c>
      <c r="C1513" s="16">
        <v>44684</v>
      </c>
      <c r="D1513" s="1" t="s">
        <v>2776</v>
      </c>
      <c r="E1513" t="s">
        <v>27</v>
      </c>
      <c r="F1513" s="10" t="s">
        <v>52</v>
      </c>
      <c r="G1513" t="s">
        <v>2777</v>
      </c>
      <c r="H1513" t="s">
        <v>478</v>
      </c>
      <c r="I1513" t="s">
        <v>2777</v>
      </c>
      <c r="K1513" s="2"/>
      <c r="M1513" s="2" t="s">
        <v>2778</v>
      </c>
    </row>
    <row r="1514" spans="1:13">
      <c r="A1514" t="s">
        <v>28</v>
      </c>
      <c r="B1514">
        <f ca="1">IF(OR(changes[[#This Row],[Type]]="Checklist",changes[[#This Row],[Type]]="checklist-flat"),1+IF(changes[[#This Row],[Type of change]] = "Edit",COUNTIFS($I$4:changes[[#This Row],[Name]],changes[[#This Row],[Name]], $E$4:changes[[#This Row],[Type of change]], "Edit")),B1513)</f>
        <v>1</v>
      </c>
      <c r="C1514" s="16">
        <v>44684</v>
      </c>
      <c r="D1514" s="1" t="s">
        <v>2776</v>
      </c>
      <c r="E1514" t="s">
        <v>27</v>
      </c>
      <c r="F1514" s="10" t="s">
        <v>52</v>
      </c>
      <c r="G1514" t="s">
        <v>2777</v>
      </c>
      <c r="H1514" t="s">
        <v>479</v>
      </c>
      <c r="I1514" t="s">
        <v>1716</v>
      </c>
      <c r="K1514" s="2"/>
      <c r="M1514" s="2"/>
    </row>
    <row r="1515" spans="1:13">
      <c r="A1515" t="s">
        <v>28</v>
      </c>
      <c r="B1515">
        <f ca="1">IF(OR(changes[[#This Row],[Type]]="Checklist",changes[[#This Row],[Type]]="checklist-flat"),1+IF(changes[[#This Row],[Type of change]] = "Edit",COUNTIFS($I$4:changes[[#This Row],[Name]],changes[[#This Row],[Name]], $E$4:changes[[#This Row],[Type of change]], "Edit")),B1514)</f>
        <v>1</v>
      </c>
      <c r="C1515" s="16">
        <v>44684</v>
      </c>
      <c r="D1515" s="1" t="s">
        <v>2776</v>
      </c>
      <c r="E1515" t="s">
        <v>27</v>
      </c>
      <c r="F1515" s="10" t="s">
        <v>52</v>
      </c>
      <c r="G1515" t="s">
        <v>2777</v>
      </c>
      <c r="H1515" t="s">
        <v>55</v>
      </c>
      <c r="I1515" t="s">
        <v>1717</v>
      </c>
      <c r="K1515" s="2"/>
      <c r="M1515" s="2"/>
    </row>
    <row r="1516" spans="1:13">
      <c r="A1516" t="s">
        <v>28</v>
      </c>
      <c r="B1516">
        <f ca="1">IF(OR(changes[[#This Row],[Type]]="Checklist",changes[[#This Row],[Type]]="checklist-flat"),1+IF(changes[[#This Row],[Type of change]] = "Edit",COUNTIFS($I$4:changes[[#This Row],[Name]],changes[[#This Row],[Name]], $E$4:changes[[#This Row],[Type of change]], "Edit")),B1515)</f>
        <v>1</v>
      </c>
      <c r="C1516" s="16">
        <v>44684</v>
      </c>
      <c r="D1516" s="1" t="s">
        <v>2776</v>
      </c>
      <c r="E1516" t="s">
        <v>27</v>
      </c>
      <c r="F1516" s="10" t="s">
        <v>52</v>
      </c>
      <c r="G1516" t="s">
        <v>2777</v>
      </c>
      <c r="H1516" t="s">
        <v>214</v>
      </c>
      <c r="I1516" t="s">
        <v>1613</v>
      </c>
      <c r="K1516" s="2"/>
      <c r="M1516" s="2"/>
    </row>
    <row r="1517" spans="1:13">
      <c r="A1517" t="s">
        <v>28</v>
      </c>
      <c r="B1517">
        <f ca="1">IF(OR(changes[[#This Row],[Type]]="Checklist",changes[[#This Row],[Type]]="checklist-flat"),1+IF(changes[[#This Row],[Type of change]] = "Edit",COUNTIFS($I$4:changes[[#This Row],[Name]],changes[[#This Row],[Name]], $E$4:changes[[#This Row],[Type of change]], "Edit")),B1516)</f>
        <v>1</v>
      </c>
      <c r="C1517" s="16">
        <v>44684</v>
      </c>
      <c r="D1517" s="1" t="s">
        <v>2776</v>
      </c>
      <c r="E1517" t="s">
        <v>27</v>
      </c>
      <c r="F1517" s="10" t="s">
        <v>52</v>
      </c>
      <c r="G1517" t="s">
        <v>2777</v>
      </c>
      <c r="H1517" t="s">
        <v>214</v>
      </c>
      <c r="I1517" t="s">
        <v>1614</v>
      </c>
      <c r="K1517" s="2"/>
      <c r="M1517" s="2"/>
    </row>
    <row r="1518" spans="1:13">
      <c r="A1518" t="s">
        <v>28</v>
      </c>
      <c r="B1518">
        <f ca="1">IF(OR(changes[[#This Row],[Type]]="Checklist",changes[[#This Row],[Type]]="checklist-flat"),1+IF(changes[[#This Row],[Type of change]] = "Edit",COUNTIFS($I$4:changes[[#This Row],[Name]],changes[[#This Row],[Name]], $E$4:changes[[#This Row],[Type of change]], "Edit")),B1517)</f>
        <v>1</v>
      </c>
      <c r="C1518" s="16">
        <v>44684</v>
      </c>
      <c r="D1518" s="1" t="s">
        <v>2776</v>
      </c>
      <c r="E1518" t="s">
        <v>27</v>
      </c>
      <c r="F1518" s="10" t="s">
        <v>52</v>
      </c>
      <c r="G1518" t="s">
        <v>2777</v>
      </c>
      <c r="H1518" t="s">
        <v>55</v>
      </c>
      <c r="I1518" t="s">
        <v>1718</v>
      </c>
      <c r="K1518" s="2"/>
      <c r="M1518" s="2"/>
    </row>
    <row r="1519" spans="1:13">
      <c r="A1519" t="s">
        <v>28</v>
      </c>
      <c r="B1519">
        <f ca="1">IF(OR(changes[[#This Row],[Type]]="Checklist",changes[[#This Row],[Type]]="checklist-flat"),1+IF(changes[[#This Row],[Type of change]] = "Edit",COUNTIFS($I$4:changes[[#This Row],[Name]],changes[[#This Row],[Name]], $E$4:changes[[#This Row],[Type of change]], "Edit")),B1518)</f>
        <v>1</v>
      </c>
      <c r="C1519" s="16">
        <v>44684</v>
      </c>
      <c r="D1519" s="1" t="s">
        <v>2776</v>
      </c>
      <c r="E1519" t="s">
        <v>27</v>
      </c>
      <c r="F1519" s="10" t="s">
        <v>52</v>
      </c>
      <c r="G1519" t="s">
        <v>2777</v>
      </c>
      <c r="H1519" t="s">
        <v>479</v>
      </c>
      <c r="I1519" t="s">
        <v>1719</v>
      </c>
      <c r="K1519" s="2"/>
      <c r="M1519" s="2"/>
    </row>
    <row r="1520" spans="1:13">
      <c r="A1520" t="s">
        <v>28</v>
      </c>
      <c r="B1520">
        <f ca="1">IF(OR(changes[[#This Row],[Type]]="Checklist",changes[[#This Row],[Type]]="checklist-flat"),1+IF(changes[[#This Row],[Type of change]] = "Edit",COUNTIFS($I$4:changes[[#This Row],[Name]],changes[[#This Row],[Name]], $E$4:changes[[#This Row],[Type of change]], "Edit")),B1519)</f>
        <v>1</v>
      </c>
      <c r="C1520" s="16">
        <v>44684</v>
      </c>
      <c r="D1520" s="1" t="s">
        <v>2776</v>
      </c>
      <c r="E1520" t="s">
        <v>27</v>
      </c>
      <c r="F1520" s="10" t="s">
        <v>52</v>
      </c>
      <c r="G1520" t="s">
        <v>2777</v>
      </c>
      <c r="H1520" t="s">
        <v>55</v>
      </c>
      <c r="I1520" t="s">
        <v>1720</v>
      </c>
      <c r="K1520" s="2"/>
      <c r="M1520" s="2"/>
    </row>
    <row r="1521" spans="1:13">
      <c r="A1521" t="s">
        <v>28</v>
      </c>
      <c r="B1521">
        <f ca="1">IF(OR(changes[[#This Row],[Type]]="Checklist",changes[[#This Row],[Type]]="checklist-flat"),1+IF(changes[[#This Row],[Type of change]] = "Edit",COUNTIFS($I$4:changes[[#This Row],[Name]],changes[[#This Row],[Name]], $E$4:changes[[#This Row],[Type of change]], "Edit")),B1520)</f>
        <v>1</v>
      </c>
      <c r="C1521" s="16">
        <v>44684</v>
      </c>
      <c r="D1521" s="1" t="s">
        <v>2776</v>
      </c>
      <c r="E1521" t="s">
        <v>27</v>
      </c>
      <c r="F1521" s="10" t="s">
        <v>52</v>
      </c>
      <c r="G1521" t="s">
        <v>2777</v>
      </c>
      <c r="H1521" t="s">
        <v>55</v>
      </c>
      <c r="I1521" t="s">
        <v>474</v>
      </c>
      <c r="K1521" s="2"/>
      <c r="M1521" s="2"/>
    </row>
    <row r="1522" spans="1:13">
      <c r="A1522" t="s">
        <v>28</v>
      </c>
      <c r="B1522">
        <f ca="1">IF(OR(changes[[#This Row],[Type]]="Checklist",changes[[#This Row],[Type]]="checklist-flat"),1+IF(changes[[#This Row],[Type of change]] = "Edit",COUNTIFS($I$4:changes[[#This Row],[Name]],changes[[#This Row],[Name]], $E$4:changes[[#This Row],[Type of change]], "Edit")),B1521)</f>
        <v>1</v>
      </c>
      <c r="C1522" s="16">
        <v>44684</v>
      </c>
      <c r="D1522" s="1" t="s">
        <v>2776</v>
      </c>
      <c r="E1522" t="s">
        <v>27</v>
      </c>
      <c r="F1522" s="10" t="s">
        <v>52</v>
      </c>
      <c r="G1522" t="s">
        <v>2777</v>
      </c>
      <c r="H1522" t="s">
        <v>55</v>
      </c>
      <c r="I1522" t="s">
        <v>2399</v>
      </c>
      <c r="K1522" s="2"/>
      <c r="M1522" s="2"/>
    </row>
    <row r="1523" spans="1:13">
      <c r="A1523" t="s">
        <v>28</v>
      </c>
      <c r="B1523">
        <f ca="1">IF(OR(changes[[#This Row],[Type]]="Checklist",changes[[#This Row],[Type]]="checklist-flat"),1+IF(changes[[#This Row],[Type of change]] = "Edit",COUNTIFS($I$4:changes[[#This Row],[Name]],changes[[#This Row],[Name]], $E$4:changes[[#This Row],[Type of change]], "Edit")),B1522)</f>
        <v>1</v>
      </c>
      <c r="C1523" s="16">
        <v>44684</v>
      </c>
      <c r="D1523" s="1" t="s">
        <v>2776</v>
      </c>
      <c r="E1523" t="s">
        <v>27</v>
      </c>
      <c r="F1523" s="10" t="s">
        <v>52</v>
      </c>
      <c r="G1523" t="s">
        <v>2777</v>
      </c>
      <c r="H1523" t="s">
        <v>55</v>
      </c>
      <c r="I1523" t="s">
        <v>476</v>
      </c>
      <c r="K1523" s="2"/>
      <c r="M1523" s="2"/>
    </row>
    <row r="1524" spans="1:13">
      <c r="A1524" t="s">
        <v>28</v>
      </c>
      <c r="B1524">
        <f ca="1">IF(OR(changes[[#This Row],[Type]]="Checklist",changes[[#This Row],[Type]]="checklist-flat"),1+IF(changes[[#This Row],[Type of change]] = "Edit",COUNTIFS($I$4:changes[[#This Row],[Name]],changes[[#This Row],[Name]], $E$4:changes[[#This Row],[Type of change]], "Edit")),B1523)</f>
        <v>1</v>
      </c>
      <c r="C1524" s="16">
        <v>44684</v>
      </c>
      <c r="D1524" s="1" t="s">
        <v>2776</v>
      </c>
      <c r="E1524" t="s">
        <v>27</v>
      </c>
      <c r="F1524" s="10" t="s">
        <v>52</v>
      </c>
      <c r="G1524" t="s">
        <v>2777</v>
      </c>
      <c r="H1524" t="s">
        <v>479</v>
      </c>
      <c r="I1524" t="s">
        <v>1721</v>
      </c>
      <c r="K1524" s="2"/>
      <c r="M1524" s="2"/>
    </row>
    <row r="1525" spans="1:13">
      <c r="A1525" t="s">
        <v>28</v>
      </c>
      <c r="B1525">
        <f ca="1">IF(OR(changes[[#This Row],[Type]]="Checklist",changes[[#This Row],[Type]]="checklist-flat"),1+IF(changes[[#This Row],[Type of change]] = "Edit",COUNTIFS($I$4:changes[[#This Row],[Name]],changes[[#This Row],[Name]], $E$4:changes[[#This Row],[Type of change]], "Edit")),B1524)</f>
        <v>1</v>
      </c>
      <c r="C1525" s="16">
        <v>44684</v>
      </c>
      <c r="D1525" s="1" t="s">
        <v>2776</v>
      </c>
      <c r="E1525" t="s">
        <v>27</v>
      </c>
      <c r="F1525" s="10" t="s">
        <v>52</v>
      </c>
      <c r="G1525" t="s">
        <v>2777</v>
      </c>
      <c r="H1525" t="s">
        <v>55</v>
      </c>
      <c r="I1525" t="s">
        <v>1722</v>
      </c>
      <c r="K1525" s="2"/>
      <c r="M1525" s="2"/>
    </row>
    <row r="1526" spans="1:13">
      <c r="A1526" t="s">
        <v>28</v>
      </c>
      <c r="B1526">
        <f ca="1">IF(OR(changes[[#This Row],[Type]]="Checklist",changes[[#This Row],[Type]]="checklist-flat"),1+IF(changes[[#This Row],[Type of change]] = "Edit",COUNTIFS($I$4:changes[[#This Row],[Name]],changes[[#This Row],[Name]], $E$4:changes[[#This Row],[Type of change]], "Edit")),B1525)</f>
        <v>1</v>
      </c>
      <c r="C1526" s="16">
        <v>44684</v>
      </c>
      <c r="D1526" s="1" t="s">
        <v>2776</v>
      </c>
      <c r="E1526" t="s">
        <v>27</v>
      </c>
      <c r="F1526" s="10" t="s">
        <v>52</v>
      </c>
      <c r="G1526" t="s">
        <v>2777</v>
      </c>
      <c r="H1526" t="s">
        <v>55</v>
      </c>
      <c r="I1526" t="s">
        <v>1723</v>
      </c>
      <c r="K1526" s="2"/>
      <c r="M1526" s="2"/>
    </row>
    <row r="1527" spans="1:13">
      <c r="A1527" t="s">
        <v>28</v>
      </c>
      <c r="B1527">
        <f ca="1">IF(OR(changes[[#This Row],[Type]]="Checklist",changes[[#This Row],[Type]]="checklist-flat"),1+IF(changes[[#This Row],[Type of change]] = "Edit",COUNTIFS($I$4:changes[[#This Row],[Name]],changes[[#This Row],[Name]], $E$4:changes[[#This Row],[Type of change]], "Edit")),B1526)</f>
        <v>1</v>
      </c>
      <c r="C1527" s="16">
        <v>44684</v>
      </c>
      <c r="D1527" s="1" t="s">
        <v>2776</v>
      </c>
      <c r="E1527" t="s">
        <v>27</v>
      </c>
      <c r="F1527" s="10" t="s">
        <v>52</v>
      </c>
      <c r="G1527" t="s">
        <v>2777</v>
      </c>
      <c r="H1527" t="s">
        <v>55</v>
      </c>
      <c r="I1527" t="s">
        <v>1724</v>
      </c>
      <c r="K1527" s="2"/>
      <c r="M1527" s="2"/>
    </row>
    <row r="1528" spans="1:13">
      <c r="A1528" t="s">
        <v>28</v>
      </c>
      <c r="B1528">
        <f ca="1">IF(OR(changes[[#This Row],[Type]]="Checklist",changes[[#This Row],[Type]]="checklist-flat"),1+IF(changes[[#This Row],[Type of change]] = "Edit",COUNTIFS($I$4:changes[[#This Row],[Name]],changes[[#This Row],[Name]], $E$4:changes[[#This Row],[Type of change]], "Edit")),B1527)</f>
        <v>1</v>
      </c>
      <c r="C1528" s="16">
        <v>44684</v>
      </c>
      <c r="D1528" s="1" t="s">
        <v>2776</v>
      </c>
      <c r="E1528" t="s">
        <v>27</v>
      </c>
      <c r="F1528" s="10" t="s">
        <v>52</v>
      </c>
      <c r="G1528" t="s">
        <v>2777</v>
      </c>
      <c r="H1528" t="s">
        <v>55</v>
      </c>
      <c r="I1528" t="s">
        <v>1725</v>
      </c>
      <c r="K1528" s="2"/>
      <c r="M1528" s="2"/>
    </row>
    <row r="1529" spans="1:13">
      <c r="A1529" t="s">
        <v>28</v>
      </c>
      <c r="B1529">
        <f ca="1">IF(OR(changes[[#This Row],[Type]]="Checklist",changes[[#This Row],[Type]]="checklist-flat"),1+IF(changes[[#This Row],[Type of change]] = "Edit",COUNTIFS($I$4:changes[[#This Row],[Name]],changes[[#This Row],[Name]], $E$4:changes[[#This Row],[Type of change]], "Edit")),B1528)</f>
        <v>1</v>
      </c>
      <c r="C1529" s="16">
        <v>44684</v>
      </c>
      <c r="D1529" s="1" t="s">
        <v>2776</v>
      </c>
      <c r="E1529" t="s">
        <v>27</v>
      </c>
      <c r="F1529" s="10" t="s">
        <v>52</v>
      </c>
      <c r="G1529" t="s">
        <v>2777</v>
      </c>
      <c r="H1529" t="s">
        <v>55</v>
      </c>
      <c r="I1529" t="s">
        <v>1726</v>
      </c>
      <c r="K1529" s="2"/>
      <c r="M1529" s="2"/>
    </row>
    <row r="1530" spans="1:13">
      <c r="A1530" t="s">
        <v>28</v>
      </c>
      <c r="B1530">
        <f ca="1">IF(OR(changes[[#This Row],[Type]]="Checklist",changes[[#This Row],[Type]]="checklist-flat"),1+IF(changes[[#This Row],[Type of change]] = "Edit",COUNTIFS($I$4:changes[[#This Row],[Name]],changes[[#This Row],[Name]], $E$4:changes[[#This Row],[Type of change]], "Edit")),B1529)</f>
        <v>1</v>
      </c>
      <c r="C1530" s="16">
        <v>44684</v>
      </c>
      <c r="D1530" s="1" t="s">
        <v>2776</v>
      </c>
      <c r="E1530" t="s">
        <v>27</v>
      </c>
      <c r="F1530" s="10" t="s">
        <v>52</v>
      </c>
      <c r="G1530" t="s">
        <v>2777</v>
      </c>
      <c r="H1530" t="s">
        <v>99</v>
      </c>
      <c r="I1530" t="s">
        <v>1727</v>
      </c>
      <c r="K1530" s="2"/>
      <c r="M1530" s="2"/>
    </row>
    <row r="1531" spans="1:13">
      <c r="A1531" t="s">
        <v>28</v>
      </c>
      <c r="B1531">
        <f ca="1">IF(OR(changes[[#This Row],[Type]]="Checklist",changes[[#This Row],[Type]]="checklist-flat"),1+IF(changes[[#This Row],[Type of change]] = "Edit",COUNTIFS($I$4:changes[[#This Row],[Name]],changes[[#This Row],[Name]], $E$4:changes[[#This Row],[Type of change]], "Edit")),B1530)</f>
        <v>1</v>
      </c>
      <c r="C1531" s="16">
        <v>44684</v>
      </c>
      <c r="D1531" s="1" t="s">
        <v>2776</v>
      </c>
      <c r="E1531" t="s">
        <v>27</v>
      </c>
      <c r="F1531" s="10" t="s">
        <v>52</v>
      </c>
      <c r="G1531" t="s">
        <v>2777</v>
      </c>
      <c r="H1531" t="s">
        <v>99</v>
      </c>
      <c r="I1531" t="s">
        <v>1728</v>
      </c>
      <c r="K1531" s="2"/>
      <c r="M1531" s="2"/>
    </row>
    <row r="1532" spans="1:13">
      <c r="A1532" t="s">
        <v>28</v>
      </c>
      <c r="B1532">
        <f ca="1">IF(OR(changes[[#This Row],[Type]]="Checklist",changes[[#This Row],[Type]]="checklist-flat"),1+IF(changes[[#This Row],[Type of change]] = "Edit",COUNTIFS($I$4:changes[[#This Row],[Name]],changes[[#This Row],[Name]], $E$4:changes[[#This Row],[Type of change]], "Edit")),B1531)</f>
        <v>1</v>
      </c>
      <c r="C1532" s="16">
        <v>44684</v>
      </c>
      <c r="D1532" s="1" t="s">
        <v>2776</v>
      </c>
      <c r="E1532" t="s">
        <v>27</v>
      </c>
      <c r="F1532" s="10" t="s">
        <v>52</v>
      </c>
      <c r="G1532" t="s">
        <v>2777</v>
      </c>
      <c r="H1532" t="s">
        <v>55</v>
      </c>
      <c r="I1532" t="s">
        <v>1729</v>
      </c>
      <c r="K1532" s="2"/>
      <c r="M1532" s="2"/>
    </row>
    <row r="1533" spans="1:13">
      <c r="A1533" t="s">
        <v>28</v>
      </c>
      <c r="B1533">
        <f ca="1">IF(OR(changes[[#This Row],[Type]]="Checklist",changes[[#This Row],[Type]]="checklist-flat"),1+IF(changes[[#This Row],[Type of change]] = "Edit",COUNTIFS($I$4:changes[[#This Row],[Name]],changes[[#This Row],[Name]], $E$4:changes[[#This Row],[Type of change]], "Edit")),B1532)</f>
        <v>1</v>
      </c>
      <c r="C1533" s="16">
        <v>44684</v>
      </c>
      <c r="D1533" s="1" t="s">
        <v>2776</v>
      </c>
      <c r="E1533" t="s">
        <v>27</v>
      </c>
      <c r="F1533" s="10" t="s">
        <v>52</v>
      </c>
      <c r="G1533" t="s">
        <v>2777</v>
      </c>
      <c r="H1533" t="s">
        <v>55</v>
      </c>
      <c r="I1533" t="s">
        <v>1730</v>
      </c>
      <c r="K1533" s="2"/>
      <c r="M1533" s="2"/>
    </row>
    <row r="1534" spans="1:13">
      <c r="A1534" t="s">
        <v>28</v>
      </c>
      <c r="B1534">
        <f ca="1">IF(OR(changes[[#This Row],[Type]]="Checklist",changes[[#This Row],[Type]]="checklist-flat"),1+IF(changes[[#This Row],[Type of change]] = "Edit",COUNTIFS($I$4:changes[[#This Row],[Name]],changes[[#This Row],[Name]], $E$4:changes[[#This Row],[Type of change]], "Edit")),B1533)</f>
        <v>1</v>
      </c>
      <c r="C1534" s="16">
        <v>44684</v>
      </c>
      <c r="D1534" s="1" t="s">
        <v>2776</v>
      </c>
      <c r="E1534" t="s">
        <v>27</v>
      </c>
      <c r="F1534" s="10" t="s">
        <v>52</v>
      </c>
      <c r="G1534" t="s">
        <v>2777</v>
      </c>
      <c r="H1534" t="s">
        <v>55</v>
      </c>
      <c r="I1534" t="s">
        <v>1731</v>
      </c>
      <c r="K1534" s="2"/>
      <c r="M1534" s="2"/>
    </row>
    <row r="1535" spans="1:13">
      <c r="A1535" t="s">
        <v>28</v>
      </c>
      <c r="B1535">
        <f ca="1">IF(OR(changes[[#This Row],[Type]]="Checklist",changes[[#This Row],[Type]]="checklist-flat"),1+IF(changes[[#This Row],[Type of change]] = "Edit",COUNTIFS($I$4:changes[[#This Row],[Name]],changes[[#This Row],[Name]], $E$4:changes[[#This Row],[Type of change]], "Edit")),B1534)</f>
        <v>1</v>
      </c>
      <c r="C1535" s="16">
        <v>44684</v>
      </c>
      <c r="D1535" s="1" t="s">
        <v>2776</v>
      </c>
      <c r="E1535" t="s">
        <v>27</v>
      </c>
      <c r="F1535" s="10" t="s">
        <v>52</v>
      </c>
      <c r="G1535" t="s">
        <v>2777</v>
      </c>
      <c r="H1535" t="s">
        <v>55</v>
      </c>
      <c r="I1535" t="s">
        <v>1732</v>
      </c>
      <c r="K1535" s="2"/>
      <c r="M1535" s="2"/>
    </row>
    <row r="1536" spans="1:13">
      <c r="A1536" t="s">
        <v>28</v>
      </c>
      <c r="B1536">
        <f ca="1">IF(OR(changes[[#This Row],[Type]]="Checklist",changes[[#This Row],[Type]]="checklist-flat"),1+IF(changes[[#This Row],[Type of change]] = "Edit",COUNTIFS($I$4:changes[[#This Row],[Name]],changes[[#This Row],[Name]], $E$4:changes[[#This Row],[Type of change]], "Edit")),B1535)</f>
        <v>1</v>
      </c>
      <c r="C1536" s="16">
        <v>44684</v>
      </c>
      <c r="D1536" s="1" t="s">
        <v>2776</v>
      </c>
      <c r="E1536" t="s">
        <v>27</v>
      </c>
      <c r="F1536" s="10" t="s">
        <v>52</v>
      </c>
      <c r="G1536" t="s">
        <v>2777</v>
      </c>
      <c r="H1536" t="s">
        <v>55</v>
      </c>
      <c r="I1536" t="s">
        <v>1583</v>
      </c>
      <c r="K1536" s="2"/>
      <c r="M1536" s="2"/>
    </row>
    <row r="1537" spans="1:13">
      <c r="A1537" t="s">
        <v>28</v>
      </c>
      <c r="B1537">
        <f ca="1">IF(OR(changes[[#This Row],[Type]]="Checklist",changes[[#This Row],[Type]]="checklist-flat"),1+IF(changes[[#This Row],[Type of change]] = "Edit",COUNTIFS($I$4:changes[[#This Row],[Name]],changes[[#This Row],[Name]], $E$4:changes[[#This Row],[Type of change]], "Edit")),B1536)</f>
        <v>1</v>
      </c>
      <c r="C1537" s="16">
        <v>44684</v>
      </c>
      <c r="D1537" s="1" t="s">
        <v>2776</v>
      </c>
      <c r="E1537" t="s">
        <v>27</v>
      </c>
      <c r="F1537" s="10" t="s">
        <v>52</v>
      </c>
      <c r="G1537" t="s">
        <v>2777</v>
      </c>
      <c r="H1537" t="s">
        <v>55</v>
      </c>
      <c r="I1537" t="s">
        <v>1733</v>
      </c>
      <c r="K1537" s="2"/>
      <c r="M1537" s="2"/>
    </row>
    <row r="1538" spans="1:13">
      <c r="A1538" t="s">
        <v>28</v>
      </c>
      <c r="B1538">
        <f ca="1">IF(OR(changes[[#This Row],[Type]]="Checklist",changes[[#This Row],[Type]]="checklist-flat"),1+IF(changes[[#This Row],[Type of change]] = "Edit",COUNTIFS($I$4:changes[[#This Row],[Name]],changes[[#This Row],[Name]], $E$4:changes[[#This Row],[Type of change]], "Edit")),B1537)</f>
        <v>1</v>
      </c>
      <c r="C1538" s="16">
        <v>44684</v>
      </c>
      <c r="D1538" s="1" t="s">
        <v>2776</v>
      </c>
      <c r="E1538" t="s">
        <v>27</v>
      </c>
      <c r="F1538" s="10" t="s">
        <v>52</v>
      </c>
      <c r="G1538" t="s">
        <v>2777</v>
      </c>
      <c r="H1538" t="s">
        <v>479</v>
      </c>
      <c r="I1538" t="s">
        <v>1734</v>
      </c>
      <c r="K1538" s="2"/>
      <c r="M1538" s="2"/>
    </row>
    <row r="1539" spans="1:13">
      <c r="A1539" t="s">
        <v>28</v>
      </c>
      <c r="B1539">
        <f ca="1">IF(OR(changes[[#This Row],[Type]]="Checklist",changes[[#This Row],[Type]]="checklist-flat"),1+IF(changes[[#This Row],[Type of change]] = "Edit",COUNTIFS($I$4:changes[[#This Row],[Name]],changes[[#This Row],[Name]], $E$4:changes[[#This Row],[Type of change]], "Edit")),B1538)</f>
        <v>1</v>
      </c>
      <c r="C1539" s="16">
        <v>44684</v>
      </c>
      <c r="D1539" s="1" t="s">
        <v>2776</v>
      </c>
      <c r="E1539" t="s">
        <v>27</v>
      </c>
      <c r="F1539" s="10" t="s">
        <v>52</v>
      </c>
      <c r="G1539" t="s">
        <v>2777</v>
      </c>
      <c r="H1539" t="s">
        <v>55</v>
      </c>
      <c r="I1539" t="s">
        <v>1735</v>
      </c>
      <c r="K1539" s="2"/>
      <c r="M1539" s="2"/>
    </row>
    <row r="1540" spans="1:13">
      <c r="A1540" t="s">
        <v>28</v>
      </c>
      <c r="B1540">
        <f ca="1">IF(OR(changes[[#This Row],[Type]]="Checklist",changes[[#This Row],[Type]]="checklist-flat"),1+IF(changes[[#This Row],[Type of change]] = "Edit",COUNTIFS($I$4:changes[[#This Row],[Name]],changes[[#This Row],[Name]], $E$4:changes[[#This Row],[Type of change]], "Edit")),B1539)</f>
        <v>1</v>
      </c>
      <c r="C1540" s="16">
        <v>44684</v>
      </c>
      <c r="D1540" s="1" t="s">
        <v>2776</v>
      </c>
      <c r="E1540" t="s">
        <v>27</v>
      </c>
      <c r="F1540" s="10" t="s">
        <v>52</v>
      </c>
      <c r="G1540" t="s">
        <v>2777</v>
      </c>
      <c r="H1540" t="s">
        <v>55</v>
      </c>
      <c r="I1540" t="s">
        <v>1736</v>
      </c>
      <c r="K1540" s="2"/>
      <c r="M1540" s="2"/>
    </row>
    <row r="1541" spans="1:13">
      <c r="A1541" t="s">
        <v>28</v>
      </c>
      <c r="B1541">
        <f ca="1">IF(OR(changes[[#This Row],[Type]]="Checklist",changes[[#This Row],[Type]]="checklist-flat"),1+IF(changes[[#This Row],[Type of change]] = "Edit",COUNTIFS($I$4:changes[[#This Row],[Name]],changes[[#This Row],[Name]], $E$4:changes[[#This Row],[Type of change]], "Edit")),B1540)</f>
        <v>1</v>
      </c>
      <c r="C1541" s="16">
        <v>44684</v>
      </c>
      <c r="D1541" s="1" t="s">
        <v>2776</v>
      </c>
      <c r="E1541" t="s">
        <v>27</v>
      </c>
      <c r="F1541" s="10" t="s">
        <v>52</v>
      </c>
      <c r="G1541" t="s">
        <v>2777</v>
      </c>
      <c r="H1541" t="s">
        <v>55</v>
      </c>
      <c r="I1541" t="s">
        <v>1737</v>
      </c>
      <c r="K1541" s="2"/>
      <c r="M1541" s="2"/>
    </row>
    <row r="1542" spans="1:13">
      <c r="A1542" t="s">
        <v>28</v>
      </c>
      <c r="B1542">
        <f ca="1">IF(OR(changes[[#This Row],[Type]]="Checklist",changes[[#This Row],[Type]]="checklist-flat"),1+IF(changes[[#This Row],[Type of change]] = "Edit",COUNTIFS($I$4:changes[[#This Row],[Name]],changes[[#This Row],[Name]], $E$4:changes[[#This Row],[Type of change]], "Edit")),B1541)</f>
        <v>1</v>
      </c>
      <c r="C1542" s="16">
        <v>44684</v>
      </c>
      <c r="D1542" s="1" t="s">
        <v>2776</v>
      </c>
      <c r="E1542" t="s">
        <v>27</v>
      </c>
      <c r="F1542" s="10" t="s">
        <v>52</v>
      </c>
      <c r="G1542" t="s">
        <v>2777</v>
      </c>
      <c r="H1542" t="s">
        <v>55</v>
      </c>
      <c r="I1542" t="s">
        <v>1738</v>
      </c>
      <c r="K1542" s="2"/>
      <c r="M1542" s="2"/>
    </row>
    <row r="1543" spans="1:13">
      <c r="A1543" t="s">
        <v>28</v>
      </c>
      <c r="B1543">
        <f ca="1">IF(OR(changes[[#This Row],[Type]]="Checklist",changes[[#This Row],[Type]]="checklist-flat"),1+IF(changes[[#This Row],[Type of change]] = "Edit",COUNTIFS($I$4:changes[[#This Row],[Name]],changes[[#This Row],[Name]], $E$4:changes[[#This Row],[Type of change]], "Edit")),B1542)</f>
        <v>1</v>
      </c>
      <c r="C1543" s="16">
        <v>44684</v>
      </c>
      <c r="D1543" s="1" t="s">
        <v>2776</v>
      </c>
      <c r="E1543" t="s">
        <v>27</v>
      </c>
      <c r="F1543" s="10" t="s">
        <v>52</v>
      </c>
      <c r="G1543" t="s">
        <v>2777</v>
      </c>
      <c r="H1543" t="s">
        <v>479</v>
      </c>
      <c r="I1543" t="s">
        <v>1739</v>
      </c>
      <c r="K1543" s="2"/>
      <c r="M1543" s="2"/>
    </row>
    <row r="1544" spans="1:13">
      <c r="A1544" t="s">
        <v>28</v>
      </c>
      <c r="B1544">
        <f ca="1">IF(OR(changes[[#This Row],[Type]]="Checklist",changes[[#This Row],[Type]]="checklist-flat"),1+IF(changes[[#This Row],[Type of change]] = "Edit",COUNTIFS($I$4:changes[[#This Row],[Name]],changes[[#This Row],[Name]], $E$4:changes[[#This Row],[Type of change]], "Edit")),B1543)</f>
        <v>1</v>
      </c>
      <c r="C1544" s="16">
        <v>44684</v>
      </c>
      <c r="D1544" s="1" t="s">
        <v>2776</v>
      </c>
      <c r="E1544" t="s">
        <v>27</v>
      </c>
      <c r="F1544" s="10" t="s">
        <v>52</v>
      </c>
      <c r="G1544" t="s">
        <v>2777</v>
      </c>
      <c r="H1544" t="s">
        <v>55</v>
      </c>
      <c r="I1544" t="s">
        <v>1740</v>
      </c>
      <c r="K1544" s="2"/>
      <c r="M1544" s="2"/>
    </row>
    <row r="1545" spans="1:13">
      <c r="A1545" t="s">
        <v>28</v>
      </c>
      <c r="B1545">
        <f ca="1">IF(OR(changes[[#This Row],[Type]]="Checklist",changes[[#This Row],[Type]]="checklist-flat"),1+IF(changes[[#This Row],[Type of change]] = "Edit",COUNTIFS($I$4:changes[[#This Row],[Name]],changes[[#This Row],[Name]], $E$4:changes[[#This Row],[Type of change]], "Edit")),B1544)</f>
        <v>1</v>
      </c>
      <c r="C1545" s="16">
        <v>44684</v>
      </c>
      <c r="D1545" s="1" t="s">
        <v>2776</v>
      </c>
      <c r="E1545" t="s">
        <v>27</v>
      </c>
      <c r="F1545" s="10" t="s">
        <v>52</v>
      </c>
      <c r="G1545" t="s">
        <v>2777</v>
      </c>
      <c r="H1545" t="s">
        <v>214</v>
      </c>
      <c r="I1545" t="s">
        <v>1741</v>
      </c>
      <c r="K1545" s="2"/>
      <c r="M1545" s="2"/>
    </row>
    <row r="1546" spans="1:13">
      <c r="A1546" t="s">
        <v>28</v>
      </c>
      <c r="B1546">
        <f ca="1">IF(OR(changes[[#This Row],[Type]]="Checklist",changes[[#This Row],[Type]]="checklist-flat"),1+IF(changes[[#This Row],[Type of change]] = "Edit",COUNTIFS($I$4:changes[[#This Row],[Name]],changes[[#This Row],[Name]], $E$4:changes[[#This Row],[Type of change]], "Edit")),B1545)</f>
        <v>1</v>
      </c>
      <c r="C1546" s="16">
        <v>44684</v>
      </c>
      <c r="D1546" s="1" t="s">
        <v>2776</v>
      </c>
      <c r="E1546" t="s">
        <v>27</v>
      </c>
      <c r="F1546" s="10" t="s">
        <v>52</v>
      </c>
      <c r="G1546" t="s">
        <v>2777</v>
      </c>
      <c r="H1546" t="s">
        <v>214</v>
      </c>
      <c r="I1546" t="s">
        <v>1618</v>
      </c>
      <c r="J1546" t="s">
        <v>1742</v>
      </c>
      <c r="K1546" s="2"/>
      <c r="M1546" s="2"/>
    </row>
    <row r="1547" spans="1:13">
      <c r="A1547" t="s">
        <v>28</v>
      </c>
      <c r="B1547">
        <f ca="1">IF(OR(changes[[#This Row],[Type]]="Checklist",changes[[#This Row],[Type]]="checklist-flat"),1+IF(changes[[#This Row],[Type of change]] = "Edit",COUNTIFS($I$4:changes[[#This Row],[Name]],changes[[#This Row],[Name]], $E$4:changes[[#This Row],[Type of change]], "Edit")),B1546)</f>
        <v>1</v>
      </c>
      <c r="C1547" s="16">
        <v>44684</v>
      </c>
      <c r="D1547" s="1" t="s">
        <v>2776</v>
      </c>
      <c r="E1547" t="s">
        <v>27</v>
      </c>
      <c r="F1547" s="10" t="s">
        <v>52</v>
      </c>
      <c r="G1547" t="s">
        <v>2777</v>
      </c>
      <c r="H1547" t="s">
        <v>214</v>
      </c>
      <c r="I1547" t="s">
        <v>1619</v>
      </c>
      <c r="J1547" t="s">
        <v>1742</v>
      </c>
      <c r="K1547" s="2"/>
      <c r="M1547" s="2"/>
    </row>
    <row r="1548" spans="1:13">
      <c r="A1548" t="s">
        <v>28</v>
      </c>
      <c r="B1548">
        <f ca="1">IF(OR(changes[[#This Row],[Type]]="Checklist",changes[[#This Row],[Type]]="checklist-flat"),1+IF(changes[[#This Row],[Type of change]] = "Edit",COUNTIFS($I$4:changes[[#This Row],[Name]],changes[[#This Row],[Name]], $E$4:changes[[#This Row],[Type of change]], "Edit")),B1547)</f>
        <v>1</v>
      </c>
      <c r="C1548" s="16">
        <v>44684</v>
      </c>
      <c r="D1548" s="1" t="s">
        <v>2776</v>
      </c>
      <c r="E1548" t="s">
        <v>27</v>
      </c>
      <c r="F1548" s="10" t="s">
        <v>52</v>
      </c>
      <c r="G1548" t="s">
        <v>2777</v>
      </c>
      <c r="H1548" t="s">
        <v>214</v>
      </c>
      <c r="I1548" t="s">
        <v>1620</v>
      </c>
      <c r="J1548" t="s">
        <v>1743</v>
      </c>
      <c r="K1548" s="2"/>
      <c r="M1548" s="2"/>
    </row>
    <row r="1549" spans="1:13">
      <c r="A1549" t="s">
        <v>28</v>
      </c>
      <c r="B1549">
        <f ca="1">IF(OR(changes[[#This Row],[Type]]="Checklist",changes[[#This Row],[Type]]="checklist-flat"),1+IF(changes[[#This Row],[Type of change]] = "Edit",COUNTIFS($I$4:changes[[#This Row],[Name]],changes[[#This Row],[Name]], $E$4:changes[[#This Row],[Type of change]], "Edit")),B1548)</f>
        <v>1</v>
      </c>
      <c r="C1549" s="16">
        <v>44684</v>
      </c>
      <c r="D1549" s="1" t="s">
        <v>2776</v>
      </c>
      <c r="E1549" t="s">
        <v>27</v>
      </c>
      <c r="F1549" s="10" t="s">
        <v>52</v>
      </c>
      <c r="G1549" t="s">
        <v>2777</v>
      </c>
      <c r="H1549" t="s">
        <v>437</v>
      </c>
      <c r="I1549" t="s">
        <v>1621</v>
      </c>
      <c r="J1549" t="s">
        <v>1272</v>
      </c>
      <c r="K1549" s="2"/>
      <c r="M1549" s="2"/>
    </row>
    <row r="1550" spans="1:13">
      <c r="A1550" t="s">
        <v>28</v>
      </c>
      <c r="B1550">
        <f ca="1">IF(OR(changes[[#This Row],[Type]]="Checklist",changes[[#This Row],[Type]]="checklist-flat"),1+IF(changes[[#This Row],[Type of change]] = "Edit",COUNTIFS($I$4:changes[[#This Row],[Name]],changes[[#This Row],[Name]], $E$4:changes[[#This Row],[Type of change]], "Edit")),B1549)</f>
        <v>1</v>
      </c>
      <c r="C1550" s="16">
        <v>44684</v>
      </c>
      <c r="D1550" s="1" t="s">
        <v>2776</v>
      </c>
      <c r="E1550" t="s">
        <v>27</v>
      </c>
      <c r="F1550" s="10" t="s">
        <v>52</v>
      </c>
      <c r="G1550" t="s">
        <v>2777</v>
      </c>
      <c r="H1550" t="s">
        <v>55</v>
      </c>
      <c r="I1550" t="s">
        <v>1581</v>
      </c>
      <c r="K1550" s="2"/>
      <c r="M1550" s="2"/>
    </row>
    <row r="1551" spans="1:13">
      <c r="A1551" t="s">
        <v>28</v>
      </c>
      <c r="B1551">
        <f ca="1">IF(OR(changes[[#This Row],[Type]]="Checklist",changes[[#This Row],[Type]]="checklist-flat"),1+IF(changes[[#This Row],[Type of change]] = "Edit",COUNTIFS($I$4:changes[[#This Row],[Name]],changes[[#This Row],[Name]], $E$4:changes[[#This Row],[Type of change]], "Edit")),B1550)</f>
        <v>1</v>
      </c>
      <c r="C1551" s="16">
        <v>44684</v>
      </c>
      <c r="D1551" s="1" t="s">
        <v>2776</v>
      </c>
      <c r="E1551" t="s">
        <v>27</v>
      </c>
      <c r="F1551" s="10" t="s">
        <v>52</v>
      </c>
      <c r="G1551" t="s">
        <v>2777</v>
      </c>
      <c r="H1551" t="s">
        <v>55</v>
      </c>
      <c r="I1551" t="s">
        <v>1582</v>
      </c>
      <c r="K1551" s="2"/>
      <c r="M1551" s="2"/>
    </row>
    <row r="1552" spans="1:13">
      <c r="A1552" t="s">
        <v>28</v>
      </c>
      <c r="B1552">
        <f ca="1">IF(OR(changes[[#This Row],[Type]]="Checklist",changes[[#This Row],[Type]]="checklist-flat"),1+IF(changes[[#This Row],[Type of change]] = "Edit",COUNTIFS($I$4:changes[[#This Row],[Name]],changes[[#This Row],[Name]], $E$4:changes[[#This Row],[Type of change]], "Edit")),B1551)</f>
        <v>1</v>
      </c>
      <c r="C1552" s="16">
        <v>44684</v>
      </c>
      <c r="D1552" s="1" t="s">
        <v>2776</v>
      </c>
      <c r="E1552" t="s">
        <v>27</v>
      </c>
      <c r="F1552" s="10" t="s">
        <v>52</v>
      </c>
      <c r="G1552" t="s">
        <v>2777</v>
      </c>
      <c r="H1552" t="s">
        <v>479</v>
      </c>
      <c r="I1552" t="s">
        <v>1744</v>
      </c>
      <c r="K1552" s="2"/>
      <c r="M1552" s="2"/>
    </row>
    <row r="1553" spans="1:13">
      <c r="A1553" t="s">
        <v>28</v>
      </c>
      <c r="B1553">
        <f ca="1">IF(OR(changes[[#This Row],[Type]]="Checklist",changes[[#This Row],[Type]]="checklist-flat"),1+IF(changes[[#This Row],[Type of change]] = "Edit",COUNTIFS($I$4:changes[[#This Row],[Name]],changes[[#This Row],[Name]], $E$4:changes[[#This Row],[Type of change]], "Edit")),B1552)</f>
        <v>1</v>
      </c>
      <c r="C1553" s="16">
        <v>44684</v>
      </c>
      <c r="D1553" s="1" t="s">
        <v>2776</v>
      </c>
      <c r="E1553" t="s">
        <v>27</v>
      </c>
      <c r="F1553" s="10" t="s">
        <v>52</v>
      </c>
      <c r="G1553" t="s">
        <v>2777</v>
      </c>
      <c r="H1553" t="s">
        <v>55</v>
      </c>
      <c r="I1553" t="s">
        <v>1745</v>
      </c>
      <c r="K1553" s="2"/>
      <c r="M1553" s="2"/>
    </row>
    <row r="1554" spans="1:13">
      <c r="A1554" t="s">
        <v>28</v>
      </c>
      <c r="B1554">
        <f ca="1">IF(OR(changes[[#This Row],[Type]]="Checklist",changes[[#This Row],[Type]]="checklist-flat"),1+IF(changes[[#This Row],[Type of change]] = "Edit",COUNTIFS($I$4:changes[[#This Row],[Name]],changes[[#This Row],[Name]], $E$4:changes[[#This Row],[Type of change]], "Edit")),B1553)</f>
        <v>1</v>
      </c>
      <c r="C1554" s="16">
        <v>44684</v>
      </c>
      <c r="D1554" s="1" t="s">
        <v>2776</v>
      </c>
      <c r="E1554" t="s">
        <v>27</v>
      </c>
      <c r="F1554" s="10" t="s">
        <v>52</v>
      </c>
      <c r="G1554" t="s">
        <v>2777</v>
      </c>
      <c r="H1554" t="s">
        <v>55</v>
      </c>
      <c r="I1554" t="s">
        <v>1746</v>
      </c>
      <c r="K1554" s="2"/>
      <c r="M1554" s="2"/>
    </row>
    <row r="1555" spans="1:13">
      <c r="A1555" t="s">
        <v>28</v>
      </c>
      <c r="B1555">
        <f ca="1">IF(OR(changes[[#This Row],[Type]]="Checklist",changes[[#This Row],[Type]]="checklist-flat"),1+IF(changes[[#This Row],[Type of change]] = "Edit",COUNTIFS($I$4:changes[[#This Row],[Name]],changes[[#This Row],[Name]], $E$4:changes[[#This Row],[Type of change]], "Edit")),B1554)</f>
        <v>1</v>
      </c>
      <c r="C1555" s="16">
        <v>44684</v>
      </c>
      <c r="D1555" s="1" t="s">
        <v>2776</v>
      </c>
      <c r="E1555" t="s">
        <v>27</v>
      </c>
      <c r="F1555" s="10" t="s">
        <v>52</v>
      </c>
      <c r="G1555" t="s">
        <v>2777</v>
      </c>
      <c r="H1555" t="s">
        <v>437</v>
      </c>
      <c r="I1555" t="s">
        <v>1747</v>
      </c>
      <c r="J1555" t="s">
        <v>1272</v>
      </c>
      <c r="K1555" s="2"/>
      <c r="M1555" s="2"/>
    </row>
    <row r="1556" spans="1:13">
      <c r="A1556" t="s">
        <v>28</v>
      </c>
      <c r="B1556">
        <f ca="1">IF(OR(changes[[#This Row],[Type]]="Checklist",changes[[#This Row],[Type]]="checklist-flat"),1+IF(changes[[#This Row],[Type of change]] = "Edit",COUNTIFS($I$4:changes[[#This Row],[Name]],changes[[#This Row],[Name]], $E$4:changes[[#This Row],[Type of change]], "Edit")),B1555)</f>
        <v>1</v>
      </c>
      <c r="C1556" s="16">
        <v>44684</v>
      </c>
      <c r="D1556" s="1" t="s">
        <v>2776</v>
      </c>
      <c r="E1556" t="s">
        <v>27</v>
      </c>
      <c r="F1556" s="10" t="s">
        <v>52</v>
      </c>
      <c r="G1556" t="s">
        <v>2777</v>
      </c>
      <c r="H1556" t="s">
        <v>55</v>
      </c>
      <c r="I1556" t="s">
        <v>1748</v>
      </c>
      <c r="K1556" s="2"/>
      <c r="M1556" s="2"/>
    </row>
    <row r="1557" spans="1:13">
      <c r="A1557" t="s">
        <v>28</v>
      </c>
      <c r="B1557">
        <f ca="1">IF(OR(changes[[#This Row],[Type]]="Checklist",changes[[#This Row],[Type]]="checklist-flat"),1+IF(changes[[#This Row],[Type of change]] = "Edit",COUNTIFS($I$4:changes[[#This Row],[Name]],changes[[#This Row],[Name]], $E$4:changes[[#This Row],[Type of change]], "Edit")),B1556)</f>
        <v>1</v>
      </c>
      <c r="C1557" s="16">
        <v>44684</v>
      </c>
      <c r="D1557" s="1" t="s">
        <v>2776</v>
      </c>
      <c r="E1557" t="s">
        <v>27</v>
      </c>
      <c r="F1557" s="10" t="s">
        <v>52</v>
      </c>
      <c r="G1557" t="s">
        <v>2777</v>
      </c>
      <c r="H1557" t="s">
        <v>55</v>
      </c>
      <c r="I1557" t="s">
        <v>1749</v>
      </c>
      <c r="K1557" s="2"/>
      <c r="M1557" s="2"/>
    </row>
    <row r="1558" spans="1:13">
      <c r="A1558" t="s">
        <v>28</v>
      </c>
      <c r="B1558">
        <f ca="1">IF(OR(changes[[#This Row],[Type]]="Checklist",changes[[#This Row],[Type]]="checklist-flat"),1+IF(changes[[#This Row],[Type of change]] = "Edit",COUNTIFS($I$4:changes[[#This Row],[Name]],changes[[#This Row],[Name]], $E$4:changes[[#This Row],[Type of change]], "Edit")),B1557)</f>
        <v>1</v>
      </c>
      <c r="C1558" s="16">
        <v>44684</v>
      </c>
      <c r="D1558" s="1" t="s">
        <v>2776</v>
      </c>
      <c r="E1558" t="s">
        <v>27</v>
      </c>
      <c r="F1558" s="10" t="s">
        <v>52</v>
      </c>
      <c r="G1558" t="s">
        <v>2777</v>
      </c>
      <c r="H1558" t="s">
        <v>55</v>
      </c>
      <c r="I1558" t="s">
        <v>1750</v>
      </c>
      <c r="K1558" s="2"/>
      <c r="M1558" s="2"/>
    </row>
    <row r="1559" spans="1:13">
      <c r="A1559" t="s">
        <v>28</v>
      </c>
      <c r="B1559">
        <f ca="1">IF(OR(changes[[#This Row],[Type]]="Checklist",changes[[#This Row],[Type]]="checklist-flat"),1+IF(changes[[#This Row],[Type of change]] = "Edit",COUNTIFS($I$4:changes[[#This Row],[Name]],changes[[#This Row],[Name]], $E$4:changes[[#This Row],[Type of change]], "Edit")),B1558)</f>
        <v>1</v>
      </c>
      <c r="C1559" s="16">
        <v>44684</v>
      </c>
      <c r="D1559" s="1" t="s">
        <v>2776</v>
      </c>
      <c r="E1559" t="s">
        <v>27</v>
      </c>
      <c r="F1559" s="10" t="s">
        <v>52</v>
      </c>
      <c r="G1559" t="s">
        <v>2777</v>
      </c>
      <c r="H1559" t="s">
        <v>479</v>
      </c>
      <c r="I1559" t="s">
        <v>1751</v>
      </c>
      <c r="K1559" s="2"/>
      <c r="M1559" s="2"/>
    </row>
    <row r="1560" spans="1:13">
      <c r="A1560" t="s">
        <v>28</v>
      </c>
      <c r="B1560">
        <f ca="1">IF(OR(changes[[#This Row],[Type]]="Checklist",changes[[#This Row],[Type]]="checklist-flat"),1+IF(changes[[#This Row],[Type of change]] = "Edit",COUNTIFS($I$4:changes[[#This Row],[Name]],changes[[#This Row],[Name]], $E$4:changes[[#This Row],[Type of change]], "Edit")),B1559)</f>
        <v>1</v>
      </c>
      <c r="C1560" s="16">
        <v>44684</v>
      </c>
      <c r="D1560" s="1" t="s">
        <v>2776</v>
      </c>
      <c r="E1560" t="s">
        <v>27</v>
      </c>
      <c r="F1560" s="10" t="s">
        <v>52</v>
      </c>
      <c r="G1560" t="s">
        <v>2777</v>
      </c>
      <c r="H1560" t="s">
        <v>55</v>
      </c>
      <c r="I1560" t="s">
        <v>1752</v>
      </c>
      <c r="K1560" s="2"/>
      <c r="M1560" s="2"/>
    </row>
    <row r="1561" spans="1:13">
      <c r="A1561" t="s">
        <v>28</v>
      </c>
      <c r="B1561">
        <f ca="1">IF(OR(changes[[#This Row],[Type]]="Checklist",changes[[#This Row],[Type]]="checklist-flat"),1+IF(changes[[#This Row],[Type of change]] = "Edit",COUNTIFS($I$4:changes[[#This Row],[Name]],changes[[#This Row],[Name]], $E$4:changes[[#This Row],[Type of change]], "Edit")),B1560)</f>
        <v>1</v>
      </c>
      <c r="C1561" s="16">
        <v>44684</v>
      </c>
      <c r="D1561" s="1" t="s">
        <v>2776</v>
      </c>
      <c r="E1561" t="s">
        <v>27</v>
      </c>
      <c r="F1561" s="10" t="s">
        <v>52</v>
      </c>
      <c r="G1561" t="s">
        <v>2777</v>
      </c>
      <c r="H1561" t="s">
        <v>64</v>
      </c>
      <c r="I1561" t="s">
        <v>1753</v>
      </c>
      <c r="K1561" s="2"/>
      <c r="M1561" s="2"/>
    </row>
    <row r="1562" spans="1:13">
      <c r="A1562" t="s">
        <v>28</v>
      </c>
      <c r="B1562">
        <f ca="1">IF(OR(changes[[#This Row],[Type]]="Checklist",changes[[#This Row],[Type]]="checklist-flat"),1+IF(changes[[#This Row],[Type of change]] = "Edit",COUNTIFS($I$4:changes[[#This Row],[Name]],changes[[#This Row],[Name]], $E$4:changes[[#This Row],[Type of change]], "Edit")),B1561)</f>
        <v>1</v>
      </c>
      <c r="C1562" s="16">
        <v>44684</v>
      </c>
      <c r="D1562" s="1" t="s">
        <v>2776</v>
      </c>
      <c r="E1562" t="s">
        <v>27</v>
      </c>
      <c r="F1562" s="10" t="s">
        <v>52</v>
      </c>
      <c r="G1562" t="s">
        <v>2777</v>
      </c>
      <c r="H1562" t="s">
        <v>55</v>
      </c>
      <c r="I1562" t="s">
        <v>1754</v>
      </c>
      <c r="K1562" s="2"/>
      <c r="M1562" s="2"/>
    </row>
    <row r="1563" spans="1:13">
      <c r="A1563" t="s">
        <v>28</v>
      </c>
      <c r="B1563">
        <f ca="1">IF(OR(changes[[#This Row],[Type]]="Checklist",changes[[#This Row],[Type]]="checklist-flat"),1+IF(changes[[#This Row],[Type of change]] = "Edit",COUNTIFS($I$4:changes[[#This Row],[Name]],changes[[#This Row],[Name]], $E$4:changes[[#This Row],[Type of change]], "Edit")),B1562)</f>
        <v>2</v>
      </c>
      <c r="C1563" s="16">
        <v>44685</v>
      </c>
      <c r="D1563" s="1" t="s">
        <v>2452</v>
      </c>
      <c r="E1563" t="s">
        <v>15</v>
      </c>
      <c r="F1563" s="10" t="s">
        <v>9</v>
      </c>
      <c r="G1563" t="s">
        <v>164</v>
      </c>
      <c r="H1563" t="s">
        <v>54</v>
      </c>
      <c r="I1563" t="s">
        <v>164</v>
      </c>
      <c r="K1563" s="2"/>
      <c r="M1563" s="2"/>
    </row>
    <row r="1564" spans="1:13">
      <c r="A1564" t="s">
        <v>28</v>
      </c>
      <c r="B1564">
        <f ca="1">IF(OR(changes[[#This Row],[Type]]="Checklist",changes[[#This Row],[Type]]="checklist-flat"),1+IF(changes[[#This Row],[Type of change]] = "Edit",COUNTIFS($I$4:changes[[#This Row],[Name]],changes[[#This Row],[Name]], $E$4:changes[[#This Row],[Type of change]], "Edit")),B1563)</f>
        <v>2</v>
      </c>
      <c r="C1564" s="16">
        <v>44685</v>
      </c>
      <c r="D1564" s="1" t="s">
        <v>2452</v>
      </c>
      <c r="E1564" t="s">
        <v>15</v>
      </c>
      <c r="F1564" s="10" t="s">
        <v>9</v>
      </c>
      <c r="G1564" t="s">
        <v>164</v>
      </c>
      <c r="H1564" t="s">
        <v>55</v>
      </c>
      <c r="I1564" t="s">
        <v>127</v>
      </c>
      <c r="K1564" s="2"/>
      <c r="M1564" s="2"/>
    </row>
    <row r="1565" spans="1:13">
      <c r="A1565" t="s">
        <v>28</v>
      </c>
      <c r="B1565">
        <f ca="1">IF(OR(changes[[#This Row],[Type]]="Checklist",changes[[#This Row],[Type]]="checklist-flat"),1+IF(changes[[#This Row],[Type of change]] = "Edit",COUNTIFS($I$4:changes[[#This Row],[Name]],changes[[#This Row],[Name]], $E$4:changes[[#This Row],[Type of change]], "Edit")),B1564)</f>
        <v>2</v>
      </c>
      <c r="C1565" s="16">
        <v>44685</v>
      </c>
      <c r="D1565" s="1" t="s">
        <v>2452</v>
      </c>
      <c r="E1565" t="s">
        <v>15</v>
      </c>
      <c r="F1565" s="10" t="s">
        <v>9</v>
      </c>
      <c r="G1565" t="s">
        <v>164</v>
      </c>
      <c r="H1565" t="s">
        <v>55</v>
      </c>
      <c r="I1565" t="s">
        <v>165</v>
      </c>
      <c r="K1565" s="2"/>
      <c r="M1565" s="2" t="s">
        <v>2779</v>
      </c>
    </row>
    <row r="1566" spans="1:13">
      <c r="A1566" t="s">
        <v>28</v>
      </c>
      <c r="B1566">
        <f ca="1">IF(OR(changes[[#This Row],[Type]]="Checklist",changes[[#This Row],[Type]]="checklist-flat"),1+IF(changes[[#This Row],[Type of change]] = "Edit",COUNTIFS($I$4:changes[[#This Row],[Name]],changes[[#This Row],[Name]], $E$4:changes[[#This Row],[Type of change]], "Edit")),B1565)</f>
        <v>2</v>
      </c>
      <c r="C1566" s="16">
        <v>44685</v>
      </c>
      <c r="D1566" s="1" t="s">
        <v>2452</v>
      </c>
      <c r="E1566" t="s">
        <v>15</v>
      </c>
      <c r="F1566" s="10" t="s">
        <v>9</v>
      </c>
      <c r="G1566" t="s">
        <v>164</v>
      </c>
      <c r="H1566" t="s">
        <v>55</v>
      </c>
      <c r="I1566" t="s">
        <v>129</v>
      </c>
      <c r="K1566" s="2"/>
      <c r="M1566" s="2"/>
    </row>
    <row r="1567" spans="1:13">
      <c r="A1567" t="s">
        <v>28</v>
      </c>
      <c r="B1567">
        <f ca="1">IF(OR(changes[[#This Row],[Type]]="Checklist",changes[[#This Row],[Type]]="checklist-flat"),1+IF(changes[[#This Row],[Type of change]] = "Edit",COUNTIFS($I$4:changes[[#This Row],[Name]],changes[[#This Row],[Name]], $E$4:changes[[#This Row],[Type of change]], "Edit")),B1566)</f>
        <v>2</v>
      </c>
      <c r="C1567" s="16">
        <v>44685</v>
      </c>
      <c r="D1567" s="1" t="s">
        <v>2452</v>
      </c>
      <c r="E1567" t="s">
        <v>15</v>
      </c>
      <c r="F1567" s="10" t="s">
        <v>9</v>
      </c>
      <c r="G1567" t="s">
        <v>164</v>
      </c>
      <c r="H1567" t="s">
        <v>55</v>
      </c>
      <c r="I1567" t="s">
        <v>166</v>
      </c>
      <c r="K1567" s="2"/>
      <c r="M1567" s="2" t="s">
        <v>2780</v>
      </c>
    </row>
    <row r="1568" spans="1:13">
      <c r="A1568" t="s">
        <v>28</v>
      </c>
      <c r="B1568">
        <f ca="1">IF(OR(changes[[#This Row],[Type]]="Checklist",changes[[#This Row],[Type]]="checklist-flat"),1+IF(changes[[#This Row],[Type of change]] = "Edit",COUNTIFS($I$4:changes[[#This Row],[Name]],changes[[#This Row],[Name]], $E$4:changes[[#This Row],[Type of change]], "Edit")),B1567)</f>
        <v>2</v>
      </c>
      <c r="C1568" s="16">
        <v>44685</v>
      </c>
      <c r="D1568" s="1" t="s">
        <v>2452</v>
      </c>
      <c r="E1568" t="s">
        <v>15</v>
      </c>
      <c r="F1568" s="10" t="s">
        <v>9</v>
      </c>
      <c r="G1568" t="s">
        <v>164</v>
      </c>
      <c r="H1568" t="s">
        <v>55</v>
      </c>
      <c r="I1568" t="s">
        <v>167</v>
      </c>
      <c r="K1568" s="2"/>
      <c r="M1568" s="2"/>
    </row>
    <row r="1569" spans="1:13">
      <c r="A1569" t="s">
        <v>28</v>
      </c>
      <c r="B1569">
        <f ca="1">IF(OR(changes[[#This Row],[Type]]="Checklist",changes[[#This Row],[Type]]="checklist-flat"),1+IF(changes[[#This Row],[Type of change]] = "Edit",COUNTIFS($I$4:changes[[#This Row],[Name]],changes[[#This Row],[Name]], $E$4:changes[[#This Row],[Type of change]], "Edit")),B1568)</f>
        <v>2</v>
      </c>
      <c r="C1569" s="16">
        <v>44685</v>
      </c>
      <c r="D1569" s="1" t="s">
        <v>2452</v>
      </c>
      <c r="E1569" t="s">
        <v>15</v>
      </c>
      <c r="F1569" s="10" t="s">
        <v>9</v>
      </c>
      <c r="G1569" t="s">
        <v>164</v>
      </c>
      <c r="H1569" t="s">
        <v>55</v>
      </c>
      <c r="I1569" t="s">
        <v>147</v>
      </c>
      <c r="K1569" s="2"/>
      <c r="M1569" s="2"/>
    </row>
    <row r="1570" spans="1:13">
      <c r="A1570" t="s">
        <v>28</v>
      </c>
      <c r="B1570">
        <f ca="1">IF(OR(changes[[#This Row],[Type]]="Checklist",changes[[#This Row],[Type]]="checklist-flat"),1+IF(changes[[#This Row],[Type of change]] = "Edit",COUNTIFS($I$4:changes[[#This Row],[Name]],changes[[#This Row],[Name]], $E$4:changes[[#This Row],[Type of change]], "Edit")),B1569)</f>
        <v>2</v>
      </c>
      <c r="C1570" s="16">
        <v>44685</v>
      </c>
      <c r="D1570" s="1" t="s">
        <v>2452</v>
      </c>
      <c r="E1570" t="s">
        <v>15</v>
      </c>
      <c r="F1570" s="10" t="s">
        <v>9</v>
      </c>
      <c r="G1570" t="s">
        <v>132</v>
      </c>
      <c r="H1570" t="s">
        <v>54</v>
      </c>
      <c r="I1570" t="s">
        <v>132</v>
      </c>
      <c r="K1570" s="2"/>
      <c r="M1570" s="2"/>
    </row>
    <row r="1571" spans="1:13">
      <c r="A1571" t="s">
        <v>28</v>
      </c>
      <c r="B1571">
        <f ca="1">IF(OR(changes[[#This Row],[Type]]="Checklist",changes[[#This Row],[Type]]="checklist-flat"),1+IF(changes[[#This Row],[Type of change]] = "Edit",COUNTIFS($I$4:changes[[#This Row],[Name]],changes[[#This Row],[Name]], $E$4:changes[[#This Row],[Type of change]], "Edit")),B1570)</f>
        <v>2</v>
      </c>
      <c r="C1571" s="16">
        <v>44685</v>
      </c>
      <c r="D1571" s="1" t="s">
        <v>2452</v>
      </c>
      <c r="E1571" t="s">
        <v>15</v>
      </c>
      <c r="F1571" s="10" t="s">
        <v>9</v>
      </c>
      <c r="G1571" t="s">
        <v>132</v>
      </c>
      <c r="H1571" t="s">
        <v>55</v>
      </c>
      <c r="I1571" t="s">
        <v>127</v>
      </c>
      <c r="K1571" s="2"/>
      <c r="M1571" s="2"/>
    </row>
    <row r="1572" spans="1:13">
      <c r="A1572" t="s">
        <v>28</v>
      </c>
      <c r="B1572">
        <f ca="1">IF(OR(changes[[#This Row],[Type]]="Checklist",changes[[#This Row],[Type]]="checklist-flat"),1+IF(changes[[#This Row],[Type of change]] = "Edit",COUNTIFS($I$4:changes[[#This Row],[Name]],changes[[#This Row],[Name]], $E$4:changes[[#This Row],[Type of change]], "Edit")),B1571)</f>
        <v>2</v>
      </c>
      <c r="C1572" s="16">
        <v>44685</v>
      </c>
      <c r="D1572" s="1" t="s">
        <v>2452</v>
      </c>
      <c r="E1572" t="s">
        <v>15</v>
      </c>
      <c r="F1572" s="10" t="s">
        <v>9</v>
      </c>
      <c r="G1572" t="s">
        <v>132</v>
      </c>
      <c r="H1572" t="s">
        <v>55</v>
      </c>
      <c r="I1572" t="s">
        <v>128</v>
      </c>
      <c r="K1572" s="2"/>
      <c r="M1572" s="2"/>
    </row>
    <row r="1573" spans="1:13">
      <c r="A1573" t="s">
        <v>28</v>
      </c>
      <c r="B1573">
        <f ca="1">IF(OR(changes[[#This Row],[Type]]="Checklist",changes[[#This Row],[Type]]="checklist-flat"),1+IF(changes[[#This Row],[Type of change]] = "Edit",COUNTIFS($I$4:changes[[#This Row],[Name]],changes[[#This Row],[Name]], $E$4:changes[[#This Row],[Type of change]], "Edit")),B1572)</f>
        <v>2</v>
      </c>
      <c r="C1573" s="16">
        <v>44685</v>
      </c>
      <c r="D1573" s="1" t="s">
        <v>2452</v>
      </c>
      <c r="E1573" t="s">
        <v>15</v>
      </c>
      <c r="F1573" s="10" t="s">
        <v>9</v>
      </c>
      <c r="G1573" t="s">
        <v>132</v>
      </c>
      <c r="H1573" t="s">
        <v>55</v>
      </c>
      <c r="I1573" t="s">
        <v>129</v>
      </c>
      <c r="K1573" s="2"/>
      <c r="M1573" s="2" t="s">
        <v>2780</v>
      </c>
    </row>
    <row r="1574" spans="1:13">
      <c r="A1574" t="s">
        <v>28</v>
      </c>
      <c r="B1574">
        <f ca="1">IF(OR(changes[[#This Row],[Type]]="Checklist",changes[[#This Row],[Type]]="checklist-flat"),1+IF(changes[[#This Row],[Type of change]] = "Edit",COUNTIFS($I$4:changes[[#This Row],[Name]],changes[[#This Row],[Name]], $E$4:changes[[#This Row],[Type of change]], "Edit")),B1573)</f>
        <v>2</v>
      </c>
      <c r="C1574" s="16">
        <v>44685</v>
      </c>
      <c r="D1574" s="1" t="s">
        <v>2452</v>
      </c>
      <c r="E1574" t="s">
        <v>15</v>
      </c>
      <c r="F1574" s="10" t="s">
        <v>9</v>
      </c>
      <c r="G1574" t="s">
        <v>132</v>
      </c>
      <c r="H1574" t="s">
        <v>55</v>
      </c>
      <c r="I1574" t="s">
        <v>133</v>
      </c>
      <c r="K1574" s="2"/>
      <c r="M1574" s="2"/>
    </row>
    <row r="1575" spans="1:13">
      <c r="A1575" t="s">
        <v>28</v>
      </c>
      <c r="B1575">
        <f ca="1">IF(OR(changes[[#This Row],[Type]]="Checklist",changes[[#This Row],[Type]]="checklist-flat"),1+IF(changes[[#This Row],[Type of change]] = "Edit",COUNTIFS($I$4:changes[[#This Row],[Name]],changes[[#This Row],[Name]], $E$4:changes[[#This Row],[Type of change]], "Edit")),B1574)</f>
        <v>2</v>
      </c>
      <c r="C1575" s="16">
        <v>44685</v>
      </c>
      <c r="D1575" s="1" t="s">
        <v>2452</v>
      </c>
      <c r="E1575" t="s">
        <v>15</v>
      </c>
      <c r="F1575" s="10" t="s">
        <v>9</v>
      </c>
      <c r="G1575" t="s">
        <v>132</v>
      </c>
      <c r="H1575" t="s">
        <v>55</v>
      </c>
      <c r="I1575" t="s">
        <v>134</v>
      </c>
      <c r="K1575" s="2"/>
      <c r="M1575" s="2"/>
    </row>
    <row r="1576" spans="1:13">
      <c r="A1576" t="s">
        <v>28</v>
      </c>
      <c r="B1576">
        <f ca="1">IF(OR(changes[[#This Row],[Type]]="Checklist",changes[[#This Row],[Type]]="checklist-flat"),1+IF(changes[[#This Row],[Type of change]] = "Edit",COUNTIFS($I$4:changes[[#This Row],[Name]],changes[[#This Row],[Name]], $E$4:changes[[#This Row],[Type of change]], "Edit")),B1575)</f>
        <v>2</v>
      </c>
      <c r="C1576" s="16">
        <v>44685</v>
      </c>
      <c r="D1576" s="1" t="s">
        <v>2452</v>
      </c>
      <c r="E1576" t="s">
        <v>15</v>
      </c>
      <c r="F1576" s="10" t="s">
        <v>9</v>
      </c>
      <c r="G1576" t="s">
        <v>132</v>
      </c>
      <c r="H1576" t="s">
        <v>55</v>
      </c>
      <c r="I1576" t="s">
        <v>135</v>
      </c>
      <c r="K1576" s="2"/>
      <c r="M1576" s="2"/>
    </row>
    <row r="1577" spans="1:13">
      <c r="A1577" t="s">
        <v>28</v>
      </c>
      <c r="B1577">
        <f ca="1">IF(OR(changes[[#This Row],[Type]]="Checklist",changes[[#This Row],[Type]]="checklist-flat"),1+IF(changes[[#This Row],[Type of change]] = "Edit",COUNTIFS($I$4:changes[[#This Row],[Name]],changes[[#This Row],[Name]], $E$4:changes[[#This Row],[Type of change]], "Edit")),B1576)</f>
        <v>2</v>
      </c>
      <c r="C1577" s="16">
        <v>44685</v>
      </c>
      <c r="D1577" s="1" t="s">
        <v>2452</v>
      </c>
      <c r="E1577" t="s">
        <v>15</v>
      </c>
      <c r="F1577" s="10" t="s">
        <v>9</v>
      </c>
      <c r="G1577" t="s">
        <v>132</v>
      </c>
      <c r="H1577" t="s">
        <v>55</v>
      </c>
      <c r="I1577" t="s">
        <v>136</v>
      </c>
      <c r="K1577" s="2"/>
      <c r="M1577" s="2"/>
    </row>
    <row r="1578" spans="1:13">
      <c r="A1578" t="s">
        <v>28</v>
      </c>
      <c r="B1578">
        <f ca="1">IF(OR(changes[[#This Row],[Type]]="Checklist",changes[[#This Row],[Type]]="checklist-flat"),1+IF(changes[[#This Row],[Type of change]] = "Edit",COUNTIFS($I$4:changes[[#This Row],[Name]],changes[[#This Row],[Name]], $E$4:changes[[#This Row],[Type of change]], "Edit")),B1577)</f>
        <v>2</v>
      </c>
      <c r="C1578" s="16">
        <v>44685</v>
      </c>
      <c r="D1578" s="1" t="s">
        <v>2452</v>
      </c>
      <c r="E1578" t="s">
        <v>15</v>
      </c>
      <c r="F1578" s="10" t="s">
        <v>9</v>
      </c>
      <c r="G1578" t="s">
        <v>132</v>
      </c>
      <c r="H1578" t="s">
        <v>55</v>
      </c>
      <c r="I1578" t="s">
        <v>137</v>
      </c>
      <c r="K1578" s="2"/>
      <c r="M1578" s="2"/>
    </row>
    <row r="1579" spans="1:13">
      <c r="A1579" t="s">
        <v>28</v>
      </c>
      <c r="B1579">
        <f ca="1">IF(OR(changes[[#This Row],[Type]]="Checklist",changes[[#This Row],[Type]]="checklist-flat"),1+IF(changes[[#This Row],[Type of change]] = "Edit",COUNTIFS($I$4:changes[[#This Row],[Name]],changes[[#This Row],[Name]], $E$4:changes[[#This Row],[Type of change]], "Edit")),B1578)</f>
        <v>2</v>
      </c>
      <c r="C1579" s="16">
        <v>44685</v>
      </c>
      <c r="D1579" s="1" t="s">
        <v>2452</v>
      </c>
      <c r="E1579" t="s">
        <v>15</v>
      </c>
      <c r="F1579" s="10" t="s">
        <v>9</v>
      </c>
      <c r="G1579" t="s">
        <v>132</v>
      </c>
      <c r="H1579" t="s">
        <v>55</v>
      </c>
      <c r="I1579" t="s">
        <v>138</v>
      </c>
      <c r="K1579" s="2"/>
      <c r="M1579" s="2"/>
    </row>
    <row r="1580" spans="1:13">
      <c r="A1580" t="s">
        <v>28</v>
      </c>
      <c r="B1580">
        <f ca="1">IF(OR(changes[[#This Row],[Type]]="Checklist",changes[[#This Row],[Type]]="checklist-flat"),1+IF(changes[[#This Row],[Type of change]] = "Edit",COUNTIFS($I$4:changes[[#This Row],[Name]],changes[[#This Row],[Name]], $E$4:changes[[#This Row],[Type of change]], "Edit")),B1579)</f>
        <v>2</v>
      </c>
      <c r="C1580" s="16">
        <v>44685</v>
      </c>
      <c r="D1580" s="1" t="s">
        <v>2452</v>
      </c>
      <c r="E1580" t="s">
        <v>15</v>
      </c>
      <c r="F1580" s="10" t="s">
        <v>9</v>
      </c>
      <c r="G1580" t="s">
        <v>132</v>
      </c>
      <c r="H1580" t="s">
        <v>55</v>
      </c>
      <c r="I1580" t="s">
        <v>139</v>
      </c>
      <c r="K1580" s="2"/>
      <c r="M1580" s="2"/>
    </row>
    <row r="1581" spans="1:13">
      <c r="A1581" t="s">
        <v>28</v>
      </c>
      <c r="B1581">
        <f ca="1">IF(OR(changes[[#This Row],[Type]]="Checklist",changes[[#This Row],[Type]]="checklist-flat"),1+IF(changes[[#This Row],[Type of change]] = "Edit",COUNTIFS($I$4:changes[[#This Row],[Name]],changes[[#This Row],[Name]], $E$4:changes[[#This Row],[Type of change]], "Edit")),B1580)</f>
        <v>1</v>
      </c>
      <c r="C1581" s="16">
        <v>44685</v>
      </c>
      <c r="D1581" s="1" t="s">
        <v>2452</v>
      </c>
      <c r="E1581" t="s">
        <v>27</v>
      </c>
      <c r="F1581" s="10" t="s">
        <v>9</v>
      </c>
      <c r="G1581" t="s">
        <v>126</v>
      </c>
      <c r="H1581" t="s">
        <v>54</v>
      </c>
      <c r="I1581" t="s">
        <v>126</v>
      </c>
      <c r="K1581" s="2"/>
      <c r="M1581" s="2" t="s">
        <v>2781</v>
      </c>
    </row>
    <row r="1582" spans="1:13">
      <c r="A1582" t="s">
        <v>28</v>
      </c>
      <c r="B1582">
        <f ca="1">IF(OR(changes[[#This Row],[Type]]="Checklist",changes[[#This Row],[Type]]="checklist-flat"),1+IF(changes[[#This Row],[Type of change]] = "Edit",COUNTIFS($I$4:changes[[#This Row],[Name]],changes[[#This Row],[Name]], $E$4:changes[[#This Row],[Type of change]], "Edit")),B1581)</f>
        <v>1</v>
      </c>
      <c r="C1582" s="16">
        <v>44685</v>
      </c>
      <c r="D1582" s="1" t="s">
        <v>2452</v>
      </c>
      <c r="E1582" t="s">
        <v>27</v>
      </c>
      <c r="F1582" s="10" t="s">
        <v>9</v>
      </c>
      <c r="G1582" t="s">
        <v>126</v>
      </c>
      <c r="H1582" t="s">
        <v>55</v>
      </c>
      <c r="I1582" t="s">
        <v>127</v>
      </c>
      <c r="K1582" s="2"/>
      <c r="M1582" s="2"/>
    </row>
    <row r="1583" spans="1:13">
      <c r="A1583" t="s">
        <v>28</v>
      </c>
      <c r="B1583">
        <f ca="1">IF(OR(changes[[#This Row],[Type]]="Checklist",changes[[#This Row],[Type]]="checklist-flat"),1+IF(changes[[#This Row],[Type of change]] = "Edit",COUNTIFS($I$4:changes[[#This Row],[Name]],changes[[#This Row],[Name]], $E$4:changes[[#This Row],[Type of change]], "Edit")),B1582)</f>
        <v>1</v>
      </c>
      <c r="C1583" s="16">
        <v>44685</v>
      </c>
      <c r="D1583" s="1" t="s">
        <v>2452</v>
      </c>
      <c r="E1583" t="s">
        <v>27</v>
      </c>
      <c r="F1583" s="10" t="s">
        <v>9</v>
      </c>
      <c r="G1583" t="s">
        <v>126</v>
      </c>
      <c r="H1583" t="s">
        <v>55</v>
      </c>
      <c r="I1583" t="s">
        <v>128</v>
      </c>
      <c r="K1583" s="2"/>
      <c r="M1583" s="2"/>
    </row>
    <row r="1584" spans="1:13">
      <c r="A1584" t="s">
        <v>28</v>
      </c>
      <c r="B1584">
        <f ca="1">IF(OR(changes[[#This Row],[Type]]="Checklist",changes[[#This Row],[Type]]="checklist-flat"),1+IF(changes[[#This Row],[Type of change]] = "Edit",COUNTIFS($I$4:changes[[#This Row],[Name]],changes[[#This Row],[Name]], $E$4:changes[[#This Row],[Type of change]], "Edit")),B1583)</f>
        <v>1</v>
      </c>
      <c r="C1584" s="16">
        <v>44685</v>
      </c>
      <c r="D1584" s="1" t="s">
        <v>2452</v>
      </c>
      <c r="E1584" t="s">
        <v>27</v>
      </c>
      <c r="F1584" s="10" t="s">
        <v>9</v>
      </c>
      <c r="G1584" t="s">
        <v>126</v>
      </c>
      <c r="H1584" t="s">
        <v>55</v>
      </c>
      <c r="I1584" t="s">
        <v>129</v>
      </c>
      <c r="K1584" s="2"/>
      <c r="M1584" s="2"/>
    </row>
    <row r="1585" spans="1:13">
      <c r="A1585" t="s">
        <v>28</v>
      </c>
      <c r="B1585">
        <f ca="1">IF(OR(changes[[#This Row],[Type]]="Checklist",changes[[#This Row],[Type]]="checklist-flat"),1+IF(changes[[#This Row],[Type of change]] = "Edit",COUNTIFS($I$4:changes[[#This Row],[Name]],changes[[#This Row],[Name]], $E$4:changes[[#This Row],[Type of change]], "Edit")),B1584)</f>
        <v>1</v>
      </c>
      <c r="C1585" s="16">
        <v>44685</v>
      </c>
      <c r="D1585" s="1" t="s">
        <v>2452</v>
      </c>
      <c r="E1585" t="s">
        <v>27</v>
      </c>
      <c r="F1585" s="10" t="s">
        <v>9</v>
      </c>
      <c r="G1585" t="s">
        <v>126</v>
      </c>
      <c r="H1585" t="s">
        <v>55</v>
      </c>
      <c r="I1585" t="s">
        <v>2782</v>
      </c>
      <c r="K1585" s="2"/>
      <c r="M1585" s="2"/>
    </row>
    <row r="1586" spans="1:13">
      <c r="A1586" t="s">
        <v>28</v>
      </c>
      <c r="B1586">
        <f ca="1">IF(OR(changes[[#This Row],[Type]]="Checklist",changes[[#This Row],[Type]]="checklist-flat"),1+IF(changes[[#This Row],[Type of change]] = "Edit",COUNTIFS($I$4:changes[[#This Row],[Name]],changes[[#This Row],[Name]], $E$4:changes[[#This Row],[Type of change]], "Edit")),B1585)</f>
        <v>1</v>
      </c>
      <c r="C1586" s="16">
        <v>44685</v>
      </c>
      <c r="D1586" s="1" t="s">
        <v>2452</v>
      </c>
      <c r="E1586" t="s">
        <v>27</v>
      </c>
      <c r="F1586" s="10" t="s">
        <v>9</v>
      </c>
      <c r="G1586" t="s">
        <v>126</v>
      </c>
      <c r="H1586" t="s">
        <v>55</v>
      </c>
      <c r="I1586" t="s">
        <v>131</v>
      </c>
      <c r="K1586" s="2"/>
      <c r="M1586" s="2"/>
    </row>
    <row r="1587" spans="1:13">
      <c r="A1587" t="s">
        <v>28</v>
      </c>
      <c r="B1587">
        <f ca="1">IF(OR(changes[[#This Row],[Type]]="Checklist",changes[[#This Row],[Type]]="checklist-flat"),1+IF(changes[[#This Row],[Type of change]] = "Edit",COUNTIFS($I$4:changes[[#This Row],[Name]],changes[[#This Row],[Name]], $E$4:changes[[#This Row],[Type of change]], "Edit")),B1586)</f>
        <v>2</v>
      </c>
      <c r="C1587" s="16">
        <v>44685</v>
      </c>
      <c r="D1587" s="1" t="s">
        <v>2452</v>
      </c>
      <c r="E1587" t="s">
        <v>15</v>
      </c>
      <c r="F1587" s="10" t="s">
        <v>9</v>
      </c>
      <c r="G1587" t="s">
        <v>456</v>
      </c>
      <c r="H1587" t="s">
        <v>54</v>
      </c>
      <c r="I1587" t="s">
        <v>456</v>
      </c>
      <c r="K1587" s="2"/>
      <c r="M1587" s="2"/>
    </row>
    <row r="1588" spans="1:13">
      <c r="A1588" t="s">
        <v>28</v>
      </c>
      <c r="B1588">
        <f ca="1">IF(OR(changes[[#This Row],[Type]]="Checklist",changes[[#This Row],[Type]]="checklist-flat"),1+IF(changes[[#This Row],[Type of change]] = "Edit",COUNTIFS($I$4:changes[[#This Row],[Name]],changes[[#This Row],[Name]], $E$4:changes[[#This Row],[Type of change]], "Edit")),B1587)</f>
        <v>2</v>
      </c>
      <c r="C1588" s="16">
        <v>44685</v>
      </c>
      <c r="D1588" s="1" t="s">
        <v>2452</v>
      </c>
      <c r="E1588" t="s">
        <v>15</v>
      </c>
      <c r="F1588" s="10" t="s">
        <v>9</v>
      </c>
      <c r="G1588" t="s">
        <v>456</v>
      </c>
      <c r="H1588" t="s">
        <v>55</v>
      </c>
      <c r="I1588" t="s">
        <v>457</v>
      </c>
      <c r="K1588" s="2"/>
      <c r="M1588" s="2" t="s">
        <v>2783</v>
      </c>
    </row>
    <row r="1589" spans="1:13">
      <c r="A1589" t="s">
        <v>28</v>
      </c>
      <c r="B1589">
        <f ca="1">IF(OR(changes[[#This Row],[Type]]="Checklist",changes[[#This Row],[Type]]="checklist-flat"),1+IF(changes[[#This Row],[Type of change]] = "Edit",COUNTIFS($I$4:changes[[#This Row],[Name]],changes[[#This Row],[Name]], $E$4:changes[[#This Row],[Type of change]], "Edit")),B1588)</f>
        <v>2</v>
      </c>
      <c r="C1589" s="16">
        <v>44685</v>
      </c>
      <c r="D1589" s="1" t="s">
        <v>2452</v>
      </c>
      <c r="E1589" t="s">
        <v>15</v>
      </c>
      <c r="F1589" s="10" t="s">
        <v>9</v>
      </c>
      <c r="G1589" t="s">
        <v>456</v>
      </c>
      <c r="H1589" t="s">
        <v>55</v>
      </c>
      <c r="I1589" t="s">
        <v>458</v>
      </c>
      <c r="K1589" s="2"/>
      <c r="M1589" s="2"/>
    </row>
    <row r="1590" spans="1:13">
      <c r="A1590" t="s">
        <v>28</v>
      </c>
      <c r="B1590">
        <f ca="1">IF(OR(changes[[#This Row],[Type]]="Checklist",changes[[#This Row],[Type]]="checklist-flat"),1+IF(changes[[#This Row],[Type of change]] = "Edit",COUNTIFS($I$4:changes[[#This Row],[Name]],changes[[#This Row],[Name]], $E$4:changes[[#This Row],[Type of change]], "Edit")),B1589)</f>
        <v>2</v>
      </c>
      <c r="C1590" s="16">
        <v>44685</v>
      </c>
      <c r="D1590" s="1" t="s">
        <v>2452</v>
      </c>
      <c r="E1590" t="s">
        <v>15</v>
      </c>
      <c r="F1590" s="10" t="s">
        <v>9</v>
      </c>
      <c r="G1590" t="s">
        <v>456</v>
      </c>
      <c r="H1590" t="s">
        <v>55</v>
      </c>
      <c r="I1590" t="s">
        <v>459</v>
      </c>
      <c r="K1590" s="2"/>
      <c r="M1590" s="2"/>
    </row>
    <row r="1591" spans="1:13">
      <c r="A1591" t="s">
        <v>28</v>
      </c>
      <c r="B1591">
        <f ca="1">IF(OR(changes[[#This Row],[Type]]="Checklist",changes[[#This Row],[Type]]="checklist-flat"),1+IF(changes[[#This Row],[Type of change]] = "Edit",COUNTIFS($I$4:changes[[#This Row],[Name]],changes[[#This Row],[Name]], $E$4:changes[[#This Row],[Type of change]], "Edit")),B1590)</f>
        <v>2</v>
      </c>
      <c r="C1591" s="16">
        <v>44685</v>
      </c>
      <c r="D1591" s="1" t="s">
        <v>2452</v>
      </c>
      <c r="E1591" t="s">
        <v>15</v>
      </c>
      <c r="F1591" s="10" t="s">
        <v>9</v>
      </c>
      <c r="G1591" t="s">
        <v>417</v>
      </c>
      <c r="H1591" t="s">
        <v>54</v>
      </c>
      <c r="I1591" t="s">
        <v>417</v>
      </c>
      <c r="K1591" s="2"/>
      <c r="M1591" s="2"/>
    </row>
    <row r="1592" spans="1:13">
      <c r="A1592" t="s">
        <v>28</v>
      </c>
      <c r="B1592">
        <f ca="1">IF(OR(changes[[#This Row],[Type]]="Checklist",changes[[#This Row],[Type]]="checklist-flat"),1+IF(changes[[#This Row],[Type of change]] = "Edit",COUNTIFS($I$4:changes[[#This Row],[Name]],changes[[#This Row],[Name]], $E$4:changes[[#This Row],[Type of change]], "Edit")),B1591)</f>
        <v>2</v>
      </c>
      <c r="C1592" s="16">
        <v>44685</v>
      </c>
      <c r="D1592" s="1" t="s">
        <v>2452</v>
      </c>
      <c r="E1592" t="s">
        <v>15</v>
      </c>
      <c r="F1592" s="10" t="s">
        <v>9</v>
      </c>
      <c r="G1592" t="s">
        <v>417</v>
      </c>
      <c r="H1592" t="s">
        <v>55</v>
      </c>
      <c r="I1592" t="s">
        <v>418</v>
      </c>
      <c r="K1592" s="2"/>
      <c r="M1592" s="2" t="s">
        <v>2784</v>
      </c>
    </row>
    <row r="1593" spans="1:13">
      <c r="A1593" t="s">
        <v>28</v>
      </c>
      <c r="B1593">
        <f ca="1">IF(OR(changes[[#This Row],[Type]]="Checklist",changes[[#This Row],[Type]]="checklist-flat"),1+IF(changes[[#This Row],[Type of change]] = "Edit",COUNTIFS($I$4:changes[[#This Row],[Name]],changes[[#This Row],[Name]], $E$4:changes[[#This Row],[Type of change]], "Edit")),B1592)</f>
        <v>2</v>
      </c>
      <c r="C1593" s="16">
        <v>44685</v>
      </c>
      <c r="D1593" s="1" t="s">
        <v>2452</v>
      </c>
      <c r="E1593" t="s">
        <v>15</v>
      </c>
      <c r="F1593" s="10" t="s">
        <v>9</v>
      </c>
      <c r="G1593" t="s">
        <v>417</v>
      </c>
      <c r="H1593" t="s">
        <v>437</v>
      </c>
      <c r="I1593" t="s">
        <v>419</v>
      </c>
      <c r="J1593" t="s">
        <v>1272</v>
      </c>
      <c r="K1593" s="2"/>
      <c r="M1593" s="2" t="s">
        <v>2785</v>
      </c>
    </row>
    <row r="1594" spans="1:13">
      <c r="A1594" t="s">
        <v>28</v>
      </c>
      <c r="B1594">
        <f ca="1">IF(OR(changes[[#This Row],[Type]]="Checklist",changes[[#This Row],[Type]]="checklist-flat"),1+IF(changes[[#This Row],[Type of change]] = "Edit",COUNTIFS($I$4:changes[[#This Row],[Name]],changes[[#This Row],[Name]], $E$4:changes[[#This Row],[Type of change]], "Edit")),B1593)</f>
        <v>2</v>
      </c>
      <c r="C1594" s="16">
        <v>44685</v>
      </c>
      <c r="D1594" s="1" t="s">
        <v>2452</v>
      </c>
      <c r="E1594" t="s">
        <v>15</v>
      </c>
      <c r="F1594" s="10" t="s">
        <v>9</v>
      </c>
      <c r="G1594" t="s">
        <v>417</v>
      </c>
      <c r="H1594" t="s">
        <v>420</v>
      </c>
      <c r="I1594" t="s">
        <v>421</v>
      </c>
      <c r="J1594" t="s">
        <v>1272</v>
      </c>
      <c r="K1594" s="2"/>
      <c r="M1594" s="2"/>
    </row>
    <row r="1595" spans="1:13">
      <c r="A1595" t="s">
        <v>28</v>
      </c>
      <c r="B1595">
        <f ca="1">IF(OR(changes[[#This Row],[Type]]="Checklist",changes[[#This Row],[Type]]="checklist-flat"),1+IF(changes[[#This Row],[Type of change]] = "Edit",COUNTIFS($I$4:changes[[#This Row],[Name]],changes[[#This Row],[Name]], $E$4:changes[[#This Row],[Type of change]], "Edit")),B1594)</f>
        <v>2</v>
      </c>
      <c r="C1595" s="16">
        <v>44685</v>
      </c>
      <c r="D1595" s="1" t="s">
        <v>2452</v>
      </c>
      <c r="E1595" t="s">
        <v>15</v>
      </c>
      <c r="F1595" s="10" t="s">
        <v>9</v>
      </c>
      <c r="G1595" t="s">
        <v>417</v>
      </c>
      <c r="H1595" t="s">
        <v>64</v>
      </c>
      <c r="I1595" t="s">
        <v>422</v>
      </c>
      <c r="K1595" s="2"/>
      <c r="M1595" s="2"/>
    </row>
    <row r="1596" spans="1:13">
      <c r="A1596" t="s">
        <v>28</v>
      </c>
      <c r="B1596">
        <f ca="1">IF(OR(changes[[#This Row],[Type]]="Checklist",changes[[#This Row],[Type]]="checklist-flat"),1+IF(changes[[#This Row],[Type of change]] = "Edit",COUNTIFS($I$4:changes[[#This Row],[Name]],changes[[#This Row],[Name]], $E$4:changes[[#This Row],[Type of change]], "Edit")),B1595)</f>
        <v>1</v>
      </c>
      <c r="C1596" s="16">
        <v>44700</v>
      </c>
      <c r="D1596" s="1" t="s">
        <v>2753</v>
      </c>
      <c r="E1596" t="s">
        <v>27</v>
      </c>
      <c r="F1596" s="10" t="s">
        <v>9</v>
      </c>
      <c r="G1596" t="s">
        <v>2005</v>
      </c>
      <c r="H1596" t="s">
        <v>54</v>
      </c>
      <c r="I1596" t="s">
        <v>2005</v>
      </c>
      <c r="K1596" s="2"/>
      <c r="M1596" s="2"/>
    </row>
    <row r="1597" spans="1:13">
      <c r="A1597" t="s">
        <v>28</v>
      </c>
      <c r="B1597">
        <f ca="1">IF(OR(changes[[#This Row],[Type]]="Checklist",changes[[#This Row],[Type]]="checklist-flat"),1+IF(changes[[#This Row],[Type of change]] = "Edit",COUNTIFS($I$4:changes[[#This Row],[Name]],changes[[#This Row],[Name]], $E$4:changes[[#This Row],[Type of change]], "Edit")),B1596)</f>
        <v>1</v>
      </c>
      <c r="C1597" s="16">
        <v>44700</v>
      </c>
      <c r="D1597" s="1" t="s">
        <v>2753</v>
      </c>
      <c r="E1597" t="s">
        <v>27</v>
      </c>
      <c r="F1597" s="10" t="s">
        <v>9</v>
      </c>
      <c r="G1597" t="s">
        <v>2005</v>
      </c>
      <c r="H1597" t="s">
        <v>55</v>
      </c>
      <c r="I1597" t="s">
        <v>2006</v>
      </c>
      <c r="K1597" s="2"/>
      <c r="M1597" s="2"/>
    </row>
    <row r="1598" spans="1:13">
      <c r="A1598" t="s">
        <v>28</v>
      </c>
      <c r="B1598">
        <f ca="1">IF(OR(changes[[#This Row],[Type]]="Checklist",changes[[#This Row],[Type]]="checklist-flat"),1+IF(changes[[#This Row],[Type of change]] = "Edit",COUNTIFS($I$4:changes[[#This Row],[Name]],changes[[#This Row],[Name]], $E$4:changes[[#This Row],[Type of change]], "Edit")),B1597)</f>
        <v>1</v>
      </c>
      <c r="C1598" s="16">
        <v>44700</v>
      </c>
      <c r="D1598" s="1" t="s">
        <v>2753</v>
      </c>
      <c r="E1598" t="s">
        <v>27</v>
      </c>
      <c r="F1598" s="10" t="s">
        <v>9</v>
      </c>
      <c r="G1598" t="s">
        <v>2005</v>
      </c>
      <c r="H1598" t="s">
        <v>55</v>
      </c>
      <c r="I1598" t="s">
        <v>1089</v>
      </c>
      <c r="K1598" s="2"/>
      <c r="M1598" s="2"/>
    </row>
    <row r="1599" spans="1:13">
      <c r="A1599" t="s">
        <v>28</v>
      </c>
      <c r="B1599">
        <f ca="1">IF(OR(changes[[#This Row],[Type]]="Checklist",changes[[#This Row],[Type]]="checklist-flat"),1+IF(changes[[#This Row],[Type of change]] = "Edit",COUNTIFS($I$4:changes[[#This Row],[Name]],changes[[#This Row],[Name]], $E$4:changes[[#This Row],[Type of change]], "Edit")),B1598)</f>
        <v>1</v>
      </c>
      <c r="C1599" s="16">
        <v>44700</v>
      </c>
      <c r="D1599" s="1" t="s">
        <v>2753</v>
      </c>
      <c r="E1599" t="s">
        <v>27</v>
      </c>
      <c r="F1599" s="10" t="s">
        <v>9</v>
      </c>
      <c r="G1599" t="s">
        <v>2005</v>
      </c>
      <c r="H1599" t="s">
        <v>55</v>
      </c>
      <c r="I1599" t="s">
        <v>1090</v>
      </c>
      <c r="K1599" s="2"/>
      <c r="M1599" s="2"/>
    </row>
    <row r="1600" spans="1:13">
      <c r="A1600" t="s">
        <v>28</v>
      </c>
      <c r="B1600">
        <f ca="1">IF(OR(changes[[#This Row],[Type]]="Checklist",changes[[#This Row],[Type]]="checklist-flat"),1+IF(changes[[#This Row],[Type of change]] = "Edit",COUNTIFS($I$4:changes[[#This Row],[Name]],changes[[#This Row],[Name]], $E$4:changes[[#This Row],[Type of change]], "Edit")),B1599)</f>
        <v>1</v>
      </c>
      <c r="C1600" s="16">
        <v>44700</v>
      </c>
      <c r="D1600" s="1" t="s">
        <v>2753</v>
      </c>
      <c r="E1600" t="s">
        <v>27</v>
      </c>
      <c r="F1600" s="10" t="s">
        <v>9</v>
      </c>
      <c r="G1600" t="s">
        <v>1087</v>
      </c>
      <c r="H1600" t="s">
        <v>54</v>
      </c>
      <c r="I1600" t="s">
        <v>1087</v>
      </c>
      <c r="K1600" s="2"/>
      <c r="M1600" s="2"/>
    </row>
    <row r="1601" spans="1:13">
      <c r="A1601" t="s">
        <v>28</v>
      </c>
      <c r="B1601">
        <f ca="1">IF(OR(changes[[#This Row],[Type]]="Checklist",changes[[#This Row],[Type]]="checklist-flat"),1+IF(changes[[#This Row],[Type of change]] = "Edit",COUNTIFS($I$4:changes[[#This Row],[Name]],changes[[#This Row],[Name]], $E$4:changes[[#This Row],[Type of change]], "Edit")),B1600)</f>
        <v>1</v>
      </c>
      <c r="C1601" s="16">
        <v>44700</v>
      </c>
      <c r="D1601" s="1" t="s">
        <v>2753</v>
      </c>
      <c r="E1601" t="s">
        <v>27</v>
      </c>
      <c r="F1601" s="10" t="s">
        <v>9</v>
      </c>
      <c r="G1601" t="s">
        <v>1087</v>
      </c>
      <c r="H1601" t="s">
        <v>55</v>
      </c>
      <c r="I1601" t="s">
        <v>1088</v>
      </c>
      <c r="K1601" s="2"/>
      <c r="M1601" s="2"/>
    </row>
    <row r="1602" spans="1:13">
      <c r="A1602" t="s">
        <v>28</v>
      </c>
      <c r="B1602">
        <f ca="1">IF(OR(changes[[#This Row],[Type]]="Checklist",changes[[#This Row],[Type]]="checklist-flat"),1+IF(changes[[#This Row],[Type of change]] = "Edit",COUNTIFS($I$4:changes[[#This Row],[Name]],changes[[#This Row],[Name]], $E$4:changes[[#This Row],[Type of change]], "Edit")),B1601)</f>
        <v>1</v>
      </c>
      <c r="C1602" s="16">
        <v>44700</v>
      </c>
      <c r="D1602" s="1" t="s">
        <v>2753</v>
      </c>
      <c r="E1602" t="s">
        <v>27</v>
      </c>
      <c r="F1602" s="10" t="s">
        <v>9</v>
      </c>
      <c r="G1602" t="s">
        <v>1087</v>
      </c>
      <c r="H1602" t="s">
        <v>55</v>
      </c>
      <c r="I1602" t="s">
        <v>1089</v>
      </c>
      <c r="K1602" s="2"/>
      <c r="M1602" s="2"/>
    </row>
    <row r="1603" spans="1:13">
      <c r="A1603" t="s">
        <v>28</v>
      </c>
      <c r="B1603">
        <f ca="1">IF(OR(changes[[#This Row],[Type]]="Checklist",changes[[#This Row],[Type]]="checklist-flat"),1+IF(changes[[#This Row],[Type of change]] = "Edit",COUNTIFS($I$4:changes[[#This Row],[Name]],changes[[#This Row],[Name]], $E$4:changes[[#This Row],[Type of change]], "Edit")),B1602)</f>
        <v>1</v>
      </c>
      <c r="C1603" s="16">
        <v>44700</v>
      </c>
      <c r="D1603" s="1" t="s">
        <v>2753</v>
      </c>
      <c r="E1603" t="s">
        <v>27</v>
      </c>
      <c r="F1603" s="10" t="s">
        <v>9</v>
      </c>
      <c r="G1603" t="s">
        <v>1087</v>
      </c>
      <c r="H1603" t="s">
        <v>55</v>
      </c>
      <c r="I1603" t="s">
        <v>1090</v>
      </c>
      <c r="K1603" s="2"/>
      <c r="M1603" s="2"/>
    </row>
    <row r="1604" spans="1:13">
      <c r="A1604" t="s">
        <v>28</v>
      </c>
      <c r="B1604">
        <f ca="1">IF(OR(changes[[#This Row],[Type]]="Checklist",changes[[#This Row],[Type]]="checklist-flat"),1+IF(changes[[#This Row],[Type of change]] = "Edit",COUNTIFS($I$4:changes[[#This Row],[Name]],changes[[#This Row],[Name]], $E$4:changes[[#This Row],[Type of change]], "Edit")),B1603)</f>
        <v>1</v>
      </c>
      <c r="C1604" s="16">
        <v>44700</v>
      </c>
      <c r="D1604" s="1" t="s">
        <v>2753</v>
      </c>
      <c r="E1604" t="s">
        <v>27</v>
      </c>
      <c r="F1604" s="10" t="s">
        <v>9</v>
      </c>
      <c r="G1604" t="s">
        <v>1087</v>
      </c>
      <c r="H1604" t="s">
        <v>55</v>
      </c>
      <c r="I1604" t="s">
        <v>1079</v>
      </c>
      <c r="K1604" s="2"/>
      <c r="M1604" s="2"/>
    </row>
    <row r="1605" spans="1:13">
      <c r="A1605" t="s">
        <v>28</v>
      </c>
      <c r="B1605">
        <f ca="1">IF(OR(changes[[#This Row],[Type]]="Checklist",changes[[#This Row],[Type]]="checklist-flat"),1+IF(changes[[#This Row],[Type of change]] = "Edit",COUNTIFS($I$4:changes[[#This Row],[Name]],changes[[#This Row],[Name]], $E$4:changes[[#This Row],[Type of change]], "Edit")),B1604)</f>
        <v>1</v>
      </c>
      <c r="C1605" s="16">
        <v>44700</v>
      </c>
      <c r="D1605" s="1" t="s">
        <v>2753</v>
      </c>
      <c r="E1605" t="s">
        <v>27</v>
      </c>
      <c r="F1605" s="10" t="s">
        <v>9</v>
      </c>
      <c r="G1605" t="s">
        <v>1087</v>
      </c>
      <c r="H1605" t="s">
        <v>55</v>
      </c>
      <c r="I1605" t="s">
        <v>1091</v>
      </c>
      <c r="K1605" s="2"/>
      <c r="M1605" s="2"/>
    </row>
    <row r="1606" spans="1:13">
      <c r="A1606" t="s">
        <v>28</v>
      </c>
      <c r="B1606">
        <f ca="1">IF(OR(changes[[#This Row],[Type]]="Checklist",changes[[#This Row],[Type]]="checklist-flat"),1+IF(changes[[#This Row],[Type of change]] = "Edit",COUNTIFS($I$4:changes[[#This Row],[Name]],changes[[#This Row],[Name]], $E$4:changes[[#This Row],[Type of change]], "Edit")),B1605)</f>
        <v>1</v>
      </c>
      <c r="C1606" s="16">
        <v>44704</v>
      </c>
      <c r="D1606" s="1" t="s">
        <v>2427</v>
      </c>
      <c r="E1606" t="s">
        <v>27</v>
      </c>
      <c r="F1606" s="10" t="s">
        <v>9</v>
      </c>
      <c r="G1606" s="30" t="s">
        <v>1092</v>
      </c>
      <c r="H1606" s="30" t="s">
        <v>478</v>
      </c>
      <c r="I1606" s="30" t="s">
        <v>1092</v>
      </c>
      <c r="J1606" s="35"/>
      <c r="K1606" s="2"/>
      <c r="M1606" s="2"/>
    </row>
    <row r="1607" spans="1:13">
      <c r="A1607" t="s">
        <v>28</v>
      </c>
      <c r="B1607">
        <f ca="1">IF(OR(changes[[#This Row],[Type]]="Checklist",changes[[#This Row],[Type]]="checklist-flat"),1+IF(changes[[#This Row],[Type of change]] = "Edit",COUNTIFS($I$4:changes[[#This Row],[Name]],changes[[#This Row],[Name]], $E$4:changes[[#This Row],[Type of change]], "Edit")),B1606)</f>
        <v>1</v>
      </c>
      <c r="C1607" s="16">
        <v>44704</v>
      </c>
      <c r="D1607" s="1" t="s">
        <v>2427</v>
      </c>
      <c r="E1607" t="s">
        <v>27</v>
      </c>
      <c r="F1607" s="10" t="s">
        <v>9</v>
      </c>
      <c r="G1607" s="30" t="s">
        <v>1092</v>
      </c>
      <c r="H1607" t="s">
        <v>55</v>
      </c>
      <c r="I1607" t="s">
        <v>1093</v>
      </c>
      <c r="K1607" s="2"/>
      <c r="M1607" s="2"/>
    </row>
    <row r="1608" spans="1:13">
      <c r="A1608" t="s">
        <v>28</v>
      </c>
      <c r="B1608">
        <f ca="1">IF(OR(changes[[#This Row],[Type]]="Checklist",changes[[#This Row],[Type]]="checklist-flat"),1+IF(changes[[#This Row],[Type of change]] = "Edit",COUNTIFS($I$4:changes[[#This Row],[Name]],changes[[#This Row],[Name]], $E$4:changes[[#This Row],[Type of change]], "Edit")),B1607)</f>
        <v>1</v>
      </c>
      <c r="C1608" s="16">
        <v>44704</v>
      </c>
      <c r="D1608" s="1" t="s">
        <v>2427</v>
      </c>
      <c r="E1608" t="s">
        <v>27</v>
      </c>
      <c r="F1608" s="10" t="s">
        <v>9</v>
      </c>
      <c r="G1608" s="30" t="s">
        <v>1092</v>
      </c>
      <c r="H1608" t="s">
        <v>55</v>
      </c>
      <c r="I1608" t="s">
        <v>1094</v>
      </c>
      <c r="K1608" s="2"/>
      <c r="M1608" s="2"/>
    </row>
    <row r="1609" spans="1:13">
      <c r="A1609" t="s">
        <v>28</v>
      </c>
      <c r="B1609">
        <f ca="1">IF(OR(changes[[#This Row],[Type]]="Checklist",changes[[#This Row],[Type]]="checklist-flat"),1+IF(changes[[#This Row],[Type of change]] = "Edit",COUNTIFS($I$4:changes[[#This Row],[Name]],changes[[#This Row],[Name]], $E$4:changes[[#This Row],[Type of change]], "Edit")),B1608)</f>
        <v>1</v>
      </c>
      <c r="C1609" s="16">
        <v>44704</v>
      </c>
      <c r="D1609" s="1" t="s">
        <v>2427</v>
      </c>
      <c r="E1609" t="s">
        <v>27</v>
      </c>
      <c r="F1609" s="10" t="s">
        <v>9</v>
      </c>
      <c r="G1609" s="30" t="s">
        <v>1092</v>
      </c>
      <c r="H1609" t="s">
        <v>55</v>
      </c>
      <c r="I1609" t="s">
        <v>1095</v>
      </c>
      <c r="K1609" s="2"/>
      <c r="M1609" s="2"/>
    </row>
    <row r="1610" spans="1:13">
      <c r="A1610" t="s">
        <v>28</v>
      </c>
      <c r="B1610">
        <f ca="1">IF(OR(changes[[#This Row],[Type]]="Checklist",changes[[#This Row],[Type]]="checklist-flat"),1+IF(changes[[#This Row],[Type of change]] = "Edit",COUNTIFS($I$4:changes[[#This Row],[Name]],changes[[#This Row],[Name]], $E$4:changes[[#This Row],[Type of change]], "Edit")),B1609)</f>
        <v>1</v>
      </c>
      <c r="C1610" s="16">
        <v>44704</v>
      </c>
      <c r="D1610" s="1" t="s">
        <v>2427</v>
      </c>
      <c r="E1610" t="s">
        <v>27</v>
      </c>
      <c r="F1610" s="10" t="s">
        <v>9</v>
      </c>
      <c r="G1610" s="30" t="s">
        <v>1092</v>
      </c>
      <c r="H1610" t="s">
        <v>55</v>
      </c>
      <c r="I1610" t="s">
        <v>1096</v>
      </c>
      <c r="K1610" s="2"/>
      <c r="M1610" s="2"/>
    </row>
    <row r="1611" spans="1:13">
      <c r="A1611" t="s">
        <v>28</v>
      </c>
      <c r="B1611">
        <f ca="1">IF(OR(changes[[#This Row],[Type]]="Checklist",changes[[#This Row],[Type]]="checklist-flat"),1+IF(changes[[#This Row],[Type of change]] = "Edit",COUNTIFS($I$4:changes[[#This Row],[Name]],changes[[#This Row],[Name]], $E$4:changes[[#This Row],[Type of change]], "Edit")),B1610)</f>
        <v>1</v>
      </c>
      <c r="C1611" s="16">
        <v>44704</v>
      </c>
      <c r="D1611" s="1" t="s">
        <v>2427</v>
      </c>
      <c r="E1611" t="s">
        <v>27</v>
      </c>
      <c r="F1611" s="10" t="s">
        <v>9</v>
      </c>
      <c r="G1611" s="30" t="s">
        <v>1092</v>
      </c>
      <c r="H1611" t="s">
        <v>55</v>
      </c>
      <c r="I1611" t="s">
        <v>1098</v>
      </c>
      <c r="K1611" s="2"/>
      <c r="M1611" s="2"/>
    </row>
    <row r="1612" spans="1:13">
      <c r="A1612" t="s">
        <v>28</v>
      </c>
      <c r="B1612">
        <f ca="1">IF(OR(changes[[#This Row],[Type]]="Checklist",changes[[#This Row],[Type]]="checklist-flat"),1+IF(changes[[#This Row],[Type of change]] = "Edit",COUNTIFS($I$4:changes[[#This Row],[Name]],changes[[#This Row],[Name]], $E$4:changes[[#This Row],[Type of change]], "Edit")),B1611)</f>
        <v>1</v>
      </c>
      <c r="C1612" s="16">
        <v>44704</v>
      </c>
      <c r="D1612" s="1" t="s">
        <v>2427</v>
      </c>
      <c r="E1612" t="s">
        <v>27</v>
      </c>
      <c r="F1612" s="10" t="s">
        <v>9</v>
      </c>
      <c r="G1612" s="30" t="s">
        <v>1092</v>
      </c>
      <c r="H1612" t="s">
        <v>55</v>
      </c>
      <c r="I1612" t="s">
        <v>1101</v>
      </c>
      <c r="K1612" s="2"/>
      <c r="M1612" s="2"/>
    </row>
    <row r="1613" spans="1:13">
      <c r="A1613" t="s">
        <v>28</v>
      </c>
      <c r="B1613">
        <f ca="1">IF(OR(changes[[#This Row],[Type]]="Checklist",changes[[#This Row],[Type]]="checklist-flat"),1+IF(changes[[#This Row],[Type of change]] = "Edit",COUNTIFS($I$4:changes[[#This Row],[Name]],changes[[#This Row],[Name]], $E$4:changes[[#This Row],[Type of change]], "Edit")),B1612)</f>
        <v>1</v>
      </c>
      <c r="C1613" s="16">
        <v>44704</v>
      </c>
      <c r="D1613" s="1" t="s">
        <v>2753</v>
      </c>
      <c r="E1613" t="s">
        <v>27</v>
      </c>
      <c r="F1613" s="10" t="s">
        <v>9</v>
      </c>
      <c r="G1613" t="s">
        <v>1135</v>
      </c>
      <c r="H1613" t="s">
        <v>54</v>
      </c>
      <c r="I1613" t="s">
        <v>1135</v>
      </c>
      <c r="K1613" s="2"/>
      <c r="M1613" s="2"/>
    </row>
    <row r="1614" spans="1:13">
      <c r="A1614" t="s">
        <v>28</v>
      </c>
      <c r="B1614">
        <f ca="1">IF(OR(changes[[#This Row],[Type]]="Checklist",changes[[#This Row],[Type]]="checklist-flat"),1+IF(changes[[#This Row],[Type of change]] = "Edit",COUNTIFS($I$4:changes[[#This Row],[Name]],changes[[#This Row],[Name]], $E$4:changes[[#This Row],[Type of change]], "Edit")),B1613)</f>
        <v>1</v>
      </c>
      <c r="C1614" s="16">
        <v>44704</v>
      </c>
      <c r="D1614" s="1" t="s">
        <v>2753</v>
      </c>
      <c r="E1614" t="s">
        <v>27</v>
      </c>
      <c r="F1614" s="10" t="s">
        <v>9</v>
      </c>
      <c r="G1614" t="s">
        <v>1135</v>
      </c>
      <c r="H1614" t="s">
        <v>55</v>
      </c>
      <c r="I1614" t="s">
        <v>1136</v>
      </c>
      <c r="K1614" s="2"/>
      <c r="M1614" s="2"/>
    </row>
    <row r="1615" spans="1:13">
      <c r="A1615" t="s">
        <v>28</v>
      </c>
      <c r="B1615">
        <f ca="1">IF(OR(changes[[#This Row],[Type]]="Checklist",changes[[#This Row],[Type]]="checklist-flat"),1+IF(changes[[#This Row],[Type of change]] = "Edit",COUNTIFS($I$4:changes[[#This Row],[Name]],changes[[#This Row],[Name]], $E$4:changes[[#This Row],[Type of change]], "Edit")),B1614)</f>
        <v>1</v>
      </c>
      <c r="C1615" s="16">
        <v>44704</v>
      </c>
      <c r="D1615" s="1" t="s">
        <v>2753</v>
      </c>
      <c r="E1615" t="s">
        <v>27</v>
      </c>
      <c r="F1615" s="10" t="s">
        <v>9</v>
      </c>
      <c r="G1615" t="s">
        <v>1135</v>
      </c>
      <c r="H1615" t="s">
        <v>55</v>
      </c>
      <c r="I1615" t="s">
        <v>1089</v>
      </c>
      <c r="K1615" s="2"/>
      <c r="M1615" s="2"/>
    </row>
    <row r="1616" spans="1:13">
      <c r="A1616" t="s">
        <v>28</v>
      </c>
      <c r="B1616">
        <f ca="1">IF(OR(changes[[#This Row],[Type]]="Checklist",changes[[#This Row],[Type]]="checklist-flat"),1+IF(changes[[#This Row],[Type of change]] = "Edit",COUNTIFS($I$4:changes[[#This Row],[Name]],changes[[#This Row],[Name]], $E$4:changes[[#This Row],[Type of change]], "Edit")),B1615)</f>
        <v>1</v>
      </c>
      <c r="C1616" s="16">
        <v>44704</v>
      </c>
      <c r="D1616" s="1" t="s">
        <v>2753</v>
      </c>
      <c r="E1616" t="s">
        <v>27</v>
      </c>
      <c r="F1616" s="10" t="s">
        <v>9</v>
      </c>
      <c r="G1616" t="s">
        <v>1135</v>
      </c>
      <c r="H1616" t="s">
        <v>55</v>
      </c>
      <c r="I1616" t="s">
        <v>1090</v>
      </c>
      <c r="K1616" s="2"/>
      <c r="M1616" s="2"/>
    </row>
    <row r="1617" spans="1:13">
      <c r="A1617" t="s">
        <v>28</v>
      </c>
      <c r="B1617">
        <f ca="1">IF(OR(changes[[#This Row],[Type]]="Checklist",changes[[#This Row],[Type]]="checklist-flat"),1+IF(changes[[#This Row],[Type of change]] = "Edit",COUNTIFS($I$4:changes[[#This Row],[Name]],changes[[#This Row],[Name]], $E$4:changes[[#This Row],[Type of change]], "Edit")),B1616)</f>
        <v>2</v>
      </c>
      <c r="C1617" s="16">
        <v>44706</v>
      </c>
      <c r="D1617" s="1" t="s">
        <v>2786</v>
      </c>
      <c r="E1617" t="s">
        <v>15</v>
      </c>
      <c r="F1617" s="10" t="s">
        <v>9</v>
      </c>
      <c r="G1617" t="s">
        <v>2787</v>
      </c>
      <c r="H1617" t="s">
        <v>54</v>
      </c>
      <c r="I1617" t="s">
        <v>2788</v>
      </c>
      <c r="K1617" s="2"/>
      <c r="M1617" s="2" t="s">
        <v>2789</v>
      </c>
    </row>
    <row r="1618" spans="1:13">
      <c r="A1618" t="s">
        <v>28</v>
      </c>
      <c r="B1618">
        <f ca="1">IF(OR(changes[[#This Row],[Type]]="Checklist",changes[[#This Row],[Type]]="checklist-flat"),1+IF(changes[[#This Row],[Type of change]] = "Edit",COUNTIFS($I$4:changes[[#This Row],[Name]],changes[[#This Row],[Name]], $E$4:changes[[#This Row],[Type of change]], "Edit")),B1617)</f>
        <v>2</v>
      </c>
      <c r="C1618" s="16">
        <v>44706</v>
      </c>
      <c r="D1618" s="1" t="s">
        <v>2786</v>
      </c>
      <c r="E1618" t="s">
        <v>15</v>
      </c>
      <c r="F1618" s="10" t="s">
        <v>9</v>
      </c>
      <c r="G1618" t="s">
        <v>2787</v>
      </c>
      <c r="H1618" t="s">
        <v>55</v>
      </c>
      <c r="I1618" t="s">
        <v>874</v>
      </c>
      <c r="K1618" s="2"/>
      <c r="M1618" s="2"/>
    </row>
    <row r="1619" spans="1:13">
      <c r="A1619" t="s">
        <v>28</v>
      </c>
      <c r="B1619">
        <f ca="1">IF(OR(changes[[#This Row],[Type]]="Checklist",changes[[#This Row],[Type]]="checklist-flat"),1+IF(changes[[#This Row],[Type of change]] = "Edit",COUNTIFS($I$4:changes[[#This Row],[Name]],changes[[#This Row],[Name]], $E$4:changes[[#This Row],[Type of change]], "Edit")),B1618)</f>
        <v>2</v>
      </c>
      <c r="C1619" s="16">
        <v>44706</v>
      </c>
      <c r="D1619" s="1" t="s">
        <v>2786</v>
      </c>
      <c r="E1619" t="s">
        <v>15</v>
      </c>
      <c r="F1619" s="10" t="s">
        <v>9</v>
      </c>
      <c r="G1619" t="s">
        <v>2787</v>
      </c>
      <c r="H1619" t="s">
        <v>55</v>
      </c>
      <c r="I1619" t="s">
        <v>875</v>
      </c>
      <c r="K1619" s="2"/>
      <c r="M1619" s="2"/>
    </row>
    <row r="1620" spans="1:13">
      <c r="A1620" t="s">
        <v>28</v>
      </c>
      <c r="B1620">
        <f ca="1">IF(OR(changes[[#This Row],[Type]]="Checklist",changes[[#This Row],[Type]]="checklist-flat"),1+IF(changes[[#This Row],[Type of change]] = "Edit",COUNTIFS($I$4:changes[[#This Row],[Name]],changes[[#This Row],[Name]], $E$4:changes[[#This Row],[Type of change]], "Edit")),B1619)</f>
        <v>2</v>
      </c>
      <c r="C1620" s="16">
        <v>44706</v>
      </c>
      <c r="D1620" s="1" t="s">
        <v>2786</v>
      </c>
      <c r="E1620" t="s">
        <v>15</v>
      </c>
      <c r="F1620" s="10" t="s">
        <v>9</v>
      </c>
      <c r="G1620" t="s">
        <v>2787</v>
      </c>
      <c r="H1620" t="s">
        <v>55</v>
      </c>
      <c r="I1620" t="s">
        <v>876</v>
      </c>
      <c r="K1620" s="2"/>
      <c r="M1620" s="2"/>
    </row>
    <row r="1621" spans="1:13">
      <c r="A1621" t="s">
        <v>28</v>
      </c>
      <c r="B1621">
        <f ca="1">IF(OR(changes[[#This Row],[Type]]="Checklist",changes[[#This Row],[Type]]="checklist-flat"),1+IF(changes[[#This Row],[Type of change]] = "Edit",COUNTIFS($I$4:changes[[#This Row],[Name]],changes[[#This Row],[Name]], $E$4:changes[[#This Row],[Type of change]], "Edit")),B1620)</f>
        <v>2</v>
      </c>
      <c r="C1621" s="16">
        <v>44706</v>
      </c>
      <c r="D1621" s="1" t="s">
        <v>2786</v>
      </c>
      <c r="E1621" t="s">
        <v>15</v>
      </c>
      <c r="F1621" s="10" t="s">
        <v>9</v>
      </c>
      <c r="G1621" t="s">
        <v>2787</v>
      </c>
      <c r="H1621" t="s">
        <v>55</v>
      </c>
      <c r="I1621" t="s">
        <v>877</v>
      </c>
      <c r="K1621" s="2"/>
      <c r="M1621" s="2"/>
    </row>
    <row r="1622" spans="1:13">
      <c r="A1622" t="s">
        <v>28</v>
      </c>
      <c r="B1622">
        <f ca="1">IF(OR(changes[[#This Row],[Type]]="Checklist",changes[[#This Row],[Type]]="checklist-flat"),1+IF(changes[[#This Row],[Type of change]] = "Edit",COUNTIFS($I$4:changes[[#This Row],[Name]],changes[[#This Row],[Name]], $E$4:changes[[#This Row],[Type of change]], "Edit")),B1621)</f>
        <v>2</v>
      </c>
      <c r="C1622" s="16">
        <v>44706</v>
      </c>
      <c r="D1622" s="1" t="s">
        <v>2786</v>
      </c>
      <c r="E1622" t="s">
        <v>15</v>
      </c>
      <c r="F1622" s="10" t="s">
        <v>9</v>
      </c>
      <c r="G1622" t="s">
        <v>2787</v>
      </c>
      <c r="H1622" t="s">
        <v>55</v>
      </c>
      <c r="I1622" t="s">
        <v>878</v>
      </c>
      <c r="K1622" s="2"/>
      <c r="M1622" s="2"/>
    </row>
    <row r="1623" spans="1:13">
      <c r="A1623" t="s">
        <v>28</v>
      </c>
      <c r="B1623">
        <f ca="1">IF(OR(changes[[#This Row],[Type]]="Checklist",changes[[#This Row],[Type]]="checklist-flat"),1+IF(changes[[#This Row],[Type of change]] = "Edit",COUNTIFS($I$4:changes[[#This Row],[Name]],changes[[#This Row],[Name]], $E$4:changes[[#This Row],[Type of change]], "Edit")),B1622)</f>
        <v>2</v>
      </c>
      <c r="C1623" s="16">
        <v>44706</v>
      </c>
      <c r="D1623" s="1" t="s">
        <v>2786</v>
      </c>
      <c r="E1623" t="s">
        <v>15</v>
      </c>
      <c r="F1623" s="10" t="s">
        <v>9</v>
      </c>
      <c r="G1623" t="s">
        <v>2787</v>
      </c>
      <c r="H1623" t="s">
        <v>55</v>
      </c>
      <c r="I1623" t="s">
        <v>879</v>
      </c>
      <c r="K1623" s="2"/>
      <c r="M1623" s="2"/>
    </row>
    <row r="1624" spans="1:13">
      <c r="A1624" t="s">
        <v>28</v>
      </c>
      <c r="B1624">
        <f ca="1">IF(OR(changes[[#This Row],[Type]]="Checklist",changes[[#This Row],[Type]]="checklist-flat"),1+IF(changes[[#This Row],[Type of change]] = "Edit",COUNTIFS($I$4:changes[[#This Row],[Name]],changes[[#This Row],[Name]], $E$4:changes[[#This Row],[Type of change]], "Edit")),B1623)</f>
        <v>2</v>
      </c>
      <c r="C1624" s="16">
        <v>44706</v>
      </c>
      <c r="D1624" s="1" t="s">
        <v>2786</v>
      </c>
      <c r="E1624" t="s">
        <v>15</v>
      </c>
      <c r="F1624" s="10" t="s">
        <v>9</v>
      </c>
      <c r="G1624" t="s">
        <v>2787</v>
      </c>
      <c r="H1624" t="s">
        <v>55</v>
      </c>
      <c r="I1624" t="s">
        <v>779</v>
      </c>
      <c r="K1624" s="2"/>
      <c r="M1624" s="2"/>
    </row>
    <row r="1625" spans="1:13">
      <c r="A1625" t="s">
        <v>28</v>
      </c>
      <c r="B1625">
        <f ca="1">IF(OR(changes[[#This Row],[Type]]="Checklist",changes[[#This Row],[Type]]="checklist-flat"),1+IF(changes[[#This Row],[Type of change]] = "Edit",COUNTIFS($I$4:changes[[#This Row],[Name]],changes[[#This Row],[Name]], $E$4:changes[[#This Row],[Type of change]], "Edit")),B1624)</f>
        <v>2</v>
      </c>
      <c r="C1625" s="16">
        <v>44706</v>
      </c>
      <c r="D1625" s="1" t="s">
        <v>2786</v>
      </c>
      <c r="E1625" t="s">
        <v>15</v>
      </c>
      <c r="F1625" s="10" t="s">
        <v>9</v>
      </c>
      <c r="G1625" t="s">
        <v>2787</v>
      </c>
      <c r="H1625" t="s">
        <v>55</v>
      </c>
      <c r="I1625" t="s">
        <v>880</v>
      </c>
      <c r="K1625" s="2"/>
      <c r="M1625" s="2"/>
    </row>
    <row r="1626" spans="1:13">
      <c r="A1626" t="s">
        <v>28</v>
      </c>
      <c r="B1626">
        <f ca="1">IF(OR(changes[[#This Row],[Type]]="Checklist",changes[[#This Row],[Type]]="checklist-flat"),1+IF(changes[[#This Row],[Type of change]] = "Edit",COUNTIFS($I$4:changes[[#This Row],[Name]],changes[[#This Row],[Name]], $E$4:changes[[#This Row],[Type of change]], "Edit")),B1625)</f>
        <v>2</v>
      </c>
      <c r="C1626" s="16">
        <v>44706</v>
      </c>
      <c r="D1626" s="1" t="s">
        <v>2786</v>
      </c>
      <c r="E1626" t="s">
        <v>15</v>
      </c>
      <c r="F1626" s="10" t="s">
        <v>9</v>
      </c>
      <c r="G1626" t="s">
        <v>2787</v>
      </c>
      <c r="H1626" t="s">
        <v>55</v>
      </c>
      <c r="I1626" t="s">
        <v>881</v>
      </c>
      <c r="K1626" s="2"/>
      <c r="M1626" s="2"/>
    </row>
    <row r="1627" spans="1:13">
      <c r="A1627" t="s">
        <v>28</v>
      </c>
      <c r="B1627">
        <f ca="1">IF(OR(changes[[#This Row],[Type]]="Checklist",changes[[#This Row],[Type]]="checklist-flat"),1+IF(changes[[#This Row],[Type of change]] = "Edit",COUNTIFS($I$4:changes[[#This Row],[Name]],changes[[#This Row],[Name]], $E$4:changes[[#This Row],[Type of change]], "Edit")),B1626)</f>
        <v>1</v>
      </c>
      <c r="C1627" s="16">
        <v>44706</v>
      </c>
      <c r="D1627" s="1" t="s">
        <v>2760</v>
      </c>
      <c r="E1627" t="s">
        <v>27</v>
      </c>
      <c r="F1627" s="10" t="s">
        <v>9</v>
      </c>
      <c r="G1627" s="10" t="s">
        <v>1757</v>
      </c>
      <c r="H1627" t="s">
        <v>54</v>
      </c>
      <c r="I1627" s="10" t="s">
        <v>1757</v>
      </c>
      <c r="K1627" s="2"/>
      <c r="L1627">
        <v>1</v>
      </c>
      <c r="M1627" s="2"/>
    </row>
    <row r="1628" spans="1:13">
      <c r="A1628" t="s">
        <v>28</v>
      </c>
      <c r="B1628">
        <f ca="1">IF(OR(changes[[#This Row],[Type]]="Checklist",changes[[#This Row],[Type]]="checklist-flat"),1+IF(changes[[#This Row],[Type of change]] = "Edit",COUNTIFS($I$4:changes[[#This Row],[Name]],changes[[#This Row],[Name]], $E$4:changes[[#This Row],[Type of change]], "Edit")),B1627)</f>
        <v>1</v>
      </c>
      <c r="C1628" s="16">
        <v>44706</v>
      </c>
      <c r="D1628" s="1" t="s">
        <v>2760</v>
      </c>
      <c r="E1628" t="s">
        <v>27</v>
      </c>
      <c r="F1628" s="10" t="s">
        <v>9</v>
      </c>
      <c r="G1628" s="10" t="s">
        <v>1757</v>
      </c>
      <c r="H1628" t="s">
        <v>55</v>
      </c>
      <c r="I1628" t="s">
        <v>1758</v>
      </c>
      <c r="K1628" s="2"/>
      <c r="M1628" s="2"/>
    </row>
    <row r="1629" spans="1:13">
      <c r="A1629" t="s">
        <v>28</v>
      </c>
      <c r="B1629">
        <f ca="1">IF(OR(changes[[#This Row],[Type]]="Checklist",changes[[#This Row],[Type]]="checklist-flat"),1+IF(changes[[#This Row],[Type of change]] = "Edit",COUNTIFS($I$4:changes[[#This Row],[Name]],changes[[#This Row],[Name]], $E$4:changes[[#This Row],[Type of change]], "Edit")),B1628)</f>
        <v>1</v>
      </c>
      <c r="C1629" s="16">
        <v>44706</v>
      </c>
      <c r="D1629" s="1" t="s">
        <v>2760</v>
      </c>
      <c r="E1629" t="s">
        <v>27</v>
      </c>
      <c r="F1629" s="10" t="s">
        <v>9</v>
      </c>
      <c r="G1629" s="10" t="s">
        <v>1757</v>
      </c>
      <c r="H1629" t="s">
        <v>214</v>
      </c>
      <c r="I1629" t="s">
        <v>569</v>
      </c>
      <c r="K1629" s="2"/>
      <c r="M1629" s="2"/>
    </row>
    <row r="1630" spans="1:13">
      <c r="A1630" t="s">
        <v>28</v>
      </c>
      <c r="B1630">
        <f ca="1">IF(OR(changes[[#This Row],[Type]]="Checklist",changes[[#This Row],[Type]]="checklist-flat"),1+IF(changes[[#This Row],[Type of change]] = "Edit",COUNTIFS($I$4:changes[[#This Row],[Name]],changes[[#This Row],[Name]], $E$4:changes[[#This Row],[Type of change]], "Edit")),B1629)</f>
        <v>1</v>
      </c>
      <c r="C1630" s="16">
        <v>44706</v>
      </c>
      <c r="D1630" s="1" t="s">
        <v>2760</v>
      </c>
      <c r="E1630" t="s">
        <v>27</v>
      </c>
      <c r="F1630" s="10" t="s">
        <v>9</v>
      </c>
      <c r="G1630" s="10" t="s">
        <v>1757</v>
      </c>
      <c r="H1630" t="s">
        <v>55</v>
      </c>
      <c r="I1630" t="s">
        <v>1759</v>
      </c>
      <c r="K1630" s="2"/>
      <c r="M1630" s="2"/>
    </row>
    <row r="1631" spans="1:13">
      <c r="A1631" t="s">
        <v>28</v>
      </c>
      <c r="B1631">
        <f ca="1">IF(OR(changes[[#This Row],[Type]]="Checklist",changes[[#This Row],[Type]]="checklist-flat"),1+IF(changes[[#This Row],[Type of change]] = "Edit",COUNTIFS($I$4:changes[[#This Row],[Name]],changes[[#This Row],[Name]], $E$4:changes[[#This Row],[Type of change]], "Edit")),B1630)</f>
        <v>1</v>
      </c>
      <c r="C1631" s="16">
        <v>44706</v>
      </c>
      <c r="D1631" s="1" t="s">
        <v>2760</v>
      </c>
      <c r="E1631" t="s">
        <v>27</v>
      </c>
      <c r="F1631" s="10" t="s">
        <v>9</v>
      </c>
      <c r="G1631" s="10" t="s">
        <v>1757</v>
      </c>
      <c r="H1631" t="s">
        <v>55</v>
      </c>
      <c r="I1631" t="s">
        <v>1760</v>
      </c>
      <c r="K1631" s="2"/>
      <c r="M1631" s="2"/>
    </row>
    <row r="1632" spans="1:13">
      <c r="A1632" t="s">
        <v>28</v>
      </c>
      <c r="B1632">
        <f ca="1">IF(OR(changes[[#This Row],[Type]]="Checklist",changes[[#This Row],[Type]]="checklist-flat"),1+IF(changes[[#This Row],[Type of change]] = "Edit",COUNTIFS($I$4:changes[[#This Row],[Name]],changes[[#This Row],[Name]], $E$4:changes[[#This Row],[Type of change]], "Edit")),B1631)</f>
        <v>1</v>
      </c>
      <c r="C1632" s="16">
        <v>44706</v>
      </c>
      <c r="D1632" s="1" t="s">
        <v>2760</v>
      </c>
      <c r="E1632" t="s">
        <v>27</v>
      </c>
      <c r="F1632" s="10" t="s">
        <v>9</v>
      </c>
      <c r="G1632" s="10" t="s">
        <v>1757</v>
      </c>
      <c r="H1632" t="s">
        <v>55</v>
      </c>
      <c r="I1632" t="s">
        <v>1761</v>
      </c>
      <c r="K1632" s="2"/>
      <c r="M1632" s="2"/>
    </row>
    <row r="1633" spans="1:13">
      <c r="A1633" t="s">
        <v>28</v>
      </c>
      <c r="B1633">
        <f ca="1">IF(OR(changes[[#This Row],[Type]]="Checklist",changes[[#This Row],[Type]]="checklist-flat"),1+IF(changes[[#This Row],[Type of change]] = "Edit",COUNTIFS($I$4:changes[[#This Row],[Name]],changes[[#This Row],[Name]], $E$4:changes[[#This Row],[Type of change]], "Edit")),B1632)</f>
        <v>1</v>
      </c>
      <c r="C1633" s="16">
        <v>44706</v>
      </c>
      <c r="D1633" s="1" t="s">
        <v>2760</v>
      </c>
      <c r="E1633" t="s">
        <v>27</v>
      </c>
      <c r="F1633" s="10" t="s">
        <v>9</v>
      </c>
      <c r="G1633" s="10" t="s">
        <v>1757</v>
      </c>
      <c r="H1633" t="s">
        <v>55</v>
      </c>
      <c r="I1633" t="s">
        <v>2790</v>
      </c>
      <c r="K1633" s="2"/>
      <c r="M1633" s="2"/>
    </row>
    <row r="1634" spans="1:13">
      <c r="A1634" t="s">
        <v>28</v>
      </c>
      <c r="B1634">
        <f ca="1">IF(OR(changes[[#This Row],[Type]]="Checklist",changes[[#This Row],[Type]]="checklist-flat"),1+IF(changes[[#This Row],[Type of change]] = "Edit",COUNTIFS($I$4:changes[[#This Row],[Name]],changes[[#This Row],[Name]], $E$4:changes[[#This Row],[Type of change]], "Edit")),B1633)</f>
        <v>1</v>
      </c>
      <c r="C1634" s="16">
        <v>44706</v>
      </c>
      <c r="D1634" s="1" t="s">
        <v>2760</v>
      </c>
      <c r="E1634" t="s">
        <v>27</v>
      </c>
      <c r="F1634" s="10" t="s">
        <v>9</v>
      </c>
      <c r="G1634" s="10" t="s">
        <v>1757</v>
      </c>
      <c r="H1634" t="s">
        <v>55</v>
      </c>
      <c r="I1634" t="s">
        <v>1763</v>
      </c>
      <c r="K1634" s="2"/>
      <c r="M1634" s="2"/>
    </row>
    <row r="1635" spans="1:13">
      <c r="A1635" t="s">
        <v>28</v>
      </c>
      <c r="B1635">
        <f ca="1">IF(OR(changes[[#This Row],[Type]]="Checklist",changes[[#This Row],[Type]]="checklist-flat"),1+IF(changes[[#This Row],[Type of change]] = "Edit",COUNTIFS($I$4:changes[[#This Row],[Name]],changes[[#This Row],[Name]], $E$4:changes[[#This Row],[Type of change]], "Edit")),B1634)</f>
        <v>1</v>
      </c>
      <c r="C1635" s="16">
        <v>44706</v>
      </c>
      <c r="D1635" s="1" t="s">
        <v>2760</v>
      </c>
      <c r="E1635" t="s">
        <v>27</v>
      </c>
      <c r="F1635" s="10" t="s">
        <v>9</v>
      </c>
      <c r="G1635" s="10" t="s">
        <v>1757</v>
      </c>
      <c r="H1635" t="s">
        <v>214</v>
      </c>
      <c r="I1635" t="s">
        <v>1764</v>
      </c>
      <c r="K1635" s="2"/>
      <c r="M1635" s="2"/>
    </row>
    <row r="1636" spans="1:13">
      <c r="A1636" t="s">
        <v>28</v>
      </c>
      <c r="B1636">
        <f ca="1">IF(OR(changes[[#This Row],[Type]]="Checklist",changes[[#This Row],[Type]]="checklist-flat"),1+IF(changes[[#This Row],[Type of change]] = "Edit",COUNTIFS($I$4:changes[[#This Row],[Name]],changes[[#This Row],[Name]], $E$4:changes[[#This Row],[Type of change]], "Edit")),B1635)</f>
        <v>1</v>
      </c>
      <c r="C1636" s="16">
        <v>44706</v>
      </c>
      <c r="D1636" s="1" t="s">
        <v>2760</v>
      </c>
      <c r="E1636" t="s">
        <v>27</v>
      </c>
      <c r="F1636" s="10" t="s">
        <v>9</v>
      </c>
      <c r="G1636" s="10" t="s">
        <v>1757</v>
      </c>
      <c r="H1636" t="s">
        <v>55</v>
      </c>
      <c r="I1636" t="s">
        <v>1765</v>
      </c>
      <c r="K1636" s="2"/>
      <c r="M1636" s="2"/>
    </row>
    <row r="1637" spans="1:13">
      <c r="A1637" t="s">
        <v>28</v>
      </c>
      <c r="B1637">
        <f ca="1">IF(OR(changes[[#This Row],[Type]]="Checklist",changes[[#This Row],[Type]]="checklist-flat"),1+IF(changes[[#This Row],[Type of change]] = "Edit",COUNTIFS($I$4:changes[[#This Row],[Name]],changes[[#This Row],[Name]], $E$4:changes[[#This Row],[Type of change]], "Edit")),B1636)</f>
        <v>1</v>
      </c>
      <c r="C1637" s="16">
        <v>44706</v>
      </c>
      <c r="D1637" s="1" t="s">
        <v>2760</v>
      </c>
      <c r="E1637" t="s">
        <v>27</v>
      </c>
      <c r="F1637" s="10" t="s">
        <v>9</v>
      </c>
      <c r="G1637" s="10" t="s">
        <v>1757</v>
      </c>
      <c r="H1637" t="s">
        <v>214</v>
      </c>
      <c r="I1637" t="s">
        <v>1766</v>
      </c>
      <c r="K1637" s="2"/>
      <c r="M1637" s="2"/>
    </row>
    <row r="1638" spans="1:13">
      <c r="A1638" t="s">
        <v>28</v>
      </c>
      <c r="B1638">
        <f ca="1">IF(OR(changes[[#This Row],[Type]]="Checklist",changes[[#This Row],[Type]]="checklist-flat"),1+IF(changes[[#This Row],[Type of change]] = "Edit",COUNTIFS($I$4:changes[[#This Row],[Name]],changes[[#This Row],[Name]], $E$4:changes[[#This Row],[Type of change]], "Edit")),B1637)</f>
        <v>1</v>
      </c>
      <c r="C1638" s="16">
        <v>44706</v>
      </c>
      <c r="D1638" s="1" t="s">
        <v>2760</v>
      </c>
      <c r="E1638" t="s">
        <v>27</v>
      </c>
      <c r="F1638" s="10" t="s">
        <v>9</v>
      </c>
      <c r="G1638" s="10" t="s">
        <v>1757</v>
      </c>
      <c r="H1638" t="s">
        <v>55</v>
      </c>
      <c r="I1638" t="s">
        <v>1767</v>
      </c>
      <c r="K1638" s="2"/>
      <c r="M1638" s="2"/>
    </row>
    <row r="1639" spans="1:13">
      <c r="A1639" t="s">
        <v>28</v>
      </c>
      <c r="B1639">
        <f ca="1">IF(OR(changes[[#This Row],[Type]]="Checklist",changes[[#This Row],[Type]]="checklist-flat"),1+IF(changes[[#This Row],[Type of change]] = "Edit",COUNTIFS($I$4:changes[[#This Row],[Name]],changes[[#This Row],[Name]], $E$4:changes[[#This Row],[Type of change]], "Edit")),B1638)</f>
        <v>1</v>
      </c>
      <c r="C1639" s="16">
        <v>44706</v>
      </c>
      <c r="D1639" s="1" t="s">
        <v>2760</v>
      </c>
      <c r="E1639" t="s">
        <v>27</v>
      </c>
      <c r="F1639" s="10" t="s">
        <v>9</v>
      </c>
      <c r="G1639" t="s">
        <v>2791</v>
      </c>
      <c r="H1639" t="s">
        <v>54</v>
      </c>
      <c r="I1639" t="s">
        <v>566</v>
      </c>
      <c r="K1639" s="2"/>
      <c r="L1639">
        <v>1</v>
      </c>
      <c r="M1639" s="2"/>
    </row>
    <row r="1640" spans="1:13">
      <c r="A1640" t="s">
        <v>28</v>
      </c>
      <c r="B1640">
        <f ca="1">IF(OR(changes[[#This Row],[Type]]="Checklist",changes[[#This Row],[Type]]="checklist-flat"),1+IF(changes[[#This Row],[Type of change]] = "Edit",COUNTIFS($I$4:changes[[#This Row],[Name]],changes[[#This Row],[Name]], $E$4:changes[[#This Row],[Type of change]], "Edit")),B1639)</f>
        <v>1</v>
      </c>
      <c r="C1640" s="16">
        <v>44706</v>
      </c>
      <c r="D1640" s="1" t="s">
        <v>2760</v>
      </c>
      <c r="E1640" t="s">
        <v>27</v>
      </c>
      <c r="F1640" s="10" t="s">
        <v>9</v>
      </c>
      <c r="G1640" t="s">
        <v>2792</v>
      </c>
      <c r="H1640" t="s">
        <v>55</v>
      </c>
      <c r="I1640" t="s">
        <v>567</v>
      </c>
      <c r="K1640" s="2"/>
      <c r="M1640" s="2"/>
    </row>
    <row r="1641" spans="1:13">
      <c r="A1641" t="s">
        <v>28</v>
      </c>
      <c r="B1641">
        <f ca="1">IF(OR(changes[[#This Row],[Type]]="Checklist",changes[[#This Row],[Type]]="checklist-flat"),1+IF(changes[[#This Row],[Type of change]] = "Edit",COUNTIFS($I$4:changes[[#This Row],[Name]],changes[[#This Row],[Name]], $E$4:changes[[#This Row],[Type of change]], "Edit")),B1640)</f>
        <v>1</v>
      </c>
      <c r="C1641" s="16">
        <v>44706</v>
      </c>
      <c r="D1641" s="1" t="s">
        <v>2760</v>
      </c>
      <c r="E1641" t="s">
        <v>27</v>
      </c>
      <c r="F1641" s="10" t="s">
        <v>9</v>
      </c>
      <c r="G1641" t="s">
        <v>2792</v>
      </c>
      <c r="H1641" t="s">
        <v>214</v>
      </c>
      <c r="I1641" t="s">
        <v>568</v>
      </c>
      <c r="K1641" s="2"/>
      <c r="M1641" s="2"/>
    </row>
    <row r="1642" spans="1:13">
      <c r="A1642" t="s">
        <v>28</v>
      </c>
      <c r="B1642">
        <f ca="1">IF(OR(changes[[#This Row],[Type]]="Checklist",changes[[#This Row],[Type]]="checklist-flat"),1+IF(changes[[#This Row],[Type of change]] = "Edit",COUNTIFS($I$4:changes[[#This Row],[Name]],changes[[#This Row],[Name]], $E$4:changes[[#This Row],[Type of change]], "Edit")),B1641)</f>
        <v>1</v>
      </c>
      <c r="C1642" s="16">
        <v>44706</v>
      </c>
      <c r="D1642" s="1" t="s">
        <v>2760</v>
      </c>
      <c r="E1642" t="s">
        <v>27</v>
      </c>
      <c r="F1642" s="10" t="s">
        <v>9</v>
      </c>
      <c r="G1642" t="s">
        <v>2792</v>
      </c>
      <c r="H1642" t="s">
        <v>214</v>
      </c>
      <c r="I1642" t="s">
        <v>569</v>
      </c>
      <c r="K1642" s="2"/>
      <c r="M1642" s="2"/>
    </row>
    <row r="1643" spans="1:13">
      <c r="A1643" t="s">
        <v>28</v>
      </c>
      <c r="B1643">
        <f ca="1">IF(OR(changes[[#This Row],[Type]]="Checklist",changes[[#This Row],[Type]]="checklist-flat"),1+IF(changes[[#This Row],[Type of change]] = "Edit",COUNTIFS($I$4:changes[[#This Row],[Name]],changes[[#This Row],[Name]], $E$4:changes[[#This Row],[Type of change]], "Edit")),B1642)</f>
        <v>1</v>
      </c>
      <c r="C1643" s="16">
        <v>44706</v>
      </c>
      <c r="D1643" s="1" t="s">
        <v>2760</v>
      </c>
      <c r="E1643" t="s">
        <v>27</v>
      </c>
      <c r="F1643" s="10" t="s">
        <v>9</v>
      </c>
      <c r="G1643" t="s">
        <v>2792</v>
      </c>
      <c r="H1643" t="s">
        <v>214</v>
      </c>
      <c r="I1643" t="s">
        <v>570</v>
      </c>
      <c r="K1643" s="2"/>
      <c r="M1643" s="2"/>
    </row>
    <row r="1644" spans="1:13">
      <c r="A1644" t="s">
        <v>28</v>
      </c>
      <c r="B1644">
        <f ca="1">IF(OR(changes[[#This Row],[Type]]="Checklist",changes[[#This Row],[Type]]="checklist-flat"),1+IF(changes[[#This Row],[Type of change]] = "Edit",COUNTIFS($I$4:changes[[#This Row],[Name]],changes[[#This Row],[Name]], $E$4:changes[[#This Row],[Type of change]], "Edit")),B1643)</f>
        <v>1</v>
      </c>
      <c r="C1644" s="16">
        <v>44706</v>
      </c>
      <c r="D1644" s="1" t="s">
        <v>2760</v>
      </c>
      <c r="E1644" t="s">
        <v>27</v>
      </c>
      <c r="F1644" s="10" t="s">
        <v>9</v>
      </c>
      <c r="G1644" t="s">
        <v>2792</v>
      </c>
      <c r="H1644" t="s">
        <v>214</v>
      </c>
      <c r="I1644" t="s">
        <v>571</v>
      </c>
      <c r="K1644" s="2"/>
      <c r="M1644" s="2"/>
    </row>
    <row r="1645" spans="1:13">
      <c r="A1645" t="s">
        <v>28</v>
      </c>
      <c r="B1645">
        <f ca="1">IF(OR(changes[[#This Row],[Type]]="Checklist",changes[[#This Row],[Type]]="checklist-flat"),1+IF(changes[[#This Row],[Type of change]] = "Edit",COUNTIFS($I$4:changes[[#This Row],[Name]],changes[[#This Row],[Name]], $E$4:changes[[#This Row],[Type of change]], "Edit")),B1644)</f>
        <v>1</v>
      </c>
      <c r="C1645" s="16">
        <v>44706</v>
      </c>
      <c r="D1645" s="1" t="s">
        <v>2760</v>
      </c>
      <c r="E1645" t="s">
        <v>27</v>
      </c>
      <c r="F1645" s="10" t="s">
        <v>9</v>
      </c>
      <c r="G1645" t="s">
        <v>2792</v>
      </c>
      <c r="H1645" t="s">
        <v>214</v>
      </c>
      <c r="I1645" t="s">
        <v>572</v>
      </c>
      <c r="K1645" s="2"/>
      <c r="M1645" s="2"/>
    </row>
    <row r="1646" spans="1:13">
      <c r="A1646" t="s">
        <v>28</v>
      </c>
      <c r="B1646">
        <f ca="1">IF(OR(changes[[#This Row],[Type]]="Checklist",changes[[#This Row],[Type]]="checklist-flat"),1+IF(changes[[#This Row],[Type of change]] = "Edit",COUNTIFS($I$4:changes[[#This Row],[Name]],changes[[#This Row],[Name]], $E$4:changes[[#This Row],[Type of change]], "Edit")),B1645)</f>
        <v>1</v>
      </c>
      <c r="C1646" s="16">
        <v>44706</v>
      </c>
      <c r="D1646" s="1" t="s">
        <v>2760</v>
      </c>
      <c r="E1646" t="s">
        <v>27</v>
      </c>
      <c r="F1646" s="10" t="s">
        <v>9</v>
      </c>
      <c r="G1646" t="s">
        <v>2792</v>
      </c>
      <c r="H1646" t="s">
        <v>214</v>
      </c>
      <c r="I1646" t="s">
        <v>573</v>
      </c>
      <c r="K1646" s="2"/>
      <c r="M1646" s="2"/>
    </row>
    <row r="1647" spans="1:13">
      <c r="A1647" t="s">
        <v>28</v>
      </c>
      <c r="B1647">
        <f ca="1">IF(OR(changes[[#This Row],[Type]]="Checklist",changes[[#This Row],[Type]]="checklist-flat"),1+IF(changes[[#This Row],[Type of change]] = "Edit",COUNTIFS($I$4:changes[[#This Row],[Name]],changes[[#This Row],[Name]], $E$4:changes[[#This Row],[Type of change]], "Edit")),B1646)</f>
        <v>1</v>
      </c>
      <c r="C1647" s="16">
        <v>44706</v>
      </c>
      <c r="D1647" s="1" t="s">
        <v>2760</v>
      </c>
      <c r="E1647" t="s">
        <v>27</v>
      </c>
      <c r="F1647" s="10" t="s">
        <v>9</v>
      </c>
      <c r="G1647" t="s">
        <v>2792</v>
      </c>
      <c r="H1647" t="s">
        <v>55</v>
      </c>
      <c r="I1647" t="s">
        <v>574</v>
      </c>
      <c r="K1647" s="2"/>
      <c r="M1647" s="2"/>
    </row>
    <row r="1648" spans="1:13">
      <c r="A1648" t="s">
        <v>28</v>
      </c>
      <c r="B1648">
        <f ca="1">IF(OR(changes[[#This Row],[Type]]="Checklist",changes[[#This Row],[Type]]="checklist-flat"),1+IF(changes[[#This Row],[Type of change]] = "Edit",COUNTIFS($I$4:changes[[#This Row],[Name]],changes[[#This Row],[Name]], $E$4:changes[[#This Row],[Type of change]], "Edit")),B1647)</f>
        <v>1</v>
      </c>
      <c r="C1648" s="16">
        <v>44706</v>
      </c>
      <c r="D1648" s="1" t="s">
        <v>2760</v>
      </c>
      <c r="E1648" t="s">
        <v>27</v>
      </c>
      <c r="F1648" s="10" t="s">
        <v>9</v>
      </c>
      <c r="G1648" t="s">
        <v>2792</v>
      </c>
      <c r="H1648" t="s">
        <v>55</v>
      </c>
      <c r="I1648" t="s">
        <v>575</v>
      </c>
      <c r="K1648" s="2"/>
      <c r="M1648" s="2"/>
    </row>
    <row r="1649" spans="1:13">
      <c r="A1649" t="s">
        <v>28</v>
      </c>
      <c r="B1649">
        <f ca="1">IF(OR(changes[[#This Row],[Type]]="Checklist",changes[[#This Row],[Type]]="checklist-flat"),1+IF(changes[[#This Row],[Type of change]] = "Edit",COUNTIFS($I$4:changes[[#This Row],[Name]],changes[[#This Row],[Name]], $E$4:changes[[#This Row],[Type of change]], "Edit")),B1648)</f>
        <v>1</v>
      </c>
      <c r="C1649" s="16">
        <v>44706</v>
      </c>
      <c r="D1649" s="1" t="s">
        <v>2760</v>
      </c>
      <c r="E1649" t="s">
        <v>27</v>
      </c>
      <c r="F1649" s="10" t="s">
        <v>9</v>
      </c>
      <c r="G1649" t="s">
        <v>2792</v>
      </c>
      <c r="H1649" t="s">
        <v>55</v>
      </c>
      <c r="I1649" t="s">
        <v>2793</v>
      </c>
      <c r="K1649" s="2"/>
      <c r="M1649" s="2"/>
    </row>
    <row r="1650" spans="1:13">
      <c r="A1650" t="s">
        <v>28</v>
      </c>
      <c r="B1650">
        <f ca="1">IF(OR(changes[[#This Row],[Type]]="Checklist",changes[[#This Row],[Type]]="checklist-flat"),1+IF(changes[[#This Row],[Type of change]] = "Edit",COUNTIFS($I$4:changes[[#This Row],[Name]],changes[[#This Row],[Name]], $E$4:changes[[#This Row],[Type of change]], "Edit")),B1649)</f>
        <v>1</v>
      </c>
      <c r="C1650" s="16">
        <v>44706</v>
      </c>
      <c r="D1650" s="1" t="s">
        <v>2760</v>
      </c>
      <c r="E1650" t="s">
        <v>27</v>
      </c>
      <c r="F1650" s="10" t="s">
        <v>9</v>
      </c>
      <c r="G1650" t="s">
        <v>2792</v>
      </c>
      <c r="H1650" t="s">
        <v>55</v>
      </c>
      <c r="I1650" t="s">
        <v>577</v>
      </c>
      <c r="K1650" s="2"/>
      <c r="M1650" s="2"/>
    </row>
    <row r="1651" spans="1:13">
      <c r="A1651" t="s">
        <v>28</v>
      </c>
      <c r="B1651">
        <f ca="1">IF(OR(changes[[#This Row],[Type]]="Checklist",changes[[#This Row],[Type]]="checklist-flat"),1+IF(changes[[#This Row],[Type of change]] = "Edit",COUNTIFS($I$4:changes[[#This Row],[Name]],changes[[#This Row],[Name]], $E$4:changes[[#This Row],[Type of change]], "Edit")),B1650)</f>
        <v>3</v>
      </c>
      <c r="C1651" s="16">
        <v>44719</v>
      </c>
      <c r="D1651" s="1" t="s">
        <v>2760</v>
      </c>
      <c r="E1651" t="s">
        <v>15</v>
      </c>
      <c r="F1651" s="10" t="s">
        <v>9</v>
      </c>
      <c r="G1651" t="s">
        <v>1993</v>
      </c>
      <c r="H1651" t="s">
        <v>478</v>
      </c>
      <c r="I1651" t="s">
        <v>1993</v>
      </c>
      <c r="K1651" s="2" t="s">
        <v>6</v>
      </c>
      <c r="L1651" t="s">
        <v>2794</v>
      </c>
      <c r="M1651" s="2"/>
    </row>
    <row r="1652" spans="1:13">
      <c r="A1652" t="s">
        <v>28</v>
      </c>
      <c r="B1652">
        <f ca="1">IF(OR(changes[[#This Row],[Type]]="Checklist",changes[[#This Row],[Type]]="checklist-flat"),1+IF(changes[[#This Row],[Type of change]] = "Edit",COUNTIFS($I$4:changes[[#This Row],[Name]],changes[[#This Row],[Name]], $E$4:changes[[#This Row],[Type of change]], "Edit")),B1651)</f>
        <v>3</v>
      </c>
      <c r="C1652" s="16">
        <v>44719</v>
      </c>
      <c r="D1652" s="16" t="s">
        <v>2760</v>
      </c>
      <c r="E1652" s="16" t="s">
        <v>15</v>
      </c>
      <c r="F1652" s="16" t="s">
        <v>9</v>
      </c>
      <c r="G1652" s="16" t="s">
        <v>1993</v>
      </c>
      <c r="H1652" s="16" t="s">
        <v>479</v>
      </c>
      <c r="I1652" s="16" t="s">
        <v>1982</v>
      </c>
      <c r="K1652" s="2" t="s">
        <v>6</v>
      </c>
      <c r="L1652" t="s">
        <v>2794</v>
      </c>
      <c r="M1652" s="2"/>
    </row>
    <row r="1653" spans="1:13">
      <c r="A1653" t="s">
        <v>28</v>
      </c>
      <c r="B1653">
        <f ca="1">IF(OR(changes[[#This Row],[Type]]="Checklist",changes[[#This Row],[Type]]="checklist-flat"),1+IF(changes[[#This Row],[Type of change]] = "Edit",COUNTIFS($I$4:changes[[#This Row],[Name]],changes[[#This Row],[Name]], $E$4:changes[[#This Row],[Type of change]], "Edit")),B1652)</f>
        <v>3</v>
      </c>
      <c r="C1653" s="16">
        <v>44719</v>
      </c>
      <c r="D1653" s="16" t="s">
        <v>2760</v>
      </c>
      <c r="E1653" s="16" t="s">
        <v>15</v>
      </c>
      <c r="F1653" s="16" t="s">
        <v>9</v>
      </c>
      <c r="G1653" s="16" t="s">
        <v>1993</v>
      </c>
      <c r="H1653" s="16" t="s">
        <v>55</v>
      </c>
      <c r="I1653" s="16" t="s">
        <v>2395</v>
      </c>
      <c r="K1653" s="2" t="s">
        <v>6</v>
      </c>
      <c r="L1653" t="s">
        <v>2794</v>
      </c>
      <c r="M1653" s="2"/>
    </row>
    <row r="1654" spans="1:13">
      <c r="A1654" t="s">
        <v>28</v>
      </c>
      <c r="B1654">
        <f ca="1">IF(OR(changes[[#This Row],[Type]]="Checklist",changes[[#This Row],[Type]]="checklist-flat"),1+IF(changes[[#This Row],[Type of change]] = "Edit",COUNTIFS($I$4:changes[[#This Row],[Name]],changes[[#This Row],[Name]], $E$4:changes[[#This Row],[Type of change]], "Edit")),B1653)</f>
        <v>3</v>
      </c>
      <c r="C1654" s="16">
        <v>44719</v>
      </c>
      <c r="D1654" s="16" t="s">
        <v>2760</v>
      </c>
      <c r="E1654" s="16" t="s">
        <v>15</v>
      </c>
      <c r="F1654" s="16" t="s">
        <v>9</v>
      </c>
      <c r="G1654" s="16" t="s">
        <v>1993</v>
      </c>
      <c r="H1654" s="16" t="s">
        <v>55</v>
      </c>
      <c r="I1654" s="16" t="s">
        <v>1995</v>
      </c>
      <c r="K1654" s="2" t="s">
        <v>6</v>
      </c>
      <c r="L1654" t="s">
        <v>2794</v>
      </c>
      <c r="M1654" s="2"/>
    </row>
    <row r="1655" spans="1:13">
      <c r="A1655" t="s">
        <v>28</v>
      </c>
      <c r="B1655">
        <f ca="1">IF(OR(changes[[#This Row],[Type]]="Checklist",changes[[#This Row],[Type]]="checklist-flat"),1+IF(changes[[#This Row],[Type of change]] = "Edit",COUNTIFS($I$4:changes[[#This Row],[Name]],changes[[#This Row],[Name]], $E$4:changes[[#This Row],[Type of change]], "Edit")),B1654)</f>
        <v>3</v>
      </c>
      <c r="C1655" s="16">
        <v>44719</v>
      </c>
      <c r="D1655" s="16" t="s">
        <v>2760</v>
      </c>
      <c r="E1655" s="16" t="s">
        <v>15</v>
      </c>
      <c r="F1655" s="16" t="s">
        <v>9</v>
      </c>
      <c r="G1655" s="16" t="s">
        <v>1993</v>
      </c>
      <c r="H1655" s="16" t="s">
        <v>55</v>
      </c>
      <c r="I1655" s="16" t="s">
        <v>1994</v>
      </c>
      <c r="K1655" s="2" t="s">
        <v>6</v>
      </c>
      <c r="L1655" t="s">
        <v>2794</v>
      </c>
      <c r="M1655" s="2" t="s">
        <v>2795</v>
      </c>
    </row>
    <row r="1656" spans="1:13">
      <c r="A1656" t="s">
        <v>28</v>
      </c>
      <c r="B1656">
        <f ca="1">IF(OR(changes[[#This Row],[Type]]="Checklist",changes[[#This Row],[Type]]="checklist-flat"),1+IF(changes[[#This Row],[Type of change]] = "Edit",COUNTIFS($I$4:changes[[#This Row],[Name]],changes[[#This Row],[Name]], $E$4:changes[[#This Row],[Type of change]], "Edit")),B1655)</f>
        <v>3</v>
      </c>
      <c r="C1656" s="16">
        <v>44719</v>
      </c>
      <c r="D1656" s="16" t="s">
        <v>2760</v>
      </c>
      <c r="E1656" s="16" t="s">
        <v>15</v>
      </c>
      <c r="F1656" s="16" t="s">
        <v>9</v>
      </c>
      <c r="G1656" s="16" t="s">
        <v>1993</v>
      </c>
      <c r="H1656" s="16" t="s">
        <v>479</v>
      </c>
      <c r="I1656" s="16" t="s">
        <v>1625</v>
      </c>
      <c r="K1656" s="2" t="s">
        <v>6</v>
      </c>
      <c r="L1656" t="s">
        <v>2794</v>
      </c>
      <c r="M1656" s="2"/>
    </row>
    <row r="1657" spans="1:13">
      <c r="A1657" t="s">
        <v>28</v>
      </c>
      <c r="B1657">
        <f ca="1">IF(OR(changes[[#This Row],[Type]]="Checklist",changes[[#This Row],[Type]]="checklist-flat"),1+IF(changes[[#This Row],[Type of change]] = "Edit",COUNTIFS($I$4:changes[[#This Row],[Name]],changes[[#This Row],[Name]], $E$4:changes[[#This Row],[Type of change]], "Edit")),B1656)</f>
        <v>3</v>
      </c>
      <c r="C1657" s="16">
        <v>44719</v>
      </c>
      <c r="D1657" s="16" t="s">
        <v>2760</v>
      </c>
      <c r="E1657" s="16" t="s">
        <v>15</v>
      </c>
      <c r="F1657" s="16" t="s">
        <v>9</v>
      </c>
      <c r="G1657" s="16" t="s">
        <v>1993</v>
      </c>
      <c r="H1657" s="16" t="s">
        <v>55</v>
      </c>
      <c r="I1657" s="16" t="s">
        <v>1996</v>
      </c>
      <c r="K1657" s="2" t="s">
        <v>6</v>
      </c>
      <c r="L1657" t="s">
        <v>2794</v>
      </c>
      <c r="M1657" s="2"/>
    </row>
    <row r="1658" spans="1:13">
      <c r="A1658" t="s">
        <v>28</v>
      </c>
      <c r="B1658">
        <f ca="1">IF(OR(changes[[#This Row],[Type]]="Checklist",changes[[#This Row],[Type]]="checklist-flat"),1+IF(changes[[#This Row],[Type of change]] = "Edit",COUNTIFS($I$4:changes[[#This Row],[Name]],changes[[#This Row],[Name]], $E$4:changes[[#This Row],[Type of change]], "Edit")),B1657)</f>
        <v>3</v>
      </c>
      <c r="C1658" s="16">
        <v>44719</v>
      </c>
      <c r="D1658" s="16" t="s">
        <v>2760</v>
      </c>
      <c r="E1658" s="16" t="s">
        <v>15</v>
      </c>
      <c r="F1658" s="16" t="s">
        <v>9</v>
      </c>
      <c r="G1658" s="16" t="s">
        <v>1993</v>
      </c>
      <c r="H1658" s="16" t="s">
        <v>55</v>
      </c>
      <c r="I1658" s="16" t="s">
        <v>1997</v>
      </c>
      <c r="K1658" s="2" t="s">
        <v>6</v>
      </c>
      <c r="L1658" t="s">
        <v>2794</v>
      </c>
      <c r="M1658" s="2"/>
    </row>
    <row r="1659" spans="1:13">
      <c r="A1659" t="s">
        <v>28</v>
      </c>
      <c r="B1659">
        <f ca="1">IF(OR(changes[[#This Row],[Type]]="Checklist",changes[[#This Row],[Type]]="checklist-flat"),1+IF(changes[[#This Row],[Type of change]] = "Edit",COUNTIFS($I$4:changes[[#This Row],[Name]],changes[[#This Row],[Name]], $E$4:changes[[#This Row],[Type of change]], "Edit")),B1658)</f>
        <v>3</v>
      </c>
      <c r="C1659" s="16">
        <v>44719</v>
      </c>
      <c r="D1659" s="16" t="s">
        <v>2760</v>
      </c>
      <c r="E1659" s="16" t="s">
        <v>15</v>
      </c>
      <c r="F1659" s="16" t="s">
        <v>9</v>
      </c>
      <c r="G1659" s="16" t="s">
        <v>1993</v>
      </c>
      <c r="H1659" s="16" t="s">
        <v>55</v>
      </c>
      <c r="I1659" s="16" t="s">
        <v>1998</v>
      </c>
      <c r="K1659" s="2" t="s">
        <v>6</v>
      </c>
      <c r="L1659" t="s">
        <v>2794</v>
      </c>
      <c r="M1659" s="2"/>
    </row>
    <row r="1660" spans="1:13">
      <c r="A1660" t="s">
        <v>28</v>
      </c>
      <c r="B1660">
        <f ca="1">IF(OR(changes[[#This Row],[Type]]="Checklist",changes[[#This Row],[Type]]="checklist-flat"),1+IF(changes[[#This Row],[Type of change]] = "Edit",COUNTIFS($I$4:changes[[#This Row],[Name]],changes[[#This Row],[Name]], $E$4:changes[[#This Row],[Type of change]], "Edit")),B1659)</f>
        <v>3</v>
      </c>
      <c r="C1660" s="16">
        <v>44719</v>
      </c>
      <c r="D1660" s="16" t="s">
        <v>2760</v>
      </c>
      <c r="E1660" s="16" t="s">
        <v>15</v>
      </c>
      <c r="F1660" s="16" t="s">
        <v>9</v>
      </c>
      <c r="G1660" s="16" t="s">
        <v>1993</v>
      </c>
      <c r="H1660" s="16" t="s">
        <v>55</v>
      </c>
      <c r="I1660" s="16" t="s">
        <v>1999</v>
      </c>
      <c r="K1660" s="2" t="s">
        <v>6</v>
      </c>
      <c r="L1660" t="s">
        <v>2794</v>
      </c>
      <c r="M1660" s="2"/>
    </row>
    <row r="1661" spans="1:13">
      <c r="A1661" t="s">
        <v>28</v>
      </c>
      <c r="B1661">
        <f ca="1">IF(OR(changes[[#This Row],[Type]]="Checklist",changes[[#This Row],[Type]]="checklist-flat"),1+IF(changes[[#This Row],[Type of change]] = "Edit",COUNTIFS($I$4:changes[[#This Row],[Name]],changes[[#This Row],[Name]], $E$4:changes[[#This Row],[Type of change]], "Edit")),B1660)</f>
        <v>2</v>
      </c>
      <c r="C1661" s="16">
        <v>44719</v>
      </c>
      <c r="D1661" s="16" t="s">
        <v>2760</v>
      </c>
      <c r="E1661" s="16" t="s">
        <v>15</v>
      </c>
      <c r="F1661" s="16" t="s">
        <v>9</v>
      </c>
      <c r="G1661" t="s">
        <v>1990</v>
      </c>
      <c r="H1661" t="s">
        <v>478</v>
      </c>
      <c r="I1661" t="s">
        <v>1990</v>
      </c>
      <c r="K1661" s="2" t="s">
        <v>6</v>
      </c>
      <c r="L1661" t="s">
        <v>2794</v>
      </c>
      <c r="M1661" s="2"/>
    </row>
    <row r="1662" spans="1:13">
      <c r="A1662" t="s">
        <v>28</v>
      </c>
      <c r="B1662">
        <f ca="1">IF(OR(changes[[#This Row],[Type]]="Checklist",changes[[#This Row],[Type]]="checklist-flat"),1+IF(changes[[#This Row],[Type of change]] = "Edit",COUNTIFS($I$4:changes[[#This Row],[Name]],changes[[#This Row],[Name]], $E$4:changes[[#This Row],[Type of change]], "Edit")),B1661)</f>
        <v>2</v>
      </c>
      <c r="C1662" s="16">
        <v>44719</v>
      </c>
      <c r="D1662" s="16" t="s">
        <v>2760</v>
      </c>
      <c r="E1662" s="16" t="s">
        <v>15</v>
      </c>
      <c r="F1662" s="16" t="s">
        <v>9</v>
      </c>
      <c r="G1662" t="s">
        <v>1990</v>
      </c>
      <c r="H1662" t="s">
        <v>479</v>
      </c>
      <c r="I1662" t="s">
        <v>1652</v>
      </c>
      <c r="K1662" s="2" t="s">
        <v>6</v>
      </c>
      <c r="L1662" t="s">
        <v>2794</v>
      </c>
      <c r="M1662" s="2"/>
    </row>
    <row r="1663" spans="1:13">
      <c r="A1663" t="s">
        <v>28</v>
      </c>
      <c r="B1663">
        <f ca="1">IF(OR(changes[[#This Row],[Type]]="Checklist",changes[[#This Row],[Type]]="checklist-flat"),1+IF(changes[[#This Row],[Type of change]] = "Edit",COUNTIFS($I$4:changes[[#This Row],[Name]],changes[[#This Row],[Name]], $E$4:changes[[#This Row],[Type of change]], "Edit")),B1662)</f>
        <v>2</v>
      </c>
      <c r="C1663" s="16">
        <v>44719</v>
      </c>
      <c r="D1663" s="16" t="s">
        <v>2760</v>
      </c>
      <c r="E1663" s="16" t="s">
        <v>15</v>
      </c>
      <c r="F1663" s="16" t="s">
        <v>9</v>
      </c>
      <c r="G1663" t="s">
        <v>1990</v>
      </c>
      <c r="H1663" t="s">
        <v>55</v>
      </c>
      <c r="I1663" t="s">
        <v>1875</v>
      </c>
      <c r="K1663" s="2" t="s">
        <v>6</v>
      </c>
      <c r="L1663" t="s">
        <v>2794</v>
      </c>
      <c r="M1663" s="2"/>
    </row>
    <row r="1664" spans="1:13">
      <c r="A1664" t="s">
        <v>28</v>
      </c>
      <c r="B1664">
        <f ca="1">IF(OR(changes[[#This Row],[Type]]="Checklist",changes[[#This Row],[Type]]="checklist-flat"),1+IF(changes[[#This Row],[Type of change]] = "Edit",COUNTIFS($I$4:changes[[#This Row],[Name]],changes[[#This Row],[Name]], $E$4:changes[[#This Row],[Type of change]], "Edit")),B1663)</f>
        <v>2</v>
      </c>
      <c r="C1664" s="16">
        <v>44719</v>
      </c>
      <c r="D1664" s="16" t="s">
        <v>2760</v>
      </c>
      <c r="E1664" s="16" t="s">
        <v>15</v>
      </c>
      <c r="F1664" s="16" t="s">
        <v>9</v>
      </c>
      <c r="G1664" t="s">
        <v>1990</v>
      </c>
      <c r="H1664" t="s">
        <v>55</v>
      </c>
      <c r="I1664" t="s">
        <v>1876</v>
      </c>
      <c r="K1664" s="2" t="s">
        <v>6</v>
      </c>
      <c r="L1664" t="s">
        <v>2794</v>
      </c>
      <c r="M1664" s="2"/>
    </row>
    <row r="1665" spans="1:13">
      <c r="A1665" t="s">
        <v>28</v>
      </c>
      <c r="B1665">
        <f ca="1">IF(OR(changes[[#This Row],[Type]]="Checklist",changes[[#This Row],[Type]]="checklist-flat"),1+IF(changes[[#This Row],[Type of change]] = "Edit",COUNTIFS($I$4:changes[[#This Row],[Name]],changes[[#This Row],[Name]], $E$4:changes[[#This Row],[Type of change]], "Edit")),B1664)</f>
        <v>2</v>
      </c>
      <c r="C1665" s="16">
        <v>44719</v>
      </c>
      <c r="D1665" s="16" t="s">
        <v>2760</v>
      </c>
      <c r="E1665" s="16" t="s">
        <v>15</v>
      </c>
      <c r="F1665" s="16" t="s">
        <v>9</v>
      </c>
      <c r="G1665" t="s">
        <v>1990</v>
      </c>
      <c r="H1665" t="s">
        <v>479</v>
      </c>
      <c r="I1665" t="s">
        <v>1877</v>
      </c>
      <c r="K1665" s="2" t="s">
        <v>6</v>
      </c>
      <c r="L1665" t="s">
        <v>2794</v>
      </c>
      <c r="M1665" s="2"/>
    </row>
    <row r="1666" spans="1:13">
      <c r="A1666" t="s">
        <v>28</v>
      </c>
      <c r="B1666">
        <f ca="1">IF(OR(changes[[#This Row],[Type]]="Checklist",changes[[#This Row],[Type]]="checklist-flat"),1+IF(changes[[#This Row],[Type of change]] = "Edit",COUNTIFS($I$4:changes[[#This Row],[Name]],changes[[#This Row],[Name]], $E$4:changes[[#This Row],[Type of change]], "Edit")),B1665)</f>
        <v>2</v>
      </c>
      <c r="C1666" s="16">
        <v>44719</v>
      </c>
      <c r="D1666" s="16" t="s">
        <v>2760</v>
      </c>
      <c r="E1666" s="16" t="s">
        <v>15</v>
      </c>
      <c r="F1666" s="16" t="s">
        <v>9</v>
      </c>
      <c r="G1666" t="s">
        <v>1990</v>
      </c>
      <c r="H1666" t="s">
        <v>55</v>
      </c>
      <c r="I1666" t="s">
        <v>1878</v>
      </c>
      <c r="K1666" s="2" t="s">
        <v>6</v>
      </c>
      <c r="L1666" t="s">
        <v>2794</v>
      </c>
      <c r="M1666" s="2"/>
    </row>
    <row r="1667" spans="1:13">
      <c r="A1667" t="s">
        <v>28</v>
      </c>
      <c r="B1667">
        <f ca="1">IF(OR(changes[[#This Row],[Type]]="Checklist",changes[[#This Row],[Type]]="checklist-flat"),1+IF(changes[[#This Row],[Type of change]] = "Edit",COUNTIFS($I$4:changes[[#This Row],[Name]],changes[[#This Row],[Name]], $E$4:changes[[#This Row],[Type of change]], "Edit")),B1666)</f>
        <v>2</v>
      </c>
      <c r="C1667" s="16">
        <v>44719</v>
      </c>
      <c r="D1667" s="16" t="s">
        <v>2760</v>
      </c>
      <c r="E1667" s="16" t="s">
        <v>15</v>
      </c>
      <c r="F1667" s="16" t="s">
        <v>9</v>
      </c>
      <c r="G1667" t="s">
        <v>1990</v>
      </c>
      <c r="H1667" t="s">
        <v>55</v>
      </c>
      <c r="I1667" t="s">
        <v>1879</v>
      </c>
      <c r="K1667" s="2" t="s">
        <v>6</v>
      </c>
      <c r="L1667" t="s">
        <v>2794</v>
      </c>
      <c r="M1667" s="2"/>
    </row>
    <row r="1668" spans="1:13">
      <c r="A1668" t="s">
        <v>28</v>
      </c>
      <c r="B1668">
        <f ca="1">IF(OR(changes[[#This Row],[Type]]="Checklist",changes[[#This Row],[Type]]="checklist-flat"),1+IF(changes[[#This Row],[Type of change]] = "Edit",COUNTIFS($I$4:changes[[#This Row],[Name]],changes[[#This Row],[Name]], $E$4:changes[[#This Row],[Type of change]], "Edit")),B1667)</f>
        <v>2</v>
      </c>
      <c r="C1668" s="16">
        <v>44719</v>
      </c>
      <c r="D1668" s="16" t="s">
        <v>2760</v>
      </c>
      <c r="E1668" s="16" t="s">
        <v>15</v>
      </c>
      <c r="F1668" s="16" t="s">
        <v>9</v>
      </c>
      <c r="G1668" t="s">
        <v>1990</v>
      </c>
      <c r="H1668" t="s">
        <v>55</v>
      </c>
      <c r="I1668" t="s">
        <v>1880</v>
      </c>
      <c r="K1668" s="2" t="s">
        <v>6</v>
      </c>
      <c r="L1668" t="s">
        <v>2794</v>
      </c>
      <c r="M1668" s="2"/>
    </row>
    <row r="1669" spans="1:13">
      <c r="A1669" t="s">
        <v>28</v>
      </c>
      <c r="B1669">
        <f ca="1">IF(OR(changes[[#This Row],[Type]]="Checklist",changes[[#This Row],[Type]]="checklist-flat"),1+IF(changes[[#This Row],[Type of change]] = "Edit",COUNTIFS($I$4:changes[[#This Row],[Name]],changes[[#This Row],[Name]], $E$4:changes[[#This Row],[Type of change]], "Edit")),B1668)</f>
        <v>2</v>
      </c>
      <c r="C1669" s="16">
        <v>44719</v>
      </c>
      <c r="D1669" s="16" t="s">
        <v>2760</v>
      </c>
      <c r="E1669" s="16" t="s">
        <v>15</v>
      </c>
      <c r="F1669" s="16" t="s">
        <v>9</v>
      </c>
      <c r="G1669" t="s">
        <v>1990</v>
      </c>
      <c r="H1669" t="s">
        <v>55</v>
      </c>
      <c r="I1669" t="s">
        <v>2796</v>
      </c>
      <c r="K1669" s="2" t="s">
        <v>6</v>
      </c>
      <c r="L1669" t="s">
        <v>2794</v>
      </c>
      <c r="M1669" s="2"/>
    </row>
    <row r="1670" spans="1:13">
      <c r="A1670" t="s">
        <v>28</v>
      </c>
      <c r="B1670">
        <f ca="1">IF(OR(changes[[#This Row],[Type]]="Checklist",changes[[#This Row],[Type]]="checklist-flat"),1+IF(changes[[#This Row],[Type of change]] = "Edit",COUNTIFS($I$4:changes[[#This Row],[Name]],changes[[#This Row],[Name]], $E$4:changes[[#This Row],[Type of change]], "Edit")),B1669)</f>
        <v>2</v>
      </c>
      <c r="C1670" s="16">
        <v>44719</v>
      </c>
      <c r="D1670" s="16" t="s">
        <v>2760</v>
      </c>
      <c r="E1670" s="16" t="s">
        <v>15</v>
      </c>
      <c r="F1670" s="16" t="s">
        <v>9</v>
      </c>
      <c r="G1670" t="s">
        <v>1990</v>
      </c>
      <c r="H1670" t="s">
        <v>55</v>
      </c>
      <c r="I1670" t="s">
        <v>1882</v>
      </c>
      <c r="K1670" s="2" t="s">
        <v>6</v>
      </c>
      <c r="L1670" t="s">
        <v>2794</v>
      </c>
      <c r="M1670" s="2"/>
    </row>
    <row r="1671" spans="1:13">
      <c r="A1671" t="s">
        <v>28</v>
      </c>
      <c r="B1671">
        <f ca="1">IF(OR(changes[[#This Row],[Type]]="Checklist",changes[[#This Row],[Type]]="checklist-flat"),1+IF(changes[[#This Row],[Type of change]] = "Edit",COUNTIFS($I$4:changes[[#This Row],[Name]],changes[[#This Row],[Name]], $E$4:changes[[#This Row],[Type of change]], "Edit")),B1670)</f>
        <v>2</v>
      </c>
      <c r="C1671" s="16">
        <v>44719</v>
      </c>
      <c r="D1671" s="16" t="s">
        <v>2760</v>
      </c>
      <c r="E1671" s="16" t="s">
        <v>15</v>
      </c>
      <c r="F1671" s="16" t="s">
        <v>9</v>
      </c>
      <c r="G1671" t="s">
        <v>1990</v>
      </c>
      <c r="H1671" t="s">
        <v>55</v>
      </c>
      <c r="I1671" t="s">
        <v>1679</v>
      </c>
      <c r="K1671" s="2" t="s">
        <v>6</v>
      </c>
      <c r="L1671" t="s">
        <v>2794</v>
      </c>
      <c r="M1671" s="2"/>
    </row>
    <row r="1672" spans="1:13">
      <c r="A1672" t="s">
        <v>28</v>
      </c>
      <c r="B1672">
        <f ca="1">IF(OR(changes[[#This Row],[Type]]="Checklist",changes[[#This Row],[Type]]="checklist-flat"),1+IF(changes[[#This Row],[Type of change]] = "Edit",COUNTIFS($I$4:changes[[#This Row],[Name]],changes[[#This Row],[Name]], $E$4:changes[[#This Row],[Type of change]], "Edit")),B1671)</f>
        <v>2</v>
      </c>
      <c r="C1672" s="16">
        <v>44719</v>
      </c>
      <c r="D1672" s="16" t="s">
        <v>2760</v>
      </c>
      <c r="E1672" s="16" t="s">
        <v>15</v>
      </c>
      <c r="F1672" s="16" t="s">
        <v>9</v>
      </c>
      <c r="G1672" t="s">
        <v>1990</v>
      </c>
      <c r="H1672" t="s">
        <v>479</v>
      </c>
      <c r="I1672" t="s">
        <v>1991</v>
      </c>
      <c r="K1672" s="2" t="s">
        <v>6</v>
      </c>
      <c r="L1672" t="s">
        <v>2794</v>
      </c>
      <c r="M1672" s="2"/>
    </row>
    <row r="1673" spans="1:13">
      <c r="A1673" t="s">
        <v>28</v>
      </c>
      <c r="B1673">
        <f ca="1">IF(OR(changes[[#This Row],[Type]]="Checklist",changes[[#This Row],[Type]]="checklist-flat"),1+IF(changes[[#This Row],[Type of change]] = "Edit",COUNTIFS($I$4:changes[[#This Row],[Name]],changes[[#This Row],[Name]], $E$4:changes[[#This Row],[Type of change]], "Edit")),B1672)</f>
        <v>2</v>
      </c>
      <c r="C1673" s="16">
        <v>44719</v>
      </c>
      <c r="D1673" s="16" t="s">
        <v>2760</v>
      </c>
      <c r="E1673" s="16" t="s">
        <v>15</v>
      </c>
      <c r="F1673" s="16" t="s">
        <v>9</v>
      </c>
      <c r="G1673" t="s">
        <v>1990</v>
      </c>
      <c r="H1673" t="s">
        <v>55</v>
      </c>
      <c r="I1673" t="s">
        <v>1992</v>
      </c>
      <c r="K1673" s="2" t="s">
        <v>6</v>
      </c>
      <c r="L1673" t="s">
        <v>2794</v>
      </c>
      <c r="M1673" s="2" t="s">
        <v>2797</v>
      </c>
    </row>
    <row r="1674" spans="1:13">
      <c r="A1674" t="s">
        <v>28</v>
      </c>
      <c r="B1674">
        <f ca="1">IF(OR(changes[[#This Row],[Type]]="Checklist",changes[[#This Row],[Type]]="checklist-flat"),1+IF(changes[[#This Row],[Type of change]] = "Edit",COUNTIFS($I$4:changes[[#This Row],[Name]],changes[[#This Row],[Name]], $E$4:changes[[#This Row],[Type of change]], "Edit")),B1673)</f>
        <v>2</v>
      </c>
      <c r="C1674" s="16">
        <v>44719</v>
      </c>
      <c r="D1674" s="16" t="s">
        <v>2760</v>
      </c>
      <c r="E1674" s="16" t="s">
        <v>15</v>
      </c>
      <c r="F1674" s="16" t="s">
        <v>9</v>
      </c>
      <c r="G1674" t="s">
        <v>1990</v>
      </c>
      <c r="H1674" t="s">
        <v>55</v>
      </c>
      <c r="I1674" t="s">
        <v>1685</v>
      </c>
      <c r="K1674" s="2" t="s">
        <v>6</v>
      </c>
      <c r="L1674" t="s">
        <v>2794</v>
      </c>
      <c r="M1674" s="2"/>
    </row>
    <row r="1675" spans="1:13">
      <c r="A1675" t="s">
        <v>28</v>
      </c>
      <c r="B1675">
        <f ca="1">IF(OR(changes[[#This Row],[Type]]="Checklist",changes[[#This Row],[Type]]="checklist-flat"),1+IF(changes[[#This Row],[Type of change]] = "Edit",COUNTIFS($I$4:changes[[#This Row],[Name]],changes[[#This Row],[Name]], $E$4:changes[[#This Row],[Type of change]], "Edit")),B1674)</f>
        <v>2</v>
      </c>
      <c r="C1675" s="16">
        <v>44719</v>
      </c>
      <c r="D1675" s="16" t="s">
        <v>2760</v>
      </c>
      <c r="E1675" s="16" t="s">
        <v>15</v>
      </c>
      <c r="F1675" s="16" t="s">
        <v>9</v>
      </c>
      <c r="G1675" t="s">
        <v>1990</v>
      </c>
      <c r="H1675" t="s">
        <v>99</v>
      </c>
      <c r="I1675" t="s">
        <v>1686</v>
      </c>
      <c r="K1675" s="2" t="s">
        <v>6</v>
      </c>
      <c r="L1675" t="s">
        <v>2794</v>
      </c>
      <c r="M1675" s="2"/>
    </row>
    <row r="1676" spans="1:13">
      <c r="A1676" t="s">
        <v>28</v>
      </c>
      <c r="B1676">
        <f ca="1">IF(OR(changes[[#This Row],[Type]]="Checklist",changes[[#This Row],[Type]]="checklist-flat"),1+IF(changes[[#This Row],[Type of change]] = "Edit",COUNTIFS($I$4:changes[[#This Row],[Name]],changes[[#This Row],[Name]], $E$4:changes[[#This Row],[Type of change]], "Edit")),B1675)</f>
        <v>2</v>
      </c>
      <c r="C1676" s="16">
        <v>44719</v>
      </c>
      <c r="D1676" s="16" t="s">
        <v>2760</v>
      </c>
      <c r="E1676" s="16" t="s">
        <v>15</v>
      </c>
      <c r="F1676" s="16" t="s">
        <v>9</v>
      </c>
      <c r="G1676" t="s">
        <v>1990</v>
      </c>
      <c r="H1676" t="s">
        <v>99</v>
      </c>
      <c r="I1676" t="s">
        <v>1687</v>
      </c>
      <c r="K1676" s="2" t="s">
        <v>6</v>
      </c>
      <c r="L1676" t="s">
        <v>2794</v>
      </c>
      <c r="M1676" s="2"/>
    </row>
    <row r="1677" spans="1:13">
      <c r="A1677" t="s">
        <v>28</v>
      </c>
      <c r="B1677">
        <f ca="1">IF(OR(changes[[#This Row],[Type]]="Checklist",changes[[#This Row],[Type]]="checklist-flat"),1+IF(changes[[#This Row],[Type of change]] = "Edit",COUNTIFS($I$4:changes[[#This Row],[Name]],changes[[#This Row],[Name]], $E$4:changes[[#This Row],[Type of change]], "Edit")),B1676)</f>
        <v>2</v>
      </c>
      <c r="C1677" s="16">
        <v>44719</v>
      </c>
      <c r="D1677" s="16" t="s">
        <v>2760</v>
      </c>
      <c r="E1677" s="16" t="s">
        <v>15</v>
      </c>
      <c r="F1677" s="16" t="s">
        <v>9</v>
      </c>
      <c r="G1677" t="s">
        <v>1990</v>
      </c>
      <c r="H1677" t="s">
        <v>99</v>
      </c>
      <c r="I1677" t="s">
        <v>1688</v>
      </c>
      <c r="K1677" s="2" t="s">
        <v>6</v>
      </c>
      <c r="L1677" t="s">
        <v>2794</v>
      </c>
      <c r="M1677" s="2"/>
    </row>
    <row r="1678" spans="1:13">
      <c r="A1678" t="s">
        <v>28</v>
      </c>
      <c r="B1678">
        <f ca="1">IF(OR(changes[[#This Row],[Type]]="Checklist",changes[[#This Row],[Type]]="checklist-flat"),1+IF(changes[[#This Row],[Type of change]] = "Edit",COUNTIFS($I$4:changes[[#This Row],[Name]],changes[[#This Row],[Name]], $E$4:changes[[#This Row],[Type of change]], "Edit")),B1677)</f>
        <v>2</v>
      </c>
      <c r="C1678" s="16">
        <v>44719</v>
      </c>
      <c r="D1678" s="16" t="s">
        <v>2760</v>
      </c>
      <c r="E1678" s="16" t="s">
        <v>15</v>
      </c>
      <c r="F1678" s="16" t="s">
        <v>9</v>
      </c>
      <c r="G1678" t="s">
        <v>1990</v>
      </c>
      <c r="H1678" t="s">
        <v>99</v>
      </c>
      <c r="I1678" t="s">
        <v>1689</v>
      </c>
      <c r="K1678" s="2" t="s">
        <v>6</v>
      </c>
      <c r="L1678" t="s">
        <v>2794</v>
      </c>
      <c r="M1678" s="2"/>
    </row>
    <row r="1679" spans="1:13">
      <c r="A1679" t="s">
        <v>28</v>
      </c>
      <c r="B1679">
        <f ca="1">IF(OR(changes[[#This Row],[Type]]="Checklist",changes[[#This Row],[Type]]="checklist-flat"),1+IF(changes[[#This Row],[Type of change]] = "Edit",COUNTIFS($I$4:changes[[#This Row],[Name]],changes[[#This Row],[Name]], $E$4:changes[[#This Row],[Type of change]], "Edit")),B1678)</f>
        <v>2</v>
      </c>
      <c r="C1679" s="16">
        <v>44719</v>
      </c>
      <c r="D1679" s="16" t="s">
        <v>2760</v>
      </c>
      <c r="E1679" s="16" t="s">
        <v>15</v>
      </c>
      <c r="F1679" s="16" t="s">
        <v>9</v>
      </c>
      <c r="G1679" t="s">
        <v>1990</v>
      </c>
      <c r="H1679" t="s">
        <v>55</v>
      </c>
      <c r="I1679" t="s">
        <v>1690</v>
      </c>
      <c r="K1679" s="2" t="s">
        <v>6</v>
      </c>
      <c r="L1679" t="s">
        <v>2794</v>
      </c>
      <c r="M1679" s="2"/>
    </row>
    <row r="1680" spans="1:13">
      <c r="A1680" t="s">
        <v>28</v>
      </c>
      <c r="B1680">
        <f ca="1">IF(OR(changes[[#This Row],[Type]]="Checklist",changes[[#This Row],[Type]]="checklist-flat"),1+IF(changes[[#This Row],[Type of change]] = "Edit",COUNTIFS($I$4:changes[[#This Row],[Name]],changes[[#This Row],[Name]], $E$4:changes[[#This Row],[Type of change]], "Edit")),B1679)</f>
        <v>2</v>
      </c>
      <c r="C1680" s="16">
        <v>44719</v>
      </c>
      <c r="D1680" s="16" t="s">
        <v>2760</v>
      </c>
      <c r="E1680" s="16" t="s">
        <v>15</v>
      </c>
      <c r="F1680" s="16" t="s">
        <v>9</v>
      </c>
      <c r="G1680" t="s">
        <v>1990</v>
      </c>
      <c r="H1680" t="s">
        <v>55</v>
      </c>
      <c r="I1680" t="s">
        <v>1691</v>
      </c>
      <c r="K1680" s="2" t="s">
        <v>6</v>
      </c>
      <c r="L1680" t="s">
        <v>2794</v>
      </c>
      <c r="M1680" s="2"/>
    </row>
    <row r="1681" spans="1:13">
      <c r="A1681" t="s">
        <v>28</v>
      </c>
      <c r="B1681">
        <f ca="1">IF(OR(changes[[#This Row],[Type]]="Checklist",changes[[#This Row],[Type]]="checklist-flat"),1+IF(changes[[#This Row],[Type of change]] = "Edit",COUNTIFS($I$4:changes[[#This Row],[Name]],changes[[#This Row],[Name]], $E$4:changes[[#This Row],[Type of change]], "Edit")),B1680)</f>
        <v>2</v>
      </c>
      <c r="C1681" s="16">
        <v>44719</v>
      </c>
      <c r="D1681" s="16" t="s">
        <v>2760</v>
      </c>
      <c r="E1681" s="16" t="s">
        <v>15</v>
      </c>
      <c r="F1681" s="16" t="s">
        <v>9</v>
      </c>
      <c r="G1681" t="s">
        <v>1990</v>
      </c>
      <c r="H1681" t="s">
        <v>99</v>
      </c>
      <c r="I1681" t="s">
        <v>1692</v>
      </c>
      <c r="K1681" s="2" t="s">
        <v>6</v>
      </c>
      <c r="L1681" t="s">
        <v>2794</v>
      </c>
      <c r="M1681" s="2"/>
    </row>
    <row r="1682" spans="1:13">
      <c r="A1682" t="s">
        <v>28</v>
      </c>
      <c r="B1682">
        <f ca="1">IF(OR(changes[[#This Row],[Type]]="Checklist",changes[[#This Row],[Type]]="checklist-flat"),1+IF(changes[[#This Row],[Type of change]] = "Edit",COUNTIFS($I$4:changes[[#This Row],[Name]],changes[[#This Row],[Name]], $E$4:changes[[#This Row],[Type of change]], "Edit")),B1681)</f>
        <v>2</v>
      </c>
      <c r="C1682" s="16">
        <v>44719</v>
      </c>
      <c r="D1682" s="16" t="s">
        <v>2760</v>
      </c>
      <c r="E1682" s="16" t="s">
        <v>15</v>
      </c>
      <c r="F1682" s="16" t="s">
        <v>9</v>
      </c>
      <c r="G1682" t="s">
        <v>1990</v>
      </c>
      <c r="H1682" t="s">
        <v>55</v>
      </c>
      <c r="I1682" t="s">
        <v>1690</v>
      </c>
      <c r="K1682" s="2" t="s">
        <v>6</v>
      </c>
      <c r="L1682" t="s">
        <v>2794</v>
      </c>
      <c r="M1682" s="2"/>
    </row>
    <row r="1683" spans="1:13">
      <c r="A1683" t="s">
        <v>28</v>
      </c>
      <c r="B1683">
        <f ca="1">IF(OR(changes[[#This Row],[Type]]="Checklist",changes[[#This Row],[Type]]="checklist-flat"),1+IF(changes[[#This Row],[Type of change]] = "Edit",COUNTIFS($I$4:changes[[#This Row],[Name]],changes[[#This Row],[Name]], $E$4:changes[[#This Row],[Type of change]], "Edit")),B1682)</f>
        <v>2</v>
      </c>
      <c r="C1683" s="16">
        <v>44722</v>
      </c>
      <c r="D1683" s="16" t="s">
        <v>2760</v>
      </c>
      <c r="E1683" t="s">
        <v>15</v>
      </c>
      <c r="F1683" s="10" t="s">
        <v>9</v>
      </c>
      <c r="G1683" t="s">
        <v>1896</v>
      </c>
      <c r="H1683" t="s">
        <v>47</v>
      </c>
      <c r="I1683" t="s">
        <v>1896</v>
      </c>
      <c r="K1683" s="2" t="s">
        <v>6</v>
      </c>
      <c r="L1683" t="s">
        <v>2798</v>
      </c>
      <c r="M1683" s="2"/>
    </row>
    <row r="1684" spans="1:13">
      <c r="A1684" t="s">
        <v>28</v>
      </c>
      <c r="B1684">
        <f ca="1">IF(OR(changes[[#This Row],[Type]]="Checklist",changes[[#This Row],[Type]]="checklist-flat"),1+IF(changes[[#This Row],[Type of change]] = "Edit",COUNTIFS($I$4:changes[[#This Row],[Name]],changes[[#This Row],[Name]], $E$4:changes[[#This Row],[Type of change]], "Edit")),B1683)</f>
        <v>2</v>
      </c>
      <c r="C1684" s="16">
        <v>44722</v>
      </c>
      <c r="D1684" s="16" t="s">
        <v>2760</v>
      </c>
      <c r="E1684" t="s">
        <v>15</v>
      </c>
      <c r="F1684" s="10" t="s">
        <v>9</v>
      </c>
      <c r="G1684" t="s">
        <v>1896</v>
      </c>
      <c r="H1684" t="s">
        <v>479</v>
      </c>
      <c r="I1684" t="s">
        <v>1897</v>
      </c>
      <c r="K1684" s="2" t="s">
        <v>6</v>
      </c>
      <c r="L1684" t="s">
        <v>2798</v>
      </c>
      <c r="M1684" s="2"/>
    </row>
    <row r="1685" spans="1:13">
      <c r="A1685" t="s">
        <v>28</v>
      </c>
      <c r="B1685">
        <f ca="1">IF(OR(changes[[#This Row],[Type]]="Checklist",changes[[#This Row],[Type]]="checklist-flat"),1+IF(changes[[#This Row],[Type of change]] = "Edit",COUNTIFS($I$4:changes[[#This Row],[Name]],changes[[#This Row],[Name]], $E$4:changes[[#This Row],[Type of change]], "Edit")),B1684)</f>
        <v>2</v>
      </c>
      <c r="C1685" s="16">
        <v>44722</v>
      </c>
      <c r="D1685" s="16" t="s">
        <v>2760</v>
      </c>
      <c r="E1685" t="s">
        <v>15</v>
      </c>
      <c r="F1685" s="10" t="s">
        <v>9</v>
      </c>
      <c r="G1685" t="s">
        <v>1896</v>
      </c>
      <c r="H1685" t="s">
        <v>55</v>
      </c>
      <c r="I1685" t="s">
        <v>1484</v>
      </c>
      <c r="K1685" s="2" t="s">
        <v>6</v>
      </c>
      <c r="L1685" t="s">
        <v>2798</v>
      </c>
      <c r="M1685" s="2"/>
    </row>
    <row r="1686" spans="1:13">
      <c r="A1686" t="s">
        <v>28</v>
      </c>
      <c r="B1686">
        <f ca="1">IF(OR(changes[[#This Row],[Type]]="Checklist",changes[[#This Row],[Type]]="checklist-flat"),1+IF(changes[[#This Row],[Type of change]] = "Edit",COUNTIFS($I$4:changes[[#This Row],[Name]],changes[[#This Row],[Name]], $E$4:changes[[#This Row],[Type of change]], "Edit")),B1685)</f>
        <v>2</v>
      </c>
      <c r="C1686" s="16">
        <v>44722</v>
      </c>
      <c r="D1686" s="16" t="s">
        <v>2760</v>
      </c>
      <c r="E1686" t="s">
        <v>15</v>
      </c>
      <c r="F1686" s="10" t="s">
        <v>9</v>
      </c>
      <c r="G1686" t="s">
        <v>1896</v>
      </c>
      <c r="H1686" t="s">
        <v>55</v>
      </c>
      <c r="I1686" t="s">
        <v>1898</v>
      </c>
      <c r="K1686" s="2" t="s">
        <v>6</v>
      </c>
      <c r="L1686" t="s">
        <v>2798</v>
      </c>
      <c r="M1686" s="2"/>
    </row>
    <row r="1687" spans="1:13">
      <c r="A1687" t="s">
        <v>28</v>
      </c>
      <c r="B1687">
        <f ca="1">IF(OR(changes[[#This Row],[Type]]="Checklist",changes[[#This Row],[Type]]="checklist-flat"),1+IF(changes[[#This Row],[Type of change]] = "Edit",COUNTIFS($I$4:changes[[#This Row],[Name]],changes[[#This Row],[Name]], $E$4:changes[[#This Row],[Type of change]], "Edit")),B1686)</f>
        <v>2</v>
      </c>
      <c r="C1687" s="16">
        <v>44722</v>
      </c>
      <c r="D1687" s="16" t="s">
        <v>2760</v>
      </c>
      <c r="E1687" t="s">
        <v>15</v>
      </c>
      <c r="F1687" s="10" t="s">
        <v>9</v>
      </c>
      <c r="G1687" t="s">
        <v>1896</v>
      </c>
      <c r="H1687" t="s">
        <v>55</v>
      </c>
      <c r="I1687" t="s">
        <v>1899</v>
      </c>
      <c r="K1687" s="2" t="s">
        <v>6</v>
      </c>
      <c r="L1687" t="s">
        <v>2798</v>
      </c>
      <c r="M1687" s="2"/>
    </row>
    <row r="1688" spans="1:13">
      <c r="A1688" t="s">
        <v>28</v>
      </c>
      <c r="B1688">
        <f ca="1">IF(OR(changes[[#This Row],[Type]]="Checklist",changes[[#This Row],[Type]]="checklist-flat"),1+IF(changes[[#This Row],[Type of change]] = "Edit",COUNTIFS($I$4:changes[[#This Row],[Name]],changes[[#This Row],[Name]], $E$4:changes[[#This Row],[Type of change]], "Edit")),B1687)</f>
        <v>2</v>
      </c>
      <c r="C1688" s="16">
        <v>44722</v>
      </c>
      <c r="D1688" s="16" t="s">
        <v>2760</v>
      </c>
      <c r="E1688" t="s">
        <v>15</v>
      </c>
      <c r="F1688" s="10" t="s">
        <v>9</v>
      </c>
      <c r="G1688" t="s">
        <v>1896</v>
      </c>
      <c r="H1688" t="s">
        <v>55</v>
      </c>
      <c r="I1688" t="s">
        <v>2425</v>
      </c>
      <c r="K1688" s="2" t="s">
        <v>6</v>
      </c>
      <c r="L1688" t="s">
        <v>2798</v>
      </c>
      <c r="M1688" s="2"/>
    </row>
    <row r="1689" spans="1:13">
      <c r="A1689" t="s">
        <v>28</v>
      </c>
      <c r="B1689">
        <f ca="1">IF(OR(changes[[#This Row],[Type]]="Checklist",changes[[#This Row],[Type]]="checklist-flat"),1+IF(changes[[#This Row],[Type of change]] = "Edit",COUNTIFS($I$4:changes[[#This Row],[Name]],changes[[#This Row],[Name]], $E$4:changes[[#This Row],[Type of change]], "Edit")),B1688)</f>
        <v>2</v>
      </c>
      <c r="C1689" s="16">
        <v>44722</v>
      </c>
      <c r="D1689" s="16" t="s">
        <v>2760</v>
      </c>
      <c r="E1689" t="s">
        <v>15</v>
      </c>
      <c r="F1689" s="10" t="s">
        <v>9</v>
      </c>
      <c r="G1689" t="s">
        <v>1896</v>
      </c>
      <c r="H1689" t="s">
        <v>724</v>
      </c>
      <c r="I1689" t="s">
        <v>1901</v>
      </c>
      <c r="K1689" s="2" t="s">
        <v>6</v>
      </c>
      <c r="L1689" t="s">
        <v>2798</v>
      </c>
      <c r="M1689" s="2"/>
    </row>
    <row r="1690" spans="1:13">
      <c r="A1690" t="s">
        <v>28</v>
      </c>
      <c r="B1690">
        <f ca="1">IF(OR(changes[[#This Row],[Type]]="Checklist",changes[[#This Row],[Type]]="checklist-flat"),1+IF(changes[[#This Row],[Type of change]] = "Edit",COUNTIFS($I$4:changes[[#This Row],[Name]],changes[[#This Row],[Name]], $E$4:changes[[#This Row],[Type of change]], "Edit")),B1689)</f>
        <v>2</v>
      </c>
      <c r="C1690" s="16">
        <v>44722</v>
      </c>
      <c r="D1690" s="16" t="s">
        <v>2760</v>
      </c>
      <c r="E1690" t="s">
        <v>15</v>
      </c>
      <c r="F1690" s="10" t="s">
        <v>9</v>
      </c>
      <c r="G1690" t="s">
        <v>1896</v>
      </c>
      <c r="H1690" t="s">
        <v>55</v>
      </c>
      <c r="I1690" t="s">
        <v>1902</v>
      </c>
      <c r="K1690" s="2" t="s">
        <v>6</v>
      </c>
      <c r="L1690" t="s">
        <v>2798</v>
      </c>
      <c r="M1690" s="2"/>
    </row>
    <row r="1691" spans="1:13">
      <c r="A1691" t="s">
        <v>28</v>
      </c>
      <c r="B1691">
        <f ca="1">IF(OR(changes[[#This Row],[Type]]="Checklist",changes[[#This Row],[Type]]="checklist-flat"),1+IF(changes[[#This Row],[Type of change]] = "Edit",COUNTIFS($I$4:changes[[#This Row],[Name]],changes[[#This Row],[Name]], $E$4:changes[[#This Row],[Type of change]], "Edit")),B1690)</f>
        <v>2</v>
      </c>
      <c r="C1691" s="16">
        <v>44722</v>
      </c>
      <c r="D1691" s="16" t="s">
        <v>2760</v>
      </c>
      <c r="E1691" t="s">
        <v>15</v>
      </c>
      <c r="F1691" s="10" t="s">
        <v>9</v>
      </c>
      <c r="G1691" t="s">
        <v>1896</v>
      </c>
      <c r="H1691" t="s">
        <v>55</v>
      </c>
      <c r="I1691" t="s">
        <v>1903</v>
      </c>
      <c r="K1691" s="2" t="s">
        <v>6</v>
      </c>
      <c r="L1691" t="s">
        <v>2798</v>
      </c>
      <c r="M1691" s="2"/>
    </row>
    <row r="1692" spans="1:13">
      <c r="A1692" t="s">
        <v>28</v>
      </c>
      <c r="B1692">
        <f ca="1">IF(OR(changes[[#This Row],[Type]]="Checklist",changes[[#This Row],[Type]]="checklist-flat"),1+IF(changes[[#This Row],[Type of change]] = "Edit",COUNTIFS($I$4:changes[[#This Row],[Name]],changes[[#This Row],[Name]], $E$4:changes[[#This Row],[Type of change]], "Edit")),B1691)</f>
        <v>2</v>
      </c>
      <c r="C1692" s="16">
        <v>44722</v>
      </c>
      <c r="D1692" s="16" t="s">
        <v>2760</v>
      </c>
      <c r="E1692" t="s">
        <v>15</v>
      </c>
      <c r="F1692" s="10" t="s">
        <v>9</v>
      </c>
      <c r="G1692" t="s">
        <v>1896</v>
      </c>
      <c r="H1692" t="s">
        <v>55</v>
      </c>
      <c r="I1692" t="s">
        <v>1904</v>
      </c>
      <c r="K1692" s="2" t="s">
        <v>6</v>
      </c>
      <c r="L1692" t="s">
        <v>2798</v>
      </c>
      <c r="M1692" s="2" t="s">
        <v>2799</v>
      </c>
    </row>
    <row r="1693" spans="1:13">
      <c r="A1693" t="s">
        <v>28</v>
      </c>
      <c r="B1693">
        <f ca="1">IF(OR(changes[[#This Row],[Type]]="Checklist",changes[[#This Row],[Type]]="checklist-flat"),1+IF(changes[[#This Row],[Type of change]] = "Edit",COUNTIFS($I$4:changes[[#This Row],[Name]],changes[[#This Row],[Name]], $E$4:changes[[#This Row],[Type of change]], "Edit")),B1692)</f>
        <v>2</v>
      </c>
      <c r="C1693" s="16">
        <v>44722</v>
      </c>
      <c r="D1693" s="16" t="s">
        <v>2760</v>
      </c>
      <c r="E1693" t="s">
        <v>15</v>
      </c>
      <c r="F1693" s="10" t="s">
        <v>9</v>
      </c>
      <c r="G1693" t="s">
        <v>1896</v>
      </c>
      <c r="H1693" t="s">
        <v>479</v>
      </c>
      <c r="I1693" t="s">
        <v>1905</v>
      </c>
      <c r="K1693" s="2" t="s">
        <v>6</v>
      </c>
      <c r="L1693" t="s">
        <v>2798</v>
      </c>
      <c r="M1693" s="2"/>
    </row>
    <row r="1694" spans="1:13">
      <c r="A1694" t="s">
        <v>28</v>
      </c>
      <c r="B1694">
        <f ca="1">IF(OR(changes[[#This Row],[Type]]="Checklist",changes[[#This Row],[Type]]="checklist-flat"),1+IF(changes[[#This Row],[Type of change]] = "Edit",COUNTIFS($I$4:changes[[#This Row],[Name]],changes[[#This Row],[Name]], $E$4:changes[[#This Row],[Type of change]], "Edit")),B1693)</f>
        <v>2</v>
      </c>
      <c r="C1694" s="16">
        <v>44722</v>
      </c>
      <c r="D1694" s="16" t="s">
        <v>2760</v>
      </c>
      <c r="E1694" t="s">
        <v>15</v>
      </c>
      <c r="F1694" s="10" t="s">
        <v>9</v>
      </c>
      <c r="G1694" t="s">
        <v>1896</v>
      </c>
      <c r="H1694" t="s">
        <v>55</v>
      </c>
      <c r="I1694" t="s">
        <v>1484</v>
      </c>
      <c r="K1694" s="2" t="s">
        <v>6</v>
      </c>
      <c r="L1694" t="s">
        <v>2798</v>
      </c>
      <c r="M1694" s="2"/>
    </row>
    <row r="1695" spans="1:13">
      <c r="A1695" t="s">
        <v>28</v>
      </c>
      <c r="B1695">
        <f ca="1">IF(OR(changes[[#This Row],[Type]]="Checklist",changes[[#This Row],[Type]]="checklist-flat"),1+IF(changes[[#This Row],[Type of change]] = "Edit",COUNTIFS($I$4:changes[[#This Row],[Name]],changes[[#This Row],[Name]], $E$4:changes[[#This Row],[Type of change]], "Edit")),B1694)</f>
        <v>2</v>
      </c>
      <c r="C1695" s="16">
        <v>44722</v>
      </c>
      <c r="D1695" s="16" t="s">
        <v>2760</v>
      </c>
      <c r="E1695" t="s">
        <v>15</v>
      </c>
      <c r="F1695" s="10" t="s">
        <v>9</v>
      </c>
      <c r="G1695" t="s">
        <v>1896</v>
      </c>
      <c r="H1695" t="s">
        <v>55</v>
      </c>
      <c r="I1695" t="s">
        <v>1906</v>
      </c>
      <c r="K1695" s="2" t="s">
        <v>6</v>
      </c>
      <c r="L1695" t="s">
        <v>2798</v>
      </c>
      <c r="M1695" s="2"/>
    </row>
    <row r="1696" spans="1:13">
      <c r="A1696" t="s">
        <v>28</v>
      </c>
      <c r="B1696">
        <f ca="1">IF(OR(changes[[#This Row],[Type]]="Checklist",changes[[#This Row],[Type]]="checklist-flat"),1+IF(changes[[#This Row],[Type of change]] = "Edit",COUNTIFS($I$4:changes[[#This Row],[Name]],changes[[#This Row],[Name]], $E$4:changes[[#This Row],[Type of change]], "Edit")),B1695)</f>
        <v>2</v>
      </c>
      <c r="C1696" s="16">
        <v>44722</v>
      </c>
      <c r="D1696" s="16" t="s">
        <v>2760</v>
      </c>
      <c r="E1696" t="s">
        <v>15</v>
      </c>
      <c r="F1696" s="10" t="s">
        <v>9</v>
      </c>
      <c r="G1696" t="s">
        <v>1896</v>
      </c>
      <c r="H1696" t="s">
        <v>55</v>
      </c>
      <c r="I1696" t="s">
        <v>1907</v>
      </c>
      <c r="K1696" s="2" t="s">
        <v>6</v>
      </c>
      <c r="L1696" t="s">
        <v>2798</v>
      </c>
      <c r="M1696" s="2"/>
    </row>
    <row r="1697" spans="1:13">
      <c r="A1697" t="s">
        <v>28</v>
      </c>
      <c r="B1697">
        <f ca="1">IF(OR(changes[[#This Row],[Type]]="Checklist",changes[[#This Row],[Type]]="checklist-flat"),1+IF(changes[[#This Row],[Type of change]] = "Edit",COUNTIFS($I$4:changes[[#This Row],[Name]],changes[[#This Row],[Name]], $E$4:changes[[#This Row],[Type of change]], "Edit")),B1696)</f>
        <v>2</v>
      </c>
      <c r="C1697" s="16">
        <v>44722</v>
      </c>
      <c r="D1697" s="16" t="s">
        <v>2760</v>
      </c>
      <c r="E1697" t="s">
        <v>15</v>
      </c>
      <c r="F1697" s="10" t="s">
        <v>9</v>
      </c>
      <c r="G1697" t="s">
        <v>1896</v>
      </c>
      <c r="H1697" t="s">
        <v>55</v>
      </c>
      <c r="I1697" t="s">
        <v>1908</v>
      </c>
      <c r="K1697" s="2" t="s">
        <v>6</v>
      </c>
      <c r="L1697" t="s">
        <v>2798</v>
      </c>
      <c r="M1697" s="2"/>
    </row>
    <row r="1698" spans="1:13">
      <c r="A1698" t="s">
        <v>28</v>
      </c>
      <c r="B1698">
        <f ca="1">IF(OR(changes[[#This Row],[Type]]="Checklist",changes[[#This Row],[Type]]="checklist-flat"),1+IF(changes[[#This Row],[Type of change]] = "Edit",COUNTIFS($I$4:changes[[#This Row],[Name]],changes[[#This Row],[Name]], $E$4:changes[[#This Row],[Type of change]], "Edit")),B1697)</f>
        <v>2</v>
      </c>
      <c r="C1698" s="16">
        <v>44722</v>
      </c>
      <c r="D1698" s="16" t="s">
        <v>2760</v>
      </c>
      <c r="E1698" t="s">
        <v>15</v>
      </c>
      <c r="F1698" s="10" t="s">
        <v>9</v>
      </c>
      <c r="G1698" t="s">
        <v>1896</v>
      </c>
      <c r="H1698" t="s">
        <v>55</v>
      </c>
      <c r="I1698" t="s">
        <v>1909</v>
      </c>
      <c r="K1698" s="2" t="s">
        <v>6</v>
      </c>
      <c r="L1698" t="s">
        <v>2798</v>
      </c>
      <c r="M1698" s="2"/>
    </row>
    <row r="1699" spans="1:13">
      <c r="A1699" t="s">
        <v>28</v>
      </c>
      <c r="B1699">
        <f ca="1">IF(OR(changes[[#This Row],[Type]]="Checklist",changes[[#This Row],[Type]]="checklist-flat"),1+IF(changes[[#This Row],[Type of change]] = "Edit",COUNTIFS($I$4:changes[[#This Row],[Name]],changes[[#This Row],[Name]], $E$4:changes[[#This Row],[Type of change]], "Edit")),B1698)</f>
        <v>2</v>
      </c>
      <c r="C1699" s="16">
        <v>44722</v>
      </c>
      <c r="D1699" s="16" t="s">
        <v>2760</v>
      </c>
      <c r="E1699" t="s">
        <v>15</v>
      </c>
      <c r="F1699" s="10" t="s">
        <v>9</v>
      </c>
      <c r="G1699" t="s">
        <v>1896</v>
      </c>
      <c r="H1699" t="s">
        <v>55</v>
      </c>
      <c r="I1699" t="s">
        <v>1910</v>
      </c>
      <c r="K1699" s="2" t="s">
        <v>6</v>
      </c>
      <c r="L1699" t="s">
        <v>2798</v>
      </c>
      <c r="M1699" s="2"/>
    </row>
    <row r="1700" spans="1:13">
      <c r="A1700" t="s">
        <v>28</v>
      </c>
      <c r="B1700">
        <f ca="1">IF(OR(changes[[#This Row],[Type]]="Checklist",changes[[#This Row],[Type]]="checklist-flat"),1+IF(changes[[#This Row],[Type of change]] = "Edit",COUNTIFS($I$4:changes[[#This Row],[Name]],changes[[#This Row],[Name]], $E$4:changes[[#This Row],[Type of change]], "Edit")),B1699)</f>
        <v>2</v>
      </c>
      <c r="C1700" s="16">
        <v>44722</v>
      </c>
      <c r="D1700" s="16" t="s">
        <v>2760</v>
      </c>
      <c r="E1700" t="s">
        <v>15</v>
      </c>
      <c r="F1700" s="10" t="s">
        <v>9</v>
      </c>
      <c r="G1700" t="s">
        <v>1896</v>
      </c>
      <c r="H1700" t="s">
        <v>55</v>
      </c>
      <c r="I1700" t="s">
        <v>1911</v>
      </c>
      <c r="K1700" s="2" t="s">
        <v>6</v>
      </c>
      <c r="L1700" t="s">
        <v>2798</v>
      </c>
      <c r="M1700" s="2"/>
    </row>
    <row r="1701" spans="1:13">
      <c r="A1701" t="s">
        <v>28</v>
      </c>
      <c r="B1701">
        <f ca="1">IF(OR(changes[[#This Row],[Type]]="Checklist",changes[[#This Row],[Type]]="checklist-flat"),1+IF(changes[[#This Row],[Type of change]] = "Edit",COUNTIFS($I$4:changes[[#This Row],[Name]],changes[[#This Row],[Name]], $E$4:changes[[#This Row],[Type of change]], "Edit")),B1700)</f>
        <v>2</v>
      </c>
      <c r="C1701" s="16">
        <v>44722</v>
      </c>
      <c r="D1701" s="16" t="s">
        <v>2760</v>
      </c>
      <c r="E1701" t="s">
        <v>15</v>
      </c>
      <c r="F1701" s="10" t="s">
        <v>9</v>
      </c>
      <c r="G1701" t="s">
        <v>1896</v>
      </c>
      <c r="H1701" t="s">
        <v>55</v>
      </c>
      <c r="I1701" t="s">
        <v>1904</v>
      </c>
      <c r="K1701" s="2" t="s">
        <v>6</v>
      </c>
      <c r="L1701" t="s">
        <v>2798</v>
      </c>
      <c r="M1701" s="2" t="s">
        <v>2799</v>
      </c>
    </row>
    <row r="1702" spans="1:13">
      <c r="A1702" t="s">
        <v>28</v>
      </c>
      <c r="B1702">
        <f ca="1">IF(OR(changes[[#This Row],[Type]]="Checklist",changes[[#This Row],[Type]]="checklist-flat"),1+IF(changes[[#This Row],[Type of change]] = "Edit",COUNTIFS($I$4:changes[[#This Row],[Name]],changes[[#This Row],[Name]], $E$4:changes[[#This Row],[Type of change]], "Edit")),B1701)</f>
        <v>2</v>
      </c>
      <c r="C1702" s="16">
        <v>44722</v>
      </c>
      <c r="D1702" s="16" t="s">
        <v>2760</v>
      </c>
      <c r="E1702" t="s">
        <v>15</v>
      </c>
      <c r="F1702" s="10" t="s">
        <v>9</v>
      </c>
      <c r="G1702" t="s">
        <v>1896</v>
      </c>
      <c r="H1702" t="s">
        <v>479</v>
      </c>
      <c r="I1702" t="s">
        <v>1912</v>
      </c>
      <c r="K1702" s="2" t="s">
        <v>6</v>
      </c>
      <c r="L1702" t="s">
        <v>2798</v>
      </c>
      <c r="M1702" s="2"/>
    </row>
    <row r="1703" spans="1:13">
      <c r="A1703" t="s">
        <v>28</v>
      </c>
      <c r="B1703">
        <f ca="1">IF(OR(changes[[#This Row],[Type]]="Checklist",changes[[#This Row],[Type]]="checklist-flat"),1+IF(changes[[#This Row],[Type of change]] = "Edit",COUNTIFS($I$4:changes[[#This Row],[Name]],changes[[#This Row],[Name]], $E$4:changes[[#This Row],[Type of change]], "Edit")),B1702)</f>
        <v>2</v>
      </c>
      <c r="C1703" s="16">
        <v>44722</v>
      </c>
      <c r="D1703" s="16" t="s">
        <v>2760</v>
      </c>
      <c r="E1703" t="s">
        <v>15</v>
      </c>
      <c r="F1703" s="10" t="s">
        <v>9</v>
      </c>
      <c r="G1703" t="s">
        <v>1896</v>
      </c>
      <c r="H1703" t="s">
        <v>55</v>
      </c>
      <c r="I1703" t="s">
        <v>1913</v>
      </c>
      <c r="K1703" s="2" t="s">
        <v>6</v>
      </c>
      <c r="L1703" t="s">
        <v>2798</v>
      </c>
      <c r="M1703" s="2"/>
    </row>
    <row r="1704" spans="1:13">
      <c r="A1704" t="s">
        <v>28</v>
      </c>
      <c r="B1704">
        <f ca="1">IF(OR(changes[[#This Row],[Type]]="Checklist",changes[[#This Row],[Type]]="checklist-flat"),1+IF(changes[[#This Row],[Type of change]] = "Edit",COUNTIFS($I$4:changes[[#This Row],[Name]],changes[[#This Row],[Name]], $E$4:changes[[#This Row],[Type of change]], "Edit")),B1703)</f>
        <v>2</v>
      </c>
      <c r="C1704" s="16">
        <v>44722</v>
      </c>
      <c r="D1704" s="16" t="s">
        <v>2760</v>
      </c>
      <c r="E1704" t="s">
        <v>15</v>
      </c>
      <c r="F1704" s="10" t="s">
        <v>9</v>
      </c>
      <c r="G1704" t="s">
        <v>1896</v>
      </c>
      <c r="H1704" t="s">
        <v>55</v>
      </c>
      <c r="I1704" t="s">
        <v>1914</v>
      </c>
      <c r="K1704" s="2" t="s">
        <v>6</v>
      </c>
      <c r="L1704" t="s">
        <v>2798</v>
      </c>
      <c r="M1704" s="2"/>
    </row>
    <row r="1705" spans="1:13">
      <c r="A1705" t="s">
        <v>28</v>
      </c>
      <c r="B1705">
        <f ca="1">IF(OR(changes[[#This Row],[Type]]="Checklist",changes[[#This Row],[Type]]="checklist-flat"),1+IF(changes[[#This Row],[Type of change]] = "Edit",COUNTIFS($I$4:changes[[#This Row],[Name]],changes[[#This Row],[Name]], $E$4:changes[[#This Row],[Type of change]], "Edit")),B1704)</f>
        <v>1</v>
      </c>
      <c r="C1705" s="16">
        <v>44732</v>
      </c>
      <c r="D1705" s="1" t="s">
        <v>2452</v>
      </c>
      <c r="E1705" t="s">
        <v>27</v>
      </c>
      <c r="F1705" s="10" t="s">
        <v>52</v>
      </c>
      <c r="G1705" t="s">
        <v>1635</v>
      </c>
      <c r="H1705" t="s">
        <v>54</v>
      </c>
      <c r="I1705" t="s">
        <v>1635</v>
      </c>
      <c r="K1705" s="2"/>
      <c r="M1705" s="2"/>
    </row>
    <row r="1706" spans="1:13">
      <c r="A1706" t="s">
        <v>28</v>
      </c>
      <c r="B1706">
        <f ca="1">IF(OR(changes[[#This Row],[Type]]="Checklist",changes[[#This Row],[Type]]="checklist-flat"),1+IF(changes[[#This Row],[Type of change]] = "Edit",COUNTIFS($I$4:changes[[#This Row],[Name]],changes[[#This Row],[Name]], $E$4:changes[[#This Row],[Type of change]], "Edit")),B1705)</f>
        <v>1</v>
      </c>
      <c r="C1706" s="16">
        <v>44732</v>
      </c>
      <c r="D1706" s="1" t="s">
        <v>2452</v>
      </c>
      <c r="E1706" t="s">
        <v>27</v>
      </c>
      <c r="F1706" s="10" t="s">
        <v>52</v>
      </c>
      <c r="G1706" t="s">
        <v>1635</v>
      </c>
      <c r="H1706" t="s">
        <v>55</v>
      </c>
      <c r="I1706" t="s">
        <v>62</v>
      </c>
      <c r="K1706" s="2"/>
      <c r="M1706" s="2"/>
    </row>
    <row r="1707" spans="1:13">
      <c r="A1707" t="s">
        <v>28</v>
      </c>
      <c r="B1707">
        <f ca="1">IF(OR(changes[[#This Row],[Type]]="Checklist",changes[[#This Row],[Type]]="checklist-flat"),1+IF(changes[[#This Row],[Type of change]] = "Edit",COUNTIFS($I$4:changes[[#This Row],[Name]],changes[[#This Row],[Name]], $E$4:changes[[#This Row],[Type of change]], "Edit")),B1706)</f>
        <v>1</v>
      </c>
      <c r="C1707" s="16">
        <v>44732</v>
      </c>
      <c r="D1707" s="1" t="s">
        <v>2452</v>
      </c>
      <c r="E1707" t="s">
        <v>27</v>
      </c>
      <c r="F1707" s="10" t="s">
        <v>52</v>
      </c>
      <c r="G1707" t="s">
        <v>1635</v>
      </c>
      <c r="H1707" t="s">
        <v>55</v>
      </c>
      <c r="I1707" t="s">
        <v>63</v>
      </c>
      <c r="K1707" s="2"/>
      <c r="M1707" s="2"/>
    </row>
    <row r="1708" spans="1:13">
      <c r="A1708" t="s">
        <v>28</v>
      </c>
      <c r="B1708">
        <f ca="1">IF(OR(changes[[#This Row],[Type]]="Checklist",changes[[#This Row],[Type]]="checklist-flat"),1+IF(changes[[#This Row],[Type of change]] = "Edit",COUNTIFS($I$4:changes[[#This Row],[Name]],changes[[#This Row],[Name]], $E$4:changes[[#This Row],[Type of change]], "Edit")),B1707)</f>
        <v>1</v>
      </c>
      <c r="C1708" s="16">
        <v>44732</v>
      </c>
      <c r="D1708" s="1" t="s">
        <v>2452</v>
      </c>
      <c r="E1708" t="s">
        <v>27</v>
      </c>
      <c r="F1708" s="10" t="s">
        <v>52</v>
      </c>
      <c r="G1708" t="s">
        <v>1635</v>
      </c>
      <c r="H1708" t="s">
        <v>55</v>
      </c>
      <c r="I1708" t="s">
        <v>1636</v>
      </c>
      <c r="K1708" s="2"/>
      <c r="M1708" s="2"/>
    </row>
    <row r="1709" spans="1:13">
      <c r="A1709" t="s">
        <v>28</v>
      </c>
      <c r="B1709">
        <f ca="1">IF(OR(changes[[#This Row],[Type]]="Checklist",changes[[#This Row],[Type]]="checklist-flat"),1+IF(changes[[#This Row],[Type of change]] = "Edit",COUNTIFS($I$4:changes[[#This Row],[Name]],changes[[#This Row],[Name]], $E$4:changes[[#This Row],[Type of change]], "Edit")),B1708)</f>
        <v>1</v>
      </c>
      <c r="C1709" s="16">
        <v>44732</v>
      </c>
      <c r="D1709" s="1" t="s">
        <v>2452</v>
      </c>
      <c r="E1709" t="s">
        <v>27</v>
      </c>
      <c r="F1709" s="10" t="s">
        <v>52</v>
      </c>
      <c r="G1709" s="10" t="s">
        <v>1635</v>
      </c>
      <c r="H1709" t="s">
        <v>64</v>
      </c>
      <c r="I1709" t="s">
        <v>65</v>
      </c>
      <c r="K1709" s="2"/>
      <c r="M1709" s="2"/>
    </row>
    <row r="1710" spans="1:13">
      <c r="A1710" t="s">
        <v>28</v>
      </c>
      <c r="B1710">
        <f ca="1">IF(OR(changes[[#This Row],[Type]]="Checklist",changes[[#This Row],[Type]]="checklist-flat"),1+IF(changes[[#This Row],[Type of change]] = "Edit",COUNTIFS($I$4:changes[[#This Row],[Name]],changes[[#This Row],[Name]], $E$4:changes[[#This Row],[Type of change]], "Edit")),B1709)</f>
        <v>1</v>
      </c>
      <c r="C1710" s="16">
        <v>44732</v>
      </c>
      <c r="D1710" s="1" t="s">
        <v>2452</v>
      </c>
      <c r="E1710" t="s">
        <v>27</v>
      </c>
      <c r="F1710" s="10" t="s">
        <v>52</v>
      </c>
      <c r="G1710" s="10" t="s">
        <v>1635</v>
      </c>
      <c r="H1710" t="s">
        <v>55</v>
      </c>
      <c r="I1710" t="s">
        <v>1637</v>
      </c>
      <c r="K1710" s="2"/>
      <c r="M1710" s="2"/>
    </row>
    <row r="1711" spans="1:13">
      <c r="A1711" t="s">
        <v>28</v>
      </c>
      <c r="B1711">
        <f ca="1">IF(OR(changes[[#This Row],[Type]]="Checklist",changes[[#This Row],[Type]]="checklist-flat"),1+IF(changes[[#This Row],[Type of change]] = "Edit",COUNTIFS($I$4:changes[[#This Row],[Name]],changes[[#This Row],[Name]], $E$4:changes[[#This Row],[Type of change]], "Edit")),B1710)</f>
        <v>2</v>
      </c>
      <c r="C1711" s="16">
        <v>44732</v>
      </c>
      <c r="D1711" s="1" t="s">
        <v>2800</v>
      </c>
      <c r="E1711" t="s">
        <v>15</v>
      </c>
      <c r="F1711" s="10" t="s">
        <v>52</v>
      </c>
      <c r="G1711" s="10" t="s">
        <v>53</v>
      </c>
      <c r="H1711" t="s">
        <v>54</v>
      </c>
      <c r="I1711" t="s">
        <v>53</v>
      </c>
      <c r="K1711" s="2"/>
      <c r="M1711" s="2" t="s">
        <v>2801</v>
      </c>
    </row>
    <row r="1712" spans="1:13">
      <c r="A1712" t="s">
        <v>28</v>
      </c>
      <c r="B1712">
        <f ca="1">IF(OR(changes[[#This Row],[Type]]="Checklist",changes[[#This Row],[Type]]="checklist-flat"),1+IF(changes[[#This Row],[Type of change]] = "Edit",COUNTIFS($I$4:changes[[#This Row],[Name]],changes[[#This Row],[Name]], $E$4:changes[[#This Row],[Type of change]], "Edit")),B1711)</f>
        <v>2</v>
      </c>
      <c r="C1712" s="16">
        <v>44732</v>
      </c>
      <c r="D1712" s="1" t="s">
        <v>2800</v>
      </c>
      <c r="E1712" t="s">
        <v>15</v>
      </c>
      <c r="F1712" s="10" t="s">
        <v>52</v>
      </c>
      <c r="G1712" s="10" t="s">
        <v>53</v>
      </c>
      <c r="H1712" t="s">
        <v>55</v>
      </c>
      <c r="I1712" s="20" t="s">
        <v>56</v>
      </c>
      <c r="K1712" s="2"/>
      <c r="M1712" s="2"/>
    </row>
    <row r="1713" spans="1:13">
      <c r="A1713" t="s">
        <v>28</v>
      </c>
      <c r="B1713">
        <f ca="1">IF(OR(changes[[#This Row],[Type]]="Checklist",changes[[#This Row],[Type]]="checklist-flat"),1+IF(changes[[#This Row],[Type of change]] = "Edit",COUNTIFS($I$4:changes[[#This Row],[Name]],changes[[#This Row],[Name]], $E$4:changes[[#This Row],[Type of change]], "Edit")),B1712)</f>
        <v>2</v>
      </c>
      <c r="C1713" s="16">
        <v>44732</v>
      </c>
      <c r="D1713" s="1" t="s">
        <v>2800</v>
      </c>
      <c r="E1713" t="s">
        <v>15</v>
      </c>
      <c r="F1713" s="10" t="s">
        <v>52</v>
      </c>
      <c r="G1713" s="10" t="s">
        <v>53</v>
      </c>
      <c r="H1713" t="s">
        <v>55</v>
      </c>
      <c r="I1713" t="s">
        <v>57</v>
      </c>
      <c r="K1713" s="2"/>
      <c r="M1713" s="2"/>
    </row>
    <row r="1714" spans="1:13">
      <c r="A1714" t="s">
        <v>28</v>
      </c>
      <c r="B1714">
        <f ca="1">IF(OR(changes[[#This Row],[Type]]="Checklist",changes[[#This Row],[Type]]="checklist-flat"),1+IF(changes[[#This Row],[Type of change]] = "Edit",COUNTIFS($I$4:changes[[#This Row],[Name]],changes[[#This Row],[Name]], $E$4:changes[[#This Row],[Type of change]], "Edit")),B1713)</f>
        <v>2</v>
      </c>
      <c r="C1714" s="16">
        <v>44732</v>
      </c>
      <c r="D1714" s="1" t="s">
        <v>2800</v>
      </c>
      <c r="E1714" t="s">
        <v>15</v>
      </c>
      <c r="F1714" s="10" t="s">
        <v>52</v>
      </c>
      <c r="G1714" s="10" t="s">
        <v>53</v>
      </c>
      <c r="H1714" t="s">
        <v>55</v>
      </c>
      <c r="I1714" t="s">
        <v>58</v>
      </c>
      <c r="K1714" s="2"/>
      <c r="M1714" s="2"/>
    </row>
    <row r="1715" spans="1:13">
      <c r="A1715" t="s">
        <v>28</v>
      </c>
      <c r="B1715">
        <f ca="1">IF(OR(changes[[#This Row],[Type]]="Checklist",changes[[#This Row],[Type]]="checklist-flat"),1+IF(changes[[#This Row],[Type of change]] = "Edit",COUNTIFS($I$4:changes[[#This Row],[Name]],changes[[#This Row],[Name]], $E$4:changes[[#This Row],[Type of change]], "Edit")),B1714)</f>
        <v>2</v>
      </c>
      <c r="C1715" s="16">
        <v>44732</v>
      </c>
      <c r="D1715" s="1" t="s">
        <v>2800</v>
      </c>
      <c r="E1715" t="s">
        <v>15</v>
      </c>
      <c r="F1715" s="10" t="s">
        <v>52</v>
      </c>
      <c r="G1715" s="10" t="s">
        <v>53</v>
      </c>
      <c r="H1715" t="s">
        <v>55</v>
      </c>
      <c r="I1715" t="s">
        <v>59</v>
      </c>
      <c r="K1715" s="2"/>
      <c r="M1715" s="2"/>
    </row>
    <row r="1716" spans="1:13">
      <c r="A1716" t="s">
        <v>28</v>
      </c>
      <c r="B1716">
        <f ca="1">IF(OR(changes[[#This Row],[Type]]="Checklist",changes[[#This Row],[Type]]="checklist-flat"),1+IF(changes[[#This Row],[Type of change]] = "Edit",COUNTIFS($I$4:changes[[#This Row],[Name]],changes[[#This Row],[Name]], $E$4:changes[[#This Row],[Type of change]], "Edit")),B1715)</f>
        <v>2</v>
      </c>
      <c r="C1716" s="16">
        <v>44732</v>
      </c>
      <c r="D1716" s="1" t="s">
        <v>2800</v>
      </c>
      <c r="E1716" t="s">
        <v>15</v>
      </c>
      <c r="F1716" s="10" t="s">
        <v>52</v>
      </c>
      <c r="G1716" s="10" t="s">
        <v>53</v>
      </c>
      <c r="H1716" t="s">
        <v>55</v>
      </c>
      <c r="I1716" t="s">
        <v>60</v>
      </c>
      <c r="K1716" s="2"/>
      <c r="M1716" s="2"/>
    </row>
    <row r="1717" spans="1:13">
      <c r="A1717" t="s">
        <v>28</v>
      </c>
      <c r="B1717">
        <f ca="1">IF(OR(changes[[#This Row],[Type]]="Checklist",changes[[#This Row],[Type]]="checklist-flat"),1+IF(changes[[#This Row],[Type of change]] = "Edit",COUNTIFS($I$4:changes[[#This Row],[Name]],changes[[#This Row],[Name]], $E$4:changes[[#This Row],[Type of change]], "Edit")),B1716)</f>
        <v>2</v>
      </c>
      <c r="C1717" s="16">
        <v>44732</v>
      </c>
      <c r="D1717" s="1" t="s">
        <v>2760</v>
      </c>
      <c r="E1717" t="s">
        <v>15</v>
      </c>
      <c r="F1717" s="10" t="s">
        <v>9</v>
      </c>
      <c r="G1717" s="10" t="s">
        <v>1757</v>
      </c>
      <c r="H1717" t="s">
        <v>54</v>
      </c>
      <c r="I1717" t="s">
        <v>1757</v>
      </c>
      <c r="K1717" s="2" t="s">
        <v>6</v>
      </c>
      <c r="L1717" t="s">
        <v>2798</v>
      </c>
      <c r="M1717" s="2"/>
    </row>
    <row r="1718" spans="1:13">
      <c r="A1718" t="s">
        <v>28</v>
      </c>
      <c r="B1718">
        <f ca="1">IF(OR(changes[[#This Row],[Type]]="Checklist",changes[[#This Row],[Type]]="checklist-flat"),1+IF(changes[[#This Row],[Type of change]] = "Edit",COUNTIFS($I$4:changes[[#This Row],[Name]],changes[[#This Row],[Name]], $E$4:changes[[#This Row],[Type of change]], "Edit")),B1717)</f>
        <v>2</v>
      </c>
      <c r="C1718" s="16">
        <v>44732</v>
      </c>
      <c r="D1718" s="1" t="s">
        <v>2760</v>
      </c>
      <c r="E1718" t="s">
        <v>15</v>
      </c>
      <c r="F1718" s="10" t="s">
        <v>9</v>
      </c>
      <c r="G1718" s="10" t="s">
        <v>1757</v>
      </c>
      <c r="H1718" t="s">
        <v>55</v>
      </c>
      <c r="I1718" t="s">
        <v>1758</v>
      </c>
      <c r="K1718" s="2" t="s">
        <v>6</v>
      </c>
      <c r="L1718" t="s">
        <v>2798</v>
      </c>
      <c r="M1718" s="2"/>
    </row>
    <row r="1719" spans="1:13">
      <c r="A1719" t="s">
        <v>28</v>
      </c>
      <c r="B1719">
        <f ca="1">IF(OR(changes[[#This Row],[Type]]="Checklist",changes[[#This Row],[Type]]="checklist-flat"),1+IF(changes[[#This Row],[Type of change]] = "Edit",COUNTIFS($I$4:changes[[#This Row],[Name]],changes[[#This Row],[Name]], $E$4:changes[[#This Row],[Type of change]], "Edit")),B1718)</f>
        <v>2</v>
      </c>
      <c r="C1719" s="16">
        <v>44732</v>
      </c>
      <c r="D1719" s="1" t="s">
        <v>2760</v>
      </c>
      <c r="E1719" t="s">
        <v>15</v>
      </c>
      <c r="F1719" s="10" t="s">
        <v>9</v>
      </c>
      <c r="G1719" s="10" t="s">
        <v>1757</v>
      </c>
      <c r="H1719" t="s">
        <v>214</v>
      </c>
      <c r="I1719" t="s">
        <v>569</v>
      </c>
      <c r="K1719" s="2" t="s">
        <v>6</v>
      </c>
      <c r="L1719" t="s">
        <v>2798</v>
      </c>
      <c r="M1719" s="2"/>
    </row>
    <row r="1720" spans="1:13">
      <c r="A1720" t="s">
        <v>28</v>
      </c>
      <c r="B1720">
        <f ca="1">IF(OR(changes[[#This Row],[Type]]="Checklist",changes[[#This Row],[Type]]="checklist-flat"),1+IF(changes[[#This Row],[Type of change]] = "Edit",COUNTIFS($I$4:changes[[#This Row],[Name]],changes[[#This Row],[Name]], $E$4:changes[[#This Row],[Type of change]], "Edit")),B1719)</f>
        <v>2</v>
      </c>
      <c r="C1720" s="16">
        <v>44732</v>
      </c>
      <c r="D1720" s="1" t="s">
        <v>2760</v>
      </c>
      <c r="E1720" t="s">
        <v>15</v>
      </c>
      <c r="F1720" s="10" t="s">
        <v>9</v>
      </c>
      <c r="G1720" s="10" t="s">
        <v>1757</v>
      </c>
      <c r="H1720" t="s">
        <v>55</v>
      </c>
      <c r="I1720" t="s">
        <v>1759</v>
      </c>
      <c r="K1720" s="2" t="s">
        <v>6</v>
      </c>
      <c r="L1720" t="s">
        <v>2798</v>
      </c>
      <c r="M1720" s="2"/>
    </row>
    <row r="1721" spans="1:13">
      <c r="A1721" t="s">
        <v>28</v>
      </c>
      <c r="B1721">
        <f ca="1">IF(OR(changes[[#This Row],[Type]]="Checklist",changes[[#This Row],[Type]]="checklist-flat"),1+IF(changes[[#This Row],[Type of change]] = "Edit",COUNTIFS($I$4:changes[[#This Row],[Name]],changes[[#This Row],[Name]], $E$4:changes[[#This Row],[Type of change]], "Edit")),B1720)</f>
        <v>2</v>
      </c>
      <c r="C1721" s="16">
        <v>44732</v>
      </c>
      <c r="D1721" s="1" t="s">
        <v>2760</v>
      </c>
      <c r="E1721" t="s">
        <v>15</v>
      </c>
      <c r="F1721" s="10" t="s">
        <v>9</v>
      </c>
      <c r="G1721" s="10" t="s">
        <v>1757</v>
      </c>
      <c r="H1721" t="s">
        <v>55</v>
      </c>
      <c r="I1721" t="s">
        <v>1760</v>
      </c>
      <c r="K1721" s="2" t="s">
        <v>6</v>
      </c>
      <c r="L1721" t="s">
        <v>2798</v>
      </c>
      <c r="M1721" s="2"/>
    </row>
    <row r="1722" spans="1:13">
      <c r="A1722" t="s">
        <v>28</v>
      </c>
      <c r="B1722">
        <f ca="1">IF(OR(changes[[#This Row],[Type]]="Checklist",changes[[#This Row],[Type]]="checklist-flat"),1+IF(changes[[#This Row],[Type of change]] = "Edit",COUNTIFS($I$4:changes[[#This Row],[Name]],changes[[#This Row],[Name]], $E$4:changes[[#This Row],[Type of change]], "Edit")),B1721)</f>
        <v>2</v>
      </c>
      <c r="C1722" s="16">
        <v>44732</v>
      </c>
      <c r="D1722" s="1" t="s">
        <v>2760</v>
      </c>
      <c r="E1722" t="s">
        <v>15</v>
      </c>
      <c r="F1722" s="10" t="s">
        <v>9</v>
      </c>
      <c r="G1722" s="10" t="s">
        <v>1757</v>
      </c>
      <c r="H1722" t="s">
        <v>55</v>
      </c>
      <c r="I1722" t="s">
        <v>1761</v>
      </c>
      <c r="K1722" s="2" t="s">
        <v>6</v>
      </c>
      <c r="L1722" t="s">
        <v>2798</v>
      </c>
      <c r="M1722" s="2"/>
    </row>
    <row r="1723" spans="1:13">
      <c r="A1723" t="s">
        <v>28</v>
      </c>
      <c r="B1723">
        <f ca="1">IF(OR(changes[[#This Row],[Type]]="Checklist",changes[[#This Row],[Type]]="checklist-flat"),1+IF(changes[[#This Row],[Type of change]] = "Edit",COUNTIFS($I$4:changes[[#This Row],[Name]],changes[[#This Row],[Name]], $E$4:changes[[#This Row],[Type of change]], "Edit")),B1722)</f>
        <v>2</v>
      </c>
      <c r="C1723" s="16">
        <v>44732</v>
      </c>
      <c r="D1723" s="1" t="s">
        <v>2760</v>
      </c>
      <c r="E1723" t="s">
        <v>15</v>
      </c>
      <c r="F1723" s="10" t="s">
        <v>9</v>
      </c>
      <c r="G1723" s="10" t="s">
        <v>1757</v>
      </c>
      <c r="H1723" t="s">
        <v>55</v>
      </c>
      <c r="I1723" t="s">
        <v>1762</v>
      </c>
      <c r="K1723" s="2" t="s">
        <v>6</v>
      </c>
      <c r="L1723" t="s">
        <v>2798</v>
      </c>
      <c r="M1723" s="2" t="s">
        <v>2802</v>
      </c>
    </row>
    <row r="1724" spans="1:13">
      <c r="A1724" t="s">
        <v>28</v>
      </c>
      <c r="B1724">
        <f ca="1">IF(OR(changes[[#This Row],[Type]]="Checklist",changes[[#This Row],[Type]]="checklist-flat"),1+IF(changes[[#This Row],[Type of change]] = "Edit",COUNTIFS($I$4:changes[[#This Row],[Name]],changes[[#This Row],[Name]], $E$4:changes[[#This Row],[Type of change]], "Edit")),B1723)</f>
        <v>2</v>
      </c>
      <c r="C1724" s="16">
        <v>44732</v>
      </c>
      <c r="D1724" s="1" t="s">
        <v>2760</v>
      </c>
      <c r="E1724" t="s">
        <v>15</v>
      </c>
      <c r="F1724" s="10" t="s">
        <v>9</v>
      </c>
      <c r="G1724" s="10" t="s">
        <v>1757</v>
      </c>
      <c r="H1724" t="s">
        <v>55</v>
      </c>
      <c r="I1724" t="s">
        <v>1763</v>
      </c>
      <c r="K1724" s="2" t="s">
        <v>6</v>
      </c>
      <c r="L1724" t="s">
        <v>2798</v>
      </c>
      <c r="M1724" s="2"/>
    </row>
    <row r="1725" spans="1:13">
      <c r="A1725" t="s">
        <v>28</v>
      </c>
      <c r="B1725">
        <f ca="1">IF(OR(changes[[#This Row],[Type]]="Checklist",changes[[#This Row],[Type]]="checklist-flat"),1+IF(changes[[#This Row],[Type of change]] = "Edit",COUNTIFS($I$4:changes[[#This Row],[Name]],changes[[#This Row],[Name]], $E$4:changes[[#This Row],[Type of change]], "Edit")),B1724)</f>
        <v>2</v>
      </c>
      <c r="C1725" s="16">
        <v>44732</v>
      </c>
      <c r="D1725" s="1" t="s">
        <v>2760</v>
      </c>
      <c r="E1725" t="s">
        <v>15</v>
      </c>
      <c r="F1725" s="10" t="s">
        <v>9</v>
      </c>
      <c r="G1725" s="10" t="s">
        <v>1757</v>
      </c>
      <c r="H1725" t="s">
        <v>214</v>
      </c>
      <c r="I1725" t="s">
        <v>1764</v>
      </c>
      <c r="K1725" s="2" t="s">
        <v>6</v>
      </c>
      <c r="L1725" t="s">
        <v>2798</v>
      </c>
      <c r="M1725" s="2"/>
    </row>
    <row r="1726" spans="1:13">
      <c r="A1726" t="s">
        <v>28</v>
      </c>
      <c r="B1726">
        <f ca="1">IF(OR(changes[[#This Row],[Type]]="Checklist",changes[[#This Row],[Type]]="checklist-flat"),1+IF(changes[[#This Row],[Type of change]] = "Edit",COUNTIFS($I$4:changes[[#This Row],[Name]],changes[[#This Row],[Name]], $E$4:changes[[#This Row],[Type of change]], "Edit")),B1725)</f>
        <v>2</v>
      </c>
      <c r="C1726" s="16">
        <v>44732</v>
      </c>
      <c r="D1726" s="1" t="s">
        <v>2760</v>
      </c>
      <c r="E1726" t="s">
        <v>15</v>
      </c>
      <c r="F1726" s="10" t="s">
        <v>9</v>
      </c>
      <c r="G1726" s="10" t="s">
        <v>1757</v>
      </c>
      <c r="H1726" t="s">
        <v>55</v>
      </c>
      <c r="I1726" t="s">
        <v>1765</v>
      </c>
      <c r="K1726" s="2" t="s">
        <v>6</v>
      </c>
      <c r="L1726" t="s">
        <v>2798</v>
      </c>
      <c r="M1726" s="2"/>
    </row>
    <row r="1727" spans="1:13">
      <c r="A1727" t="s">
        <v>28</v>
      </c>
      <c r="B1727">
        <f ca="1">IF(OR(changes[[#This Row],[Type]]="Checklist",changes[[#This Row],[Type]]="checklist-flat"),1+IF(changes[[#This Row],[Type of change]] = "Edit",COUNTIFS($I$4:changes[[#This Row],[Name]],changes[[#This Row],[Name]], $E$4:changes[[#This Row],[Type of change]], "Edit")),B1726)</f>
        <v>2</v>
      </c>
      <c r="C1727" s="16">
        <v>44732</v>
      </c>
      <c r="D1727" s="1" t="s">
        <v>2760</v>
      </c>
      <c r="E1727" t="s">
        <v>15</v>
      </c>
      <c r="F1727" s="10" t="s">
        <v>9</v>
      </c>
      <c r="G1727" s="10" t="s">
        <v>1757</v>
      </c>
      <c r="H1727" t="s">
        <v>214</v>
      </c>
      <c r="I1727" t="s">
        <v>1766</v>
      </c>
      <c r="K1727" s="2" t="s">
        <v>6</v>
      </c>
      <c r="L1727" t="s">
        <v>2798</v>
      </c>
      <c r="M1727" s="2"/>
    </row>
    <row r="1728" spans="1:13">
      <c r="A1728" t="s">
        <v>28</v>
      </c>
      <c r="B1728">
        <f ca="1">IF(OR(changes[[#This Row],[Type]]="Checklist",changes[[#This Row],[Type]]="checklist-flat"),1+IF(changes[[#This Row],[Type of change]] = "Edit",COUNTIFS($I$4:changes[[#This Row],[Name]],changes[[#This Row],[Name]], $E$4:changes[[#This Row],[Type of change]], "Edit")),B1727)</f>
        <v>2</v>
      </c>
      <c r="C1728" s="16">
        <v>44732</v>
      </c>
      <c r="D1728" s="1" t="s">
        <v>2760</v>
      </c>
      <c r="E1728" t="s">
        <v>15</v>
      </c>
      <c r="F1728" s="10" t="s">
        <v>9</v>
      </c>
      <c r="G1728" s="10" t="s">
        <v>1757</v>
      </c>
      <c r="H1728" t="s">
        <v>55</v>
      </c>
      <c r="I1728" t="s">
        <v>1767</v>
      </c>
      <c r="K1728" s="2" t="s">
        <v>6</v>
      </c>
      <c r="L1728" t="s">
        <v>2798</v>
      </c>
      <c r="M1728" s="2"/>
    </row>
    <row r="1729" spans="1:13">
      <c r="A1729" t="s">
        <v>28</v>
      </c>
      <c r="B1729">
        <f ca="1">IF(OR(changes[[#This Row],[Type]]="Checklist",changes[[#This Row],[Type]]="checklist-flat"),1+IF(changes[[#This Row],[Type of change]] = "Edit",COUNTIFS($I$4:changes[[#This Row],[Name]],changes[[#This Row],[Name]], $E$4:changes[[#This Row],[Type of change]], "Edit")),B1728)</f>
        <v>2</v>
      </c>
      <c r="C1729" s="16">
        <v>44740</v>
      </c>
      <c r="D1729" s="1" t="s">
        <v>2760</v>
      </c>
      <c r="E1729" t="s">
        <v>15</v>
      </c>
      <c r="F1729" s="10" t="s">
        <v>9</v>
      </c>
      <c r="G1729" t="s">
        <v>2803</v>
      </c>
      <c r="H1729" t="s">
        <v>54</v>
      </c>
      <c r="I1729" t="s">
        <v>2804</v>
      </c>
      <c r="K1729" s="2" t="s">
        <v>6</v>
      </c>
      <c r="L1729" t="s">
        <v>2805</v>
      </c>
      <c r="M1729" s="2" t="s">
        <v>2806</v>
      </c>
    </row>
    <row r="1730" spans="1:13">
      <c r="A1730" t="s">
        <v>28</v>
      </c>
      <c r="B1730">
        <f ca="1">IF(OR(changes[[#This Row],[Type]]="Checklist",changes[[#This Row],[Type]]="checklist-flat"),1+IF(changes[[#This Row],[Type of change]] = "Edit",COUNTIFS($I$4:changes[[#This Row],[Name]],changes[[#This Row],[Name]], $E$4:changes[[#This Row],[Type of change]], "Edit")),B1729)</f>
        <v>2</v>
      </c>
      <c r="C1730" s="16">
        <v>44740</v>
      </c>
      <c r="D1730" s="1" t="s">
        <v>2760</v>
      </c>
      <c r="E1730" t="s">
        <v>15</v>
      </c>
      <c r="F1730" s="10" t="s">
        <v>9</v>
      </c>
      <c r="G1730" t="s">
        <v>2803</v>
      </c>
      <c r="H1730" t="s">
        <v>55</v>
      </c>
      <c r="I1730" t="s">
        <v>1484</v>
      </c>
      <c r="K1730" s="2" t="s">
        <v>6</v>
      </c>
      <c r="L1730" t="s">
        <v>2805</v>
      </c>
      <c r="M1730" s="2"/>
    </row>
    <row r="1731" spans="1:13">
      <c r="A1731" t="s">
        <v>28</v>
      </c>
      <c r="B1731">
        <f ca="1">IF(OR(changes[[#This Row],[Type]]="Checklist",changes[[#This Row],[Type]]="checklist-flat"),1+IF(changes[[#This Row],[Type of change]] = "Edit",COUNTIFS($I$4:changes[[#This Row],[Name]],changes[[#This Row],[Name]], $E$4:changes[[#This Row],[Type of change]], "Edit")),B1730)</f>
        <v>2</v>
      </c>
      <c r="C1731" s="16">
        <v>44740</v>
      </c>
      <c r="D1731" s="1" t="s">
        <v>2760</v>
      </c>
      <c r="E1731" t="s">
        <v>15</v>
      </c>
      <c r="F1731" s="10" t="s">
        <v>9</v>
      </c>
      <c r="G1731" t="s">
        <v>2803</v>
      </c>
      <c r="H1731" t="s">
        <v>55</v>
      </c>
      <c r="I1731" t="s">
        <v>1936</v>
      </c>
      <c r="K1731" s="2" t="s">
        <v>6</v>
      </c>
      <c r="L1731" t="s">
        <v>2805</v>
      </c>
      <c r="M1731" s="2"/>
    </row>
    <row r="1732" spans="1:13">
      <c r="A1732" t="s">
        <v>28</v>
      </c>
      <c r="B1732">
        <f ca="1">IF(OR(changes[[#This Row],[Type]]="Checklist",changes[[#This Row],[Type]]="checklist-flat"),1+IF(changes[[#This Row],[Type of change]] = "Edit",COUNTIFS($I$4:changes[[#This Row],[Name]],changes[[#This Row],[Name]], $E$4:changes[[#This Row],[Type of change]], "Edit")),B1731)</f>
        <v>2</v>
      </c>
      <c r="C1732" s="16">
        <v>44740</v>
      </c>
      <c r="D1732" s="1" t="s">
        <v>2760</v>
      </c>
      <c r="E1732" t="s">
        <v>15</v>
      </c>
      <c r="F1732" s="10" t="s">
        <v>9</v>
      </c>
      <c r="G1732" t="s">
        <v>2803</v>
      </c>
      <c r="H1732" t="s">
        <v>55</v>
      </c>
      <c r="I1732" t="s">
        <v>1880</v>
      </c>
      <c r="K1732" s="2" t="s">
        <v>6</v>
      </c>
      <c r="L1732" t="s">
        <v>2805</v>
      </c>
      <c r="M1732" s="2"/>
    </row>
    <row r="1733" spans="1:13">
      <c r="A1733" t="s">
        <v>28</v>
      </c>
      <c r="B1733">
        <f ca="1">IF(OR(changes[[#This Row],[Type]]="Checklist",changes[[#This Row],[Type]]="checklist-flat"),1+IF(changes[[#This Row],[Type of change]] = "Edit",COUNTIFS($I$4:changes[[#This Row],[Name]],changes[[#This Row],[Name]], $E$4:changes[[#This Row],[Type of change]], "Edit")),B1732)</f>
        <v>2</v>
      </c>
      <c r="C1733" s="16">
        <v>44740</v>
      </c>
      <c r="D1733" s="1" t="s">
        <v>2760</v>
      </c>
      <c r="E1733" t="s">
        <v>15</v>
      </c>
      <c r="F1733" s="10" t="s">
        <v>9</v>
      </c>
      <c r="G1733" t="s">
        <v>2803</v>
      </c>
      <c r="H1733" t="s">
        <v>55</v>
      </c>
      <c r="I1733" t="s">
        <v>1937</v>
      </c>
      <c r="K1733" s="2" t="s">
        <v>6</v>
      </c>
      <c r="L1733" t="s">
        <v>2805</v>
      </c>
      <c r="M1733" s="2"/>
    </row>
    <row r="1734" spans="1:13">
      <c r="A1734" t="s">
        <v>28</v>
      </c>
      <c r="B1734">
        <f ca="1">IF(OR(changes[[#This Row],[Type]]="Checklist",changes[[#This Row],[Type]]="checklist-flat"),1+IF(changes[[#This Row],[Type of change]] = "Edit",COUNTIFS($I$4:changes[[#This Row],[Name]],changes[[#This Row],[Name]], $E$4:changes[[#This Row],[Type of change]], "Edit")),B1733)</f>
        <v>2</v>
      </c>
      <c r="C1734" s="16">
        <v>44740</v>
      </c>
      <c r="D1734" s="1" t="s">
        <v>2760</v>
      </c>
      <c r="E1734" t="s">
        <v>15</v>
      </c>
      <c r="F1734" s="10" t="s">
        <v>9</v>
      </c>
      <c r="G1734" t="s">
        <v>2803</v>
      </c>
      <c r="H1734" t="s">
        <v>55</v>
      </c>
      <c r="I1734" t="s">
        <v>1938</v>
      </c>
      <c r="K1734" s="2" t="s">
        <v>6</v>
      </c>
      <c r="L1734" t="s">
        <v>2805</v>
      </c>
      <c r="M1734" s="2"/>
    </row>
    <row r="1735" spans="1:13">
      <c r="A1735" t="s">
        <v>28</v>
      </c>
      <c r="B1735">
        <f ca="1">IF(OR(changes[[#This Row],[Type]]="Checklist",changes[[#This Row],[Type]]="checklist-flat"),1+IF(changes[[#This Row],[Type of change]] = "Edit",COUNTIFS($I$4:changes[[#This Row],[Name]],changes[[#This Row],[Name]], $E$4:changes[[#This Row],[Type of change]], "Edit")),B1734)</f>
        <v>1</v>
      </c>
      <c r="C1735" s="16">
        <v>44742</v>
      </c>
      <c r="D1735" s="1" t="s">
        <v>2800</v>
      </c>
      <c r="E1735" t="s">
        <v>27</v>
      </c>
      <c r="F1735" s="10" t="s">
        <v>9</v>
      </c>
      <c r="G1735" t="s">
        <v>1832</v>
      </c>
      <c r="H1735" t="s">
        <v>54</v>
      </c>
      <c r="I1735" t="s">
        <v>1832</v>
      </c>
      <c r="K1735" s="2" t="s">
        <v>6</v>
      </c>
      <c r="L1735" t="s">
        <v>2807</v>
      </c>
      <c r="M1735" s="2" t="s">
        <v>2808</v>
      </c>
    </row>
    <row r="1736" spans="1:13">
      <c r="A1736" t="s">
        <v>28</v>
      </c>
      <c r="B1736">
        <f ca="1">IF(OR(changes[[#This Row],[Type]]="Checklist",changes[[#This Row],[Type]]="checklist-flat"),1+IF(changes[[#This Row],[Type of change]] = "Edit",COUNTIFS($I$4:changes[[#This Row],[Name]],changes[[#This Row],[Name]], $E$4:changes[[#This Row],[Type of change]], "Edit")),B1735)</f>
        <v>1</v>
      </c>
      <c r="C1736" s="16">
        <v>44742</v>
      </c>
      <c r="D1736" s="1" t="s">
        <v>2800</v>
      </c>
      <c r="E1736" t="s">
        <v>27</v>
      </c>
      <c r="F1736" s="10" t="s">
        <v>9</v>
      </c>
      <c r="G1736" t="s">
        <v>1832</v>
      </c>
      <c r="H1736" t="s">
        <v>55</v>
      </c>
      <c r="I1736" t="s">
        <v>954</v>
      </c>
      <c r="K1736" s="2" t="s">
        <v>6</v>
      </c>
      <c r="L1736" t="s">
        <v>2807</v>
      </c>
      <c r="M1736" s="2"/>
    </row>
    <row r="1737" spans="1:13">
      <c r="A1737" t="s">
        <v>28</v>
      </c>
      <c r="B1737">
        <f ca="1">IF(OR(changes[[#This Row],[Type]]="Checklist",changes[[#This Row],[Type]]="checklist-flat"),1+IF(changes[[#This Row],[Type of change]] = "Edit",COUNTIFS($I$4:changes[[#This Row],[Name]],changes[[#This Row],[Name]], $E$4:changes[[#This Row],[Type of change]], "Edit")),B1736)</f>
        <v>1</v>
      </c>
      <c r="C1737" s="16">
        <v>44742</v>
      </c>
      <c r="D1737" s="1" t="s">
        <v>2800</v>
      </c>
      <c r="E1737" t="s">
        <v>27</v>
      </c>
      <c r="F1737" s="10" t="s">
        <v>9</v>
      </c>
      <c r="G1737" t="s">
        <v>1832</v>
      </c>
      <c r="H1737" t="s">
        <v>55</v>
      </c>
      <c r="I1737" t="s">
        <v>1833</v>
      </c>
      <c r="K1737" s="2" t="s">
        <v>6</v>
      </c>
      <c r="L1737" t="s">
        <v>2807</v>
      </c>
      <c r="M1737" s="2"/>
    </row>
    <row r="1738" spans="1:13">
      <c r="A1738" t="s">
        <v>28</v>
      </c>
      <c r="B1738">
        <f ca="1">IF(OR(changes[[#This Row],[Type]]="Checklist",changes[[#This Row],[Type]]="checklist-flat"),1+IF(changes[[#This Row],[Type of change]] = "Edit",COUNTIFS($I$4:changes[[#This Row],[Name]],changes[[#This Row],[Name]], $E$4:changes[[#This Row],[Type of change]], "Edit")),B1737)</f>
        <v>1</v>
      </c>
      <c r="C1738" s="16">
        <v>44742</v>
      </c>
      <c r="D1738" s="1" t="s">
        <v>2800</v>
      </c>
      <c r="E1738" t="s">
        <v>27</v>
      </c>
      <c r="F1738" s="10" t="s">
        <v>9</v>
      </c>
      <c r="G1738" t="s">
        <v>1832</v>
      </c>
      <c r="H1738" t="s">
        <v>55</v>
      </c>
      <c r="I1738" t="s">
        <v>953</v>
      </c>
      <c r="K1738" s="2" t="s">
        <v>6</v>
      </c>
      <c r="L1738" t="s">
        <v>2807</v>
      </c>
      <c r="M1738" s="2"/>
    </row>
    <row r="1739" spans="1:13">
      <c r="A1739" t="s">
        <v>28</v>
      </c>
      <c r="B1739">
        <f ca="1">IF(OR(changes[[#This Row],[Type]]="Checklist",changes[[#This Row],[Type]]="checklist-flat"),1+IF(changes[[#This Row],[Type of change]] = "Edit",COUNTIFS($I$4:changes[[#This Row],[Name]],changes[[#This Row],[Name]], $E$4:changes[[#This Row],[Type of change]], "Edit")),B1738)</f>
        <v>1</v>
      </c>
      <c r="C1739" s="16">
        <v>44742</v>
      </c>
      <c r="D1739" s="1" t="s">
        <v>2800</v>
      </c>
      <c r="E1739" t="s">
        <v>27</v>
      </c>
      <c r="F1739" s="10" t="s">
        <v>9</v>
      </c>
      <c r="G1739" t="s">
        <v>1832</v>
      </c>
      <c r="H1739" t="s">
        <v>55</v>
      </c>
      <c r="I1739" t="s">
        <v>1834</v>
      </c>
      <c r="K1739" s="2" t="s">
        <v>6</v>
      </c>
      <c r="L1739" t="s">
        <v>2807</v>
      </c>
      <c r="M1739" s="2"/>
    </row>
    <row r="1740" spans="1:13">
      <c r="A1740" t="s">
        <v>28</v>
      </c>
      <c r="B1740">
        <f ca="1">IF(OR(changes[[#This Row],[Type]]="Checklist",changes[[#This Row],[Type]]="checklist-flat"),1+IF(changes[[#This Row],[Type of change]] = "Edit",COUNTIFS($I$4:changes[[#This Row],[Name]],changes[[#This Row],[Name]], $E$4:changes[[#This Row],[Type of change]], "Edit")),B1739)</f>
        <v>1</v>
      </c>
      <c r="C1740" s="16">
        <v>44742</v>
      </c>
      <c r="D1740" s="1" t="s">
        <v>2800</v>
      </c>
      <c r="E1740" t="s">
        <v>27</v>
      </c>
      <c r="F1740" s="10" t="s">
        <v>52</v>
      </c>
      <c r="G1740" t="s">
        <v>224</v>
      </c>
      <c r="H1740" t="s">
        <v>54</v>
      </c>
      <c r="I1740" t="s">
        <v>224</v>
      </c>
      <c r="K1740" s="2" t="s">
        <v>6</v>
      </c>
      <c r="M1740" s="2"/>
    </row>
    <row r="1741" spans="1:13">
      <c r="A1741" t="s">
        <v>28</v>
      </c>
      <c r="B1741">
        <f ca="1">IF(OR(changes[[#This Row],[Type]]="Checklist",changes[[#This Row],[Type]]="checklist-flat"),1+IF(changes[[#This Row],[Type of change]] = "Edit",COUNTIFS($I$4:changes[[#This Row],[Name]],changes[[#This Row],[Name]], $E$4:changes[[#This Row],[Type of change]], "Edit")),B1740)</f>
        <v>1</v>
      </c>
      <c r="C1741" s="16">
        <v>44742</v>
      </c>
      <c r="D1741" s="1" t="s">
        <v>2800</v>
      </c>
      <c r="E1741" t="s">
        <v>27</v>
      </c>
      <c r="F1741" s="10" t="s">
        <v>52</v>
      </c>
      <c r="G1741" t="s">
        <v>224</v>
      </c>
      <c r="H1741" t="s">
        <v>55</v>
      </c>
      <c r="I1741" t="s">
        <v>185</v>
      </c>
      <c r="K1741" s="2" t="s">
        <v>6</v>
      </c>
      <c r="M1741" s="2"/>
    </row>
    <row r="1742" spans="1:13">
      <c r="A1742" t="s">
        <v>28</v>
      </c>
      <c r="B1742">
        <f ca="1">IF(OR(changes[[#This Row],[Type]]="Checklist",changes[[#This Row],[Type]]="checklist-flat"),1+IF(changes[[#This Row],[Type of change]] = "Edit",COUNTIFS($I$4:changes[[#This Row],[Name]],changes[[#This Row],[Name]], $E$4:changes[[#This Row],[Type of change]], "Edit")),B1741)</f>
        <v>1</v>
      </c>
      <c r="C1742" s="16">
        <v>44742</v>
      </c>
      <c r="D1742" s="1" t="s">
        <v>2800</v>
      </c>
      <c r="E1742" t="s">
        <v>27</v>
      </c>
      <c r="F1742" s="10" t="s">
        <v>52</v>
      </c>
      <c r="G1742" t="s">
        <v>224</v>
      </c>
      <c r="H1742" t="s">
        <v>55</v>
      </c>
      <c r="I1742" t="s">
        <v>225</v>
      </c>
      <c r="K1742" s="2" t="s">
        <v>6</v>
      </c>
      <c r="M1742" s="2"/>
    </row>
    <row r="1743" spans="1:13">
      <c r="A1743" t="s">
        <v>28</v>
      </c>
      <c r="B1743">
        <f ca="1">IF(OR(changes[[#This Row],[Type]]="Checklist",changes[[#This Row],[Type]]="checklist-flat"),1+IF(changes[[#This Row],[Type of change]] = "Edit",COUNTIFS($I$4:changes[[#This Row],[Name]],changes[[#This Row],[Name]], $E$4:changes[[#This Row],[Type of change]], "Edit")),B1742)</f>
        <v>1</v>
      </c>
      <c r="C1743" s="16">
        <v>44742</v>
      </c>
      <c r="D1743" s="1" t="s">
        <v>2800</v>
      </c>
      <c r="E1743" t="s">
        <v>27</v>
      </c>
      <c r="F1743" s="10" t="s">
        <v>52</v>
      </c>
      <c r="G1743" t="s">
        <v>224</v>
      </c>
      <c r="H1743" t="s">
        <v>55</v>
      </c>
      <c r="I1743" t="s">
        <v>226</v>
      </c>
      <c r="K1743" s="2" t="s">
        <v>6</v>
      </c>
      <c r="M1743" s="2"/>
    </row>
    <row r="1744" spans="1:13">
      <c r="A1744" t="s">
        <v>28</v>
      </c>
      <c r="B1744">
        <f ca="1">IF(OR(changes[[#This Row],[Type]]="Checklist",changes[[#This Row],[Type]]="checklist-flat"),1+IF(changes[[#This Row],[Type of change]] = "Edit",COUNTIFS($I$4:changes[[#This Row],[Name]],changes[[#This Row],[Name]], $E$4:changes[[#This Row],[Type of change]], "Edit")),B1743)</f>
        <v>1</v>
      </c>
      <c r="C1744" s="16">
        <v>44742</v>
      </c>
      <c r="D1744" s="1" t="s">
        <v>2800</v>
      </c>
      <c r="E1744" t="s">
        <v>27</v>
      </c>
      <c r="F1744" s="10" t="s">
        <v>52</v>
      </c>
      <c r="G1744" t="s">
        <v>224</v>
      </c>
      <c r="H1744" t="s">
        <v>55</v>
      </c>
      <c r="I1744" t="s">
        <v>227</v>
      </c>
      <c r="K1744" s="2" t="s">
        <v>6</v>
      </c>
      <c r="M1744" s="2"/>
    </row>
    <row r="1745" spans="1:13">
      <c r="A1745" t="s">
        <v>28</v>
      </c>
      <c r="B1745">
        <f ca="1">IF(OR(changes[[#This Row],[Type]]="Checklist",changes[[#This Row],[Type]]="checklist-flat"),1+IF(changes[[#This Row],[Type of change]] = "Edit",COUNTIFS($I$4:changes[[#This Row],[Name]],changes[[#This Row],[Name]], $E$4:changes[[#This Row],[Type of change]], "Edit")),B1744)</f>
        <v>1</v>
      </c>
      <c r="C1745" s="16">
        <v>44742</v>
      </c>
      <c r="D1745" s="1" t="s">
        <v>2800</v>
      </c>
      <c r="E1745" t="s">
        <v>27</v>
      </c>
      <c r="F1745" s="10" t="s">
        <v>52</v>
      </c>
      <c r="G1745" t="s">
        <v>224</v>
      </c>
      <c r="H1745" t="s">
        <v>55</v>
      </c>
      <c r="I1745" t="s">
        <v>228</v>
      </c>
      <c r="K1745" s="2" t="s">
        <v>6</v>
      </c>
      <c r="M1745" s="2"/>
    </row>
    <row r="1746" spans="1:13">
      <c r="A1746" t="s">
        <v>28</v>
      </c>
      <c r="B1746">
        <f ca="1">IF(OR(changes[[#This Row],[Type]]="Checklist",changes[[#This Row],[Type]]="checklist-flat"),1+IF(changes[[#This Row],[Type of change]] = "Edit",COUNTIFS($I$4:changes[[#This Row],[Name]],changes[[#This Row],[Name]], $E$4:changes[[#This Row],[Type of change]], "Edit")),B1745)</f>
        <v>1</v>
      </c>
      <c r="C1746" s="16">
        <v>44742</v>
      </c>
      <c r="D1746" s="1" t="s">
        <v>2800</v>
      </c>
      <c r="E1746" t="s">
        <v>27</v>
      </c>
      <c r="F1746" s="10" t="s">
        <v>52</v>
      </c>
      <c r="G1746" t="s">
        <v>224</v>
      </c>
      <c r="H1746" t="s">
        <v>55</v>
      </c>
      <c r="I1746" t="s">
        <v>229</v>
      </c>
      <c r="K1746" s="2" t="s">
        <v>6</v>
      </c>
      <c r="M1746" s="2"/>
    </row>
    <row r="1747" spans="1:13">
      <c r="A1747" t="s">
        <v>28</v>
      </c>
      <c r="B1747">
        <f ca="1">IF(OR(changes[[#This Row],[Type]]="Checklist",changes[[#This Row],[Type]]="checklist-flat"),1+IF(changes[[#This Row],[Type of change]] = "Edit",COUNTIFS($I$4:changes[[#This Row],[Name]],changes[[#This Row],[Name]], $E$4:changes[[#This Row],[Type of change]], "Edit")),B1746)</f>
        <v>2</v>
      </c>
      <c r="C1747" s="16">
        <v>44767</v>
      </c>
      <c r="D1747" s="1" t="s">
        <v>2809</v>
      </c>
      <c r="E1747" t="s">
        <v>15</v>
      </c>
      <c r="F1747" s="10" t="s">
        <v>9</v>
      </c>
      <c r="G1747" t="s">
        <v>2558</v>
      </c>
      <c r="H1747" t="s">
        <v>478</v>
      </c>
      <c r="I1747" t="s">
        <v>2558</v>
      </c>
      <c r="K1747" s="2" t="s">
        <v>6</v>
      </c>
      <c r="L1747" t="s">
        <v>2810</v>
      </c>
      <c r="M1747" s="2" t="s">
        <v>2811</v>
      </c>
    </row>
    <row r="1748" spans="1:13">
      <c r="A1748" t="s">
        <v>28</v>
      </c>
      <c r="B1748">
        <f ca="1">IF(OR(changes[[#This Row],[Type]]="Checklist",changes[[#This Row],[Type]]="checklist-flat"),1+IF(changes[[#This Row],[Type of change]] = "Edit",COUNTIFS($I$4:changes[[#This Row],[Name]],changes[[#This Row],[Name]], $E$4:changes[[#This Row],[Type of change]], "Edit")),B1747)</f>
        <v>2</v>
      </c>
      <c r="C1748" s="16">
        <v>44767</v>
      </c>
      <c r="D1748" s="1" t="s">
        <v>2809</v>
      </c>
      <c r="E1748" t="s">
        <v>15</v>
      </c>
      <c r="F1748" s="10" t="s">
        <v>9</v>
      </c>
      <c r="G1748" t="s">
        <v>2558</v>
      </c>
      <c r="H1748" t="s">
        <v>479</v>
      </c>
      <c r="I1748" t="s">
        <v>1176</v>
      </c>
      <c r="K1748" s="2" t="s">
        <v>6</v>
      </c>
      <c r="L1748" t="s">
        <v>2810</v>
      </c>
      <c r="M1748" s="2"/>
    </row>
    <row r="1749" spans="1:13">
      <c r="A1749" t="s">
        <v>28</v>
      </c>
      <c r="B1749">
        <f ca="1">IF(OR(changes[[#This Row],[Type]]="Checklist",changes[[#This Row],[Type]]="checklist-flat"),1+IF(changes[[#This Row],[Type of change]] = "Edit",COUNTIFS($I$4:changes[[#This Row],[Name]],changes[[#This Row],[Name]], $E$4:changes[[#This Row],[Type of change]], "Edit")),B1748)</f>
        <v>2</v>
      </c>
      <c r="C1749" s="16">
        <v>44767</v>
      </c>
      <c r="D1749" s="1" t="s">
        <v>2809</v>
      </c>
      <c r="E1749" t="s">
        <v>15</v>
      </c>
      <c r="F1749" s="10" t="s">
        <v>9</v>
      </c>
      <c r="G1749" t="s">
        <v>2558</v>
      </c>
      <c r="H1749" t="s">
        <v>55</v>
      </c>
      <c r="I1749" t="s">
        <v>1177</v>
      </c>
      <c r="K1749" s="2" t="s">
        <v>6</v>
      </c>
      <c r="L1749" t="s">
        <v>2810</v>
      </c>
      <c r="M1749" s="2"/>
    </row>
    <row r="1750" spans="1:13">
      <c r="A1750" t="s">
        <v>28</v>
      </c>
      <c r="B1750">
        <f ca="1">IF(OR(changes[[#This Row],[Type]]="Checklist",changes[[#This Row],[Type]]="checklist-flat"),1+IF(changes[[#This Row],[Type of change]] = "Edit",COUNTIFS($I$4:changes[[#This Row],[Name]],changes[[#This Row],[Name]], $E$4:changes[[#This Row],[Type of change]], "Edit")),B1749)</f>
        <v>2</v>
      </c>
      <c r="C1750" s="16">
        <v>44767</v>
      </c>
      <c r="D1750" s="1" t="s">
        <v>2809</v>
      </c>
      <c r="E1750" t="s">
        <v>15</v>
      </c>
      <c r="F1750" s="10" t="s">
        <v>9</v>
      </c>
      <c r="G1750" t="s">
        <v>2558</v>
      </c>
      <c r="H1750" t="s">
        <v>55</v>
      </c>
      <c r="I1750" t="s">
        <v>1178</v>
      </c>
      <c r="K1750" s="2" t="s">
        <v>6</v>
      </c>
      <c r="L1750" t="s">
        <v>2810</v>
      </c>
      <c r="M1750" s="2"/>
    </row>
    <row r="1751" spans="1:13">
      <c r="A1751" t="s">
        <v>28</v>
      </c>
      <c r="B1751">
        <f ca="1">IF(OR(changes[[#This Row],[Type]]="Checklist",changes[[#This Row],[Type]]="checklist-flat"),1+IF(changes[[#This Row],[Type of change]] = "Edit",COUNTIFS($I$4:changes[[#This Row],[Name]],changes[[#This Row],[Name]], $E$4:changes[[#This Row],[Type of change]], "Edit")),B1750)</f>
        <v>2</v>
      </c>
      <c r="C1751" s="16">
        <v>44767</v>
      </c>
      <c r="D1751" s="1" t="s">
        <v>2809</v>
      </c>
      <c r="E1751" t="s">
        <v>15</v>
      </c>
      <c r="F1751" s="10" t="s">
        <v>9</v>
      </c>
      <c r="G1751" t="s">
        <v>2558</v>
      </c>
      <c r="H1751" t="s">
        <v>269</v>
      </c>
      <c r="I1751" t="s">
        <v>1179</v>
      </c>
      <c r="K1751" s="2" t="s">
        <v>6</v>
      </c>
      <c r="L1751" t="s">
        <v>2810</v>
      </c>
      <c r="M1751" s="2"/>
    </row>
    <row r="1752" spans="1:13">
      <c r="A1752" t="s">
        <v>28</v>
      </c>
      <c r="B1752">
        <f ca="1">IF(OR(changes[[#This Row],[Type]]="Checklist",changes[[#This Row],[Type]]="checklist-flat"),1+IF(changes[[#This Row],[Type of change]] = "Edit",COUNTIFS($I$4:changes[[#This Row],[Name]],changes[[#This Row],[Name]], $E$4:changes[[#This Row],[Type of change]], "Edit")),B1751)</f>
        <v>2</v>
      </c>
      <c r="C1752" s="16">
        <v>44767</v>
      </c>
      <c r="D1752" s="1" t="s">
        <v>2809</v>
      </c>
      <c r="E1752" t="s">
        <v>15</v>
      </c>
      <c r="F1752" s="10" t="s">
        <v>9</v>
      </c>
      <c r="G1752" t="s">
        <v>2558</v>
      </c>
      <c r="H1752" t="s">
        <v>269</v>
      </c>
      <c r="I1752" t="s">
        <v>1180</v>
      </c>
      <c r="K1752" s="2" t="s">
        <v>6</v>
      </c>
      <c r="L1752" t="s">
        <v>2810</v>
      </c>
      <c r="M1752" s="2"/>
    </row>
    <row r="1753" spans="1:13">
      <c r="A1753" t="s">
        <v>28</v>
      </c>
      <c r="B1753">
        <f ca="1">IF(OR(changes[[#This Row],[Type]]="Checklist",changes[[#This Row],[Type]]="checklist-flat"),1+IF(changes[[#This Row],[Type of change]] = "Edit",COUNTIFS($I$4:changes[[#This Row],[Name]],changes[[#This Row],[Name]], $E$4:changes[[#This Row],[Type of change]], "Edit")),B1752)</f>
        <v>2</v>
      </c>
      <c r="C1753" s="16">
        <v>44767</v>
      </c>
      <c r="D1753" s="1" t="s">
        <v>2809</v>
      </c>
      <c r="E1753" t="s">
        <v>15</v>
      </c>
      <c r="F1753" s="10" t="s">
        <v>9</v>
      </c>
      <c r="G1753" t="s">
        <v>2558</v>
      </c>
      <c r="H1753" t="s">
        <v>269</v>
      </c>
      <c r="I1753" t="s">
        <v>1181</v>
      </c>
      <c r="K1753" s="2" t="s">
        <v>6</v>
      </c>
      <c r="L1753" t="s">
        <v>2810</v>
      </c>
      <c r="M1753" s="2"/>
    </row>
    <row r="1754" spans="1:13">
      <c r="A1754" t="s">
        <v>28</v>
      </c>
      <c r="B1754">
        <f ca="1">IF(OR(changes[[#This Row],[Type]]="Checklist",changes[[#This Row],[Type]]="checklist-flat"),1+IF(changes[[#This Row],[Type of change]] = "Edit",COUNTIFS($I$4:changes[[#This Row],[Name]],changes[[#This Row],[Name]], $E$4:changes[[#This Row],[Type of change]], "Edit")),B1753)</f>
        <v>2</v>
      </c>
      <c r="C1754" s="16">
        <v>44767</v>
      </c>
      <c r="D1754" s="1" t="s">
        <v>2809</v>
      </c>
      <c r="E1754" t="s">
        <v>15</v>
      </c>
      <c r="F1754" s="10" t="s">
        <v>9</v>
      </c>
      <c r="G1754" t="s">
        <v>2558</v>
      </c>
      <c r="H1754" t="s">
        <v>269</v>
      </c>
      <c r="I1754" t="s">
        <v>1182</v>
      </c>
      <c r="K1754" s="2" t="s">
        <v>6</v>
      </c>
      <c r="L1754" t="s">
        <v>2810</v>
      </c>
      <c r="M1754" s="2"/>
    </row>
    <row r="1755" spans="1:13">
      <c r="A1755" t="s">
        <v>28</v>
      </c>
      <c r="B1755">
        <f ca="1">IF(OR(changes[[#This Row],[Type]]="Checklist",changes[[#This Row],[Type]]="checklist-flat"),1+IF(changes[[#This Row],[Type of change]] = "Edit",COUNTIFS($I$4:changes[[#This Row],[Name]],changes[[#This Row],[Name]], $E$4:changes[[#This Row],[Type of change]], "Edit")),B1754)</f>
        <v>2</v>
      </c>
      <c r="C1755" s="16">
        <v>44767</v>
      </c>
      <c r="D1755" s="1" t="s">
        <v>2809</v>
      </c>
      <c r="E1755" t="s">
        <v>15</v>
      </c>
      <c r="F1755" s="10" t="s">
        <v>9</v>
      </c>
      <c r="G1755" t="s">
        <v>2558</v>
      </c>
      <c r="H1755" t="s">
        <v>269</v>
      </c>
      <c r="I1755" t="s">
        <v>1183</v>
      </c>
      <c r="K1755" s="2" t="s">
        <v>6</v>
      </c>
      <c r="L1755" t="s">
        <v>2810</v>
      </c>
      <c r="M1755" s="2"/>
    </row>
    <row r="1756" spans="1:13">
      <c r="A1756" t="s">
        <v>28</v>
      </c>
      <c r="B1756">
        <f ca="1">IF(OR(changes[[#This Row],[Type]]="Checklist",changes[[#This Row],[Type]]="checklist-flat"),1+IF(changes[[#This Row],[Type of change]] = "Edit",COUNTIFS($I$4:changes[[#This Row],[Name]],changes[[#This Row],[Name]], $E$4:changes[[#This Row],[Type of change]], "Edit")),B1755)</f>
        <v>2</v>
      </c>
      <c r="C1756" s="16">
        <v>44767</v>
      </c>
      <c r="D1756" s="1" t="s">
        <v>2809</v>
      </c>
      <c r="E1756" t="s">
        <v>15</v>
      </c>
      <c r="F1756" s="10" t="s">
        <v>9</v>
      </c>
      <c r="G1756" t="s">
        <v>2558</v>
      </c>
      <c r="H1756" t="s">
        <v>1184</v>
      </c>
      <c r="I1756" t="s">
        <v>1185</v>
      </c>
      <c r="K1756" s="2" t="s">
        <v>6</v>
      </c>
      <c r="L1756" t="s">
        <v>2810</v>
      </c>
      <c r="M1756" s="2"/>
    </row>
    <row r="1757" spans="1:13">
      <c r="A1757" t="s">
        <v>28</v>
      </c>
      <c r="B1757">
        <f ca="1">IF(OR(changes[[#This Row],[Type]]="Checklist",changes[[#This Row],[Type]]="checklist-flat"),1+IF(changes[[#This Row],[Type of change]] = "Edit",COUNTIFS($I$4:changes[[#This Row],[Name]],changes[[#This Row],[Name]], $E$4:changes[[#This Row],[Type of change]], "Edit")),B1756)</f>
        <v>2</v>
      </c>
      <c r="C1757" s="16">
        <v>44767</v>
      </c>
      <c r="D1757" s="1" t="s">
        <v>2809</v>
      </c>
      <c r="E1757" t="s">
        <v>15</v>
      </c>
      <c r="F1757" s="10" t="s">
        <v>9</v>
      </c>
      <c r="G1757" t="s">
        <v>2558</v>
      </c>
      <c r="H1757" t="s">
        <v>269</v>
      </c>
      <c r="I1757" t="s">
        <v>1186</v>
      </c>
      <c r="K1757" s="2" t="s">
        <v>6</v>
      </c>
      <c r="L1757" t="s">
        <v>2810</v>
      </c>
      <c r="M1757" s="2"/>
    </row>
    <row r="1758" spans="1:13">
      <c r="A1758" t="s">
        <v>28</v>
      </c>
      <c r="B1758">
        <f ca="1">IF(OR(changes[[#This Row],[Type]]="Checklist",changes[[#This Row],[Type]]="checklist-flat"),1+IF(changes[[#This Row],[Type of change]] = "Edit",COUNTIFS($I$4:changes[[#This Row],[Name]],changes[[#This Row],[Name]], $E$4:changes[[#This Row],[Type of change]], "Edit")),B1757)</f>
        <v>2</v>
      </c>
      <c r="C1758" s="16">
        <v>44767</v>
      </c>
      <c r="D1758" s="1" t="s">
        <v>2809</v>
      </c>
      <c r="E1758" t="s">
        <v>15</v>
      </c>
      <c r="F1758" s="10" t="s">
        <v>9</v>
      </c>
      <c r="G1758" t="s">
        <v>2558</v>
      </c>
      <c r="H1758" t="s">
        <v>269</v>
      </c>
      <c r="I1758" t="s">
        <v>1187</v>
      </c>
      <c r="K1758" s="2" t="s">
        <v>6</v>
      </c>
      <c r="L1758" t="s">
        <v>2810</v>
      </c>
      <c r="M1758" s="2"/>
    </row>
    <row r="1759" spans="1:13">
      <c r="A1759" t="s">
        <v>28</v>
      </c>
      <c r="B1759">
        <f ca="1">IF(OR(changes[[#This Row],[Type]]="Checklist",changes[[#This Row],[Type]]="checklist-flat"),1+IF(changes[[#This Row],[Type of change]] = "Edit",COUNTIFS($I$4:changes[[#This Row],[Name]],changes[[#This Row],[Name]], $E$4:changes[[#This Row],[Type of change]], "Edit")),B1758)</f>
        <v>2</v>
      </c>
      <c r="C1759" s="16">
        <v>44767</v>
      </c>
      <c r="D1759" s="1" t="s">
        <v>2809</v>
      </c>
      <c r="E1759" t="s">
        <v>15</v>
      </c>
      <c r="F1759" s="10" t="s">
        <v>9</v>
      </c>
      <c r="G1759" t="s">
        <v>2558</v>
      </c>
      <c r="H1759" t="s">
        <v>269</v>
      </c>
      <c r="I1759" t="s">
        <v>1188</v>
      </c>
      <c r="K1759" s="2" t="s">
        <v>6</v>
      </c>
      <c r="L1759" t="s">
        <v>2810</v>
      </c>
      <c r="M1759" s="2"/>
    </row>
    <row r="1760" spans="1:13">
      <c r="A1760" t="s">
        <v>28</v>
      </c>
      <c r="B1760">
        <f ca="1">IF(OR(changes[[#This Row],[Type]]="Checklist",changes[[#This Row],[Type]]="checklist-flat"),1+IF(changes[[#This Row],[Type of change]] = "Edit",COUNTIFS($I$4:changes[[#This Row],[Name]],changes[[#This Row],[Name]], $E$4:changes[[#This Row],[Type of change]], "Edit")),B1759)</f>
        <v>2</v>
      </c>
      <c r="C1760" s="16">
        <v>44767</v>
      </c>
      <c r="D1760" s="1" t="s">
        <v>2809</v>
      </c>
      <c r="E1760" t="s">
        <v>15</v>
      </c>
      <c r="F1760" s="10" t="s">
        <v>9</v>
      </c>
      <c r="G1760" t="s">
        <v>2558</v>
      </c>
      <c r="H1760" t="s">
        <v>269</v>
      </c>
      <c r="I1760" t="s">
        <v>1189</v>
      </c>
      <c r="K1760" s="2" t="s">
        <v>6</v>
      </c>
      <c r="L1760" t="s">
        <v>2810</v>
      </c>
      <c r="M1760" s="2"/>
    </row>
    <row r="1761" spans="1:13">
      <c r="A1761" t="s">
        <v>28</v>
      </c>
      <c r="B1761">
        <f ca="1">IF(OR(changes[[#This Row],[Type]]="Checklist",changes[[#This Row],[Type]]="checklist-flat"),1+IF(changes[[#This Row],[Type of change]] = "Edit",COUNTIFS($I$4:changes[[#This Row],[Name]],changes[[#This Row],[Name]], $E$4:changes[[#This Row],[Type of change]], "Edit")),B1760)</f>
        <v>2</v>
      </c>
      <c r="C1761" s="16">
        <v>44767</v>
      </c>
      <c r="D1761" s="1" t="s">
        <v>2809</v>
      </c>
      <c r="E1761" t="s">
        <v>15</v>
      </c>
      <c r="F1761" s="10" t="s">
        <v>9</v>
      </c>
      <c r="G1761" t="s">
        <v>2558</v>
      </c>
      <c r="H1761" t="s">
        <v>269</v>
      </c>
      <c r="I1761" t="s">
        <v>1190</v>
      </c>
      <c r="K1761" s="2" t="s">
        <v>6</v>
      </c>
      <c r="L1761" t="s">
        <v>2810</v>
      </c>
      <c r="M1761" s="2"/>
    </row>
    <row r="1762" spans="1:13">
      <c r="A1762" t="s">
        <v>28</v>
      </c>
      <c r="B1762">
        <f ca="1">IF(OR(changes[[#This Row],[Type]]="Checklist",changes[[#This Row],[Type]]="checklist-flat"),1+IF(changes[[#This Row],[Type of change]] = "Edit",COUNTIFS($I$4:changes[[#This Row],[Name]],changes[[#This Row],[Name]], $E$4:changes[[#This Row],[Type of change]], "Edit")),B1761)</f>
        <v>2</v>
      </c>
      <c r="C1762" s="16">
        <v>44767</v>
      </c>
      <c r="D1762" s="1" t="s">
        <v>2809</v>
      </c>
      <c r="E1762" t="s">
        <v>15</v>
      </c>
      <c r="F1762" s="10" t="s">
        <v>9</v>
      </c>
      <c r="G1762" t="s">
        <v>2558</v>
      </c>
      <c r="H1762" t="s">
        <v>1184</v>
      </c>
      <c r="I1762" t="s">
        <v>1191</v>
      </c>
      <c r="K1762" s="2" t="s">
        <v>6</v>
      </c>
      <c r="L1762" t="s">
        <v>2810</v>
      </c>
      <c r="M1762" s="2"/>
    </row>
    <row r="1763" spans="1:13">
      <c r="A1763" t="s">
        <v>28</v>
      </c>
      <c r="B1763">
        <f ca="1">IF(OR(changes[[#This Row],[Type]]="Checklist",changes[[#This Row],[Type]]="checklist-flat"),1+IF(changes[[#This Row],[Type of change]] = "Edit",COUNTIFS($I$4:changes[[#This Row],[Name]],changes[[#This Row],[Name]], $E$4:changes[[#This Row],[Type of change]], "Edit")),B1762)</f>
        <v>2</v>
      </c>
      <c r="C1763" s="16">
        <v>44767</v>
      </c>
      <c r="D1763" s="1" t="s">
        <v>2809</v>
      </c>
      <c r="E1763" t="s">
        <v>15</v>
      </c>
      <c r="F1763" s="10" t="s">
        <v>9</v>
      </c>
      <c r="G1763" t="s">
        <v>2558</v>
      </c>
      <c r="H1763" t="s">
        <v>269</v>
      </c>
      <c r="I1763" t="s">
        <v>1192</v>
      </c>
      <c r="K1763" s="2" t="s">
        <v>6</v>
      </c>
      <c r="L1763" t="s">
        <v>2810</v>
      </c>
      <c r="M1763" s="2"/>
    </row>
    <row r="1764" spans="1:13">
      <c r="A1764" t="s">
        <v>28</v>
      </c>
      <c r="B1764">
        <f ca="1">IF(OR(changes[[#This Row],[Type]]="Checklist",changes[[#This Row],[Type]]="checklist-flat"),1+IF(changes[[#This Row],[Type of change]] = "Edit",COUNTIFS($I$4:changes[[#This Row],[Name]],changes[[#This Row],[Name]], $E$4:changes[[#This Row],[Type of change]], "Edit")),B1763)</f>
        <v>2</v>
      </c>
      <c r="C1764" s="16">
        <v>44767</v>
      </c>
      <c r="D1764" s="1" t="s">
        <v>2809</v>
      </c>
      <c r="E1764" t="s">
        <v>15</v>
      </c>
      <c r="F1764" s="10" t="s">
        <v>9</v>
      </c>
      <c r="G1764" t="s">
        <v>2558</v>
      </c>
      <c r="H1764" t="s">
        <v>269</v>
      </c>
      <c r="I1764" t="s">
        <v>1193</v>
      </c>
      <c r="K1764" s="2" t="s">
        <v>6</v>
      </c>
      <c r="L1764" t="s">
        <v>2810</v>
      </c>
      <c r="M1764" s="2"/>
    </row>
    <row r="1765" spans="1:13">
      <c r="A1765" t="s">
        <v>28</v>
      </c>
      <c r="B1765">
        <f ca="1">IF(OR(changes[[#This Row],[Type]]="Checklist",changes[[#This Row],[Type]]="checklist-flat"),1+IF(changes[[#This Row],[Type of change]] = "Edit",COUNTIFS($I$4:changes[[#This Row],[Name]],changes[[#This Row],[Name]], $E$4:changes[[#This Row],[Type of change]], "Edit")),B1764)</f>
        <v>2</v>
      </c>
      <c r="C1765" s="16">
        <v>44767</v>
      </c>
      <c r="D1765" s="1" t="s">
        <v>2809</v>
      </c>
      <c r="E1765" t="s">
        <v>15</v>
      </c>
      <c r="F1765" s="10" t="s">
        <v>9</v>
      </c>
      <c r="G1765" t="s">
        <v>2558</v>
      </c>
      <c r="H1765" t="s">
        <v>269</v>
      </c>
      <c r="I1765" t="s">
        <v>1194</v>
      </c>
      <c r="K1765" s="2" t="s">
        <v>6</v>
      </c>
      <c r="L1765" t="s">
        <v>2810</v>
      </c>
      <c r="M1765" s="2"/>
    </row>
    <row r="1766" spans="1:13">
      <c r="A1766" t="s">
        <v>28</v>
      </c>
      <c r="B1766">
        <f ca="1">IF(OR(changes[[#This Row],[Type]]="Checklist",changes[[#This Row],[Type]]="checklist-flat"),1+IF(changes[[#This Row],[Type of change]] = "Edit",COUNTIFS($I$4:changes[[#This Row],[Name]],changes[[#This Row],[Name]], $E$4:changes[[#This Row],[Type of change]], "Edit")),B1765)</f>
        <v>2</v>
      </c>
      <c r="C1766" s="16">
        <v>44767</v>
      </c>
      <c r="D1766" s="1" t="s">
        <v>2809</v>
      </c>
      <c r="E1766" t="s">
        <v>15</v>
      </c>
      <c r="F1766" s="10" t="s">
        <v>9</v>
      </c>
      <c r="G1766" t="s">
        <v>2558</v>
      </c>
      <c r="H1766" t="s">
        <v>269</v>
      </c>
      <c r="I1766" t="s">
        <v>1195</v>
      </c>
      <c r="K1766" s="2" t="s">
        <v>6</v>
      </c>
      <c r="L1766" t="s">
        <v>2810</v>
      </c>
      <c r="M1766" s="2"/>
    </row>
    <row r="1767" spans="1:13">
      <c r="A1767" t="s">
        <v>28</v>
      </c>
      <c r="B1767">
        <f ca="1">IF(OR(changes[[#This Row],[Type]]="Checklist",changes[[#This Row],[Type]]="checklist-flat"),1+IF(changes[[#This Row],[Type of change]] = "Edit",COUNTIFS($I$4:changes[[#This Row],[Name]],changes[[#This Row],[Name]], $E$4:changes[[#This Row],[Type of change]], "Edit")),B1766)</f>
        <v>2</v>
      </c>
      <c r="C1767" s="16">
        <v>44767</v>
      </c>
      <c r="D1767" s="1" t="s">
        <v>2809</v>
      </c>
      <c r="E1767" t="s">
        <v>15</v>
      </c>
      <c r="F1767" s="10" t="s">
        <v>9</v>
      </c>
      <c r="G1767" t="s">
        <v>2558</v>
      </c>
      <c r="H1767" t="s">
        <v>269</v>
      </c>
      <c r="I1767" t="s">
        <v>1196</v>
      </c>
      <c r="K1767" s="2" t="s">
        <v>6</v>
      </c>
      <c r="L1767" t="s">
        <v>2810</v>
      </c>
      <c r="M1767" s="2"/>
    </row>
    <row r="1768" spans="1:13">
      <c r="A1768" t="s">
        <v>28</v>
      </c>
      <c r="B1768">
        <f ca="1">IF(OR(changes[[#This Row],[Type]]="Checklist",changes[[#This Row],[Type]]="checklist-flat"),1+IF(changes[[#This Row],[Type of change]] = "Edit",COUNTIFS($I$4:changes[[#This Row],[Name]],changes[[#This Row],[Name]], $E$4:changes[[#This Row],[Type of change]], "Edit")),B1767)</f>
        <v>2</v>
      </c>
      <c r="C1768" s="16">
        <v>44767</v>
      </c>
      <c r="D1768" s="1" t="s">
        <v>2809</v>
      </c>
      <c r="E1768" t="s">
        <v>15</v>
      </c>
      <c r="F1768" s="10" t="s">
        <v>9</v>
      </c>
      <c r="G1768" t="s">
        <v>2558</v>
      </c>
      <c r="H1768" t="s">
        <v>269</v>
      </c>
      <c r="I1768" t="s">
        <v>1197</v>
      </c>
      <c r="K1768" s="2" t="s">
        <v>6</v>
      </c>
      <c r="L1768" t="s">
        <v>2810</v>
      </c>
      <c r="M1768" s="2"/>
    </row>
    <row r="1769" spans="1:13">
      <c r="A1769" t="s">
        <v>28</v>
      </c>
      <c r="B1769">
        <f ca="1">IF(OR(changes[[#This Row],[Type]]="Checklist",changes[[#This Row],[Type]]="checklist-flat"),1+IF(changes[[#This Row],[Type of change]] = "Edit",COUNTIFS($I$4:changes[[#This Row],[Name]],changes[[#This Row],[Name]], $E$4:changes[[#This Row],[Type of change]], "Edit")),B1768)</f>
        <v>2</v>
      </c>
      <c r="C1769" s="16">
        <v>44767</v>
      </c>
      <c r="D1769" s="1" t="s">
        <v>2809</v>
      </c>
      <c r="E1769" t="s">
        <v>15</v>
      </c>
      <c r="F1769" s="10" t="s">
        <v>9</v>
      </c>
      <c r="G1769" t="s">
        <v>2558</v>
      </c>
      <c r="H1769" t="s">
        <v>1184</v>
      </c>
      <c r="I1769" t="s">
        <v>1198</v>
      </c>
      <c r="K1769" s="2" t="s">
        <v>6</v>
      </c>
      <c r="L1769" t="s">
        <v>2810</v>
      </c>
      <c r="M1769" s="2"/>
    </row>
    <row r="1770" spans="1:13">
      <c r="A1770" t="s">
        <v>28</v>
      </c>
      <c r="B1770">
        <f ca="1">IF(OR(changes[[#This Row],[Type]]="Checklist",changes[[#This Row],[Type]]="checklist-flat"),1+IF(changes[[#This Row],[Type of change]] = "Edit",COUNTIFS($I$4:changes[[#This Row],[Name]],changes[[#This Row],[Name]], $E$4:changes[[#This Row],[Type of change]], "Edit")),B1769)</f>
        <v>2</v>
      </c>
      <c r="C1770" s="16">
        <v>44767</v>
      </c>
      <c r="D1770" s="1" t="s">
        <v>2809</v>
      </c>
      <c r="E1770" t="s">
        <v>15</v>
      </c>
      <c r="F1770" s="10" t="s">
        <v>9</v>
      </c>
      <c r="G1770" t="s">
        <v>2558</v>
      </c>
      <c r="H1770" t="s">
        <v>269</v>
      </c>
      <c r="I1770" t="s">
        <v>1199</v>
      </c>
      <c r="K1770" s="2" t="s">
        <v>6</v>
      </c>
      <c r="L1770" t="s">
        <v>2810</v>
      </c>
      <c r="M1770" s="2"/>
    </row>
    <row r="1771" spans="1:13">
      <c r="A1771" t="s">
        <v>28</v>
      </c>
      <c r="B1771">
        <f ca="1">IF(OR(changes[[#This Row],[Type]]="Checklist",changes[[#This Row],[Type]]="checklist-flat"),1+IF(changes[[#This Row],[Type of change]] = "Edit",COUNTIFS($I$4:changes[[#This Row],[Name]],changes[[#This Row],[Name]], $E$4:changes[[#This Row],[Type of change]], "Edit")),B1770)</f>
        <v>2</v>
      </c>
      <c r="C1771" s="16">
        <v>44767</v>
      </c>
      <c r="D1771" s="1" t="s">
        <v>2809</v>
      </c>
      <c r="E1771" t="s">
        <v>15</v>
      </c>
      <c r="F1771" s="10" t="s">
        <v>9</v>
      </c>
      <c r="G1771" t="s">
        <v>2558</v>
      </c>
      <c r="H1771" t="s">
        <v>269</v>
      </c>
      <c r="I1771" t="s">
        <v>1200</v>
      </c>
      <c r="K1771" s="2" t="s">
        <v>6</v>
      </c>
      <c r="L1771" t="s">
        <v>2810</v>
      </c>
      <c r="M1771" s="2"/>
    </row>
    <row r="1772" spans="1:13">
      <c r="A1772" t="s">
        <v>28</v>
      </c>
      <c r="B1772">
        <f ca="1">IF(OR(changes[[#This Row],[Type]]="Checklist",changes[[#This Row],[Type]]="checklist-flat"),1+IF(changes[[#This Row],[Type of change]] = "Edit",COUNTIFS($I$4:changes[[#This Row],[Name]],changes[[#This Row],[Name]], $E$4:changes[[#This Row],[Type of change]], "Edit")),B1771)</f>
        <v>2</v>
      </c>
      <c r="C1772" s="16">
        <v>44767</v>
      </c>
      <c r="D1772" s="1" t="s">
        <v>2809</v>
      </c>
      <c r="E1772" t="s">
        <v>15</v>
      </c>
      <c r="F1772" s="10" t="s">
        <v>9</v>
      </c>
      <c r="G1772" t="s">
        <v>2558</v>
      </c>
      <c r="H1772" t="s">
        <v>269</v>
      </c>
      <c r="I1772" t="s">
        <v>1201</v>
      </c>
      <c r="K1772" s="2" t="s">
        <v>6</v>
      </c>
      <c r="L1772" t="s">
        <v>2810</v>
      </c>
      <c r="M1772" s="2"/>
    </row>
    <row r="1773" spans="1:13">
      <c r="A1773" t="s">
        <v>28</v>
      </c>
      <c r="B1773">
        <f ca="1">IF(OR(changes[[#This Row],[Type]]="Checklist",changes[[#This Row],[Type]]="checklist-flat"),1+IF(changes[[#This Row],[Type of change]] = "Edit",COUNTIFS($I$4:changes[[#This Row],[Name]],changes[[#This Row],[Name]], $E$4:changes[[#This Row],[Type of change]], "Edit")),B1772)</f>
        <v>2</v>
      </c>
      <c r="C1773" s="16">
        <v>44767</v>
      </c>
      <c r="D1773" s="1" t="s">
        <v>2809</v>
      </c>
      <c r="E1773" t="s">
        <v>15</v>
      </c>
      <c r="F1773" s="10" t="s">
        <v>9</v>
      </c>
      <c r="G1773" t="s">
        <v>2558</v>
      </c>
      <c r="H1773" t="s">
        <v>269</v>
      </c>
      <c r="I1773" t="s">
        <v>1202</v>
      </c>
      <c r="K1773" s="2" t="s">
        <v>6</v>
      </c>
      <c r="L1773" t="s">
        <v>2810</v>
      </c>
      <c r="M1773" s="2"/>
    </row>
    <row r="1774" spans="1:13">
      <c r="A1774" t="s">
        <v>28</v>
      </c>
      <c r="B1774">
        <f ca="1">IF(OR(changes[[#This Row],[Type]]="Checklist",changes[[#This Row],[Type]]="checklist-flat"),1+IF(changes[[#This Row],[Type of change]] = "Edit",COUNTIFS($I$4:changes[[#This Row],[Name]],changes[[#This Row],[Name]], $E$4:changes[[#This Row],[Type of change]], "Edit")),B1773)</f>
        <v>2</v>
      </c>
      <c r="C1774" s="16">
        <v>44767</v>
      </c>
      <c r="D1774" s="1" t="s">
        <v>2809</v>
      </c>
      <c r="E1774" t="s">
        <v>15</v>
      </c>
      <c r="F1774" s="10" t="s">
        <v>9</v>
      </c>
      <c r="G1774" t="s">
        <v>2558</v>
      </c>
      <c r="H1774" t="s">
        <v>269</v>
      </c>
      <c r="I1774" t="s">
        <v>1203</v>
      </c>
      <c r="K1774" s="2" t="s">
        <v>6</v>
      </c>
      <c r="L1774" t="s">
        <v>2810</v>
      </c>
      <c r="M1774" s="2"/>
    </row>
    <row r="1775" spans="1:13">
      <c r="A1775" t="s">
        <v>28</v>
      </c>
      <c r="B1775">
        <f ca="1">IF(OR(changes[[#This Row],[Type]]="Checklist",changes[[#This Row],[Type]]="checklist-flat"),1+IF(changes[[#This Row],[Type of change]] = "Edit",COUNTIFS($I$4:changes[[#This Row],[Name]],changes[[#This Row],[Name]], $E$4:changes[[#This Row],[Type of change]], "Edit")),B1774)</f>
        <v>2</v>
      </c>
      <c r="C1775" s="16">
        <v>44767</v>
      </c>
      <c r="D1775" s="1" t="s">
        <v>2809</v>
      </c>
      <c r="E1775" t="s">
        <v>15</v>
      </c>
      <c r="F1775" s="10" t="s">
        <v>9</v>
      </c>
      <c r="G1775" t="s">
        <v>2558</v>
      </c>
      <c r="H1775" t="s">
        <v>269</v>
      </c>
      <c r="I1775" t="s">
        <v>1204</v>
      </c>
      <c r="K1775" s="2" t="s">
        <v>6</v>
      </c>
      <c r="L1775" t="s">
        <v>2810</v>
      </c>
      <c r="M1775" s="2"/>
    </row>
    <row r="1776" spans="1:13">
      <c r="A1776" t="s">
        <v>28</v>
      </c>
      <c r="B1776">
        <f ca="1">IF(OR(changes[[#This Row],[Type]]="Checklist",changes[[#This Row],[Type]]="checklist-flat"),1+IF(changes[[#This Row],[Type of change]] = "Edit",COUNTIFS($I$4:changes[[#This Row],[Name]],changes[[#This Row],[Name]], $E$4:changes[[#This Row],[Type of change]], "Edit")),B1775)</f>
        <v>2</v>
      </c>
      <c r="C1776" s="16">
        <v>44767</v>
      </c>
      <c r="D1776" s="1" t="s">
        <v>2809</v>
      </c>
      <c r="E1776" t="s">
        <v>15</v>
      </c>
      <c r="F1776" s="10" t="s">
        <v>9</v>
      </c>
      <c r="G1776" t="s">
        <v>2558</v>
      </c>
      <c r="H1776" t="s">
        <v>269</v>
      </c>
      <c r="I1776" t="s">
        <v>1205</v>
      </c>
      <c r="K1776" s="2" t="s">
        <v>6</v>
      </c>
      <c r="L1776" t="s">
        <v>2810</v>
      </c>
      <c r="M1776" s="2"/>
    </row>
    <row r="1777" spans="1:13">
      <c r="A1777" t="s">
        <v>28</v>
      </c>
      <c r="B1777">
        <f ca="1">IF(OR(changes[[#This Row],[Type]]="Checklist",changes[[#This Row],[Type]]="checklist-flat"),1+IF(changes[[#This Row],[Type of change]] = "Edit",COUNTIFS($I$4:changes[[#This Row],[Name]],changes[[#This Row],[Name]], $E$4:changes[[#This Row],[Type of change]], "Edit")),B1776)</f>
        <v>2</v>
      </c>
      <c r="C1777" s="16">
        <v>44767</v>
      </c>
      <c r="D1777" s="1" t="s">
        <v>2809</v>
      </c>
      <c r="E1777" t="s">
        <v>15</v>
      </c>
      <c r="F1777" s="10" t="s">
        <v>9</v>
      </c>
      <c r="G1777" t="s">
        <v>2558</v>
      </c>
      <c r="H1777" t="s">
        <v>64</v>
      </c>
      <c r="I1777" t="s">
        <v>1142</v>
      </c>
      <c r="K1777" s="2" t="s">
        <v>6</v>
      </c>
      <c r="L1777" t="s">
        <v>2810</v>
      </c>
      <c r="M1777" s="2"/>
    </row>
    <row r="1778" spans="1:13">
      <c r="A1778" t="s">
        <v>28</v>
      </c>
      <c r="B1778">
        <f ca="1">IF(OR(changes[[#This Row],[Type]]="Checklist",changes[[#This Row],[Type]]="checklist-flat"),1+IF(changes[[#This Row],[Type of change]] = "Edit",COUNTIFS($I$4:changes[[#This Row],[Name]],changes[[#This Row],[Name]], $E$4:changes[[#This Row],[Type of change]], "Edit")),B1777)</f>
        <v>3</v>
      </c>
      <c r="C1778" s="16">
        <v>44767</v>
      </c>
      <c r="D1778" s="1" t="s">
        <v>2812</v>
      </c>
      <c r="E1778" t="s">
        <v>15</v>
      </c>
      <c r="F1778" s="10" t="s">
        <v>9</v>
      </c>
      <c r="G1778" t="s">
        <v>417</v>
      </c>
      <c r="H1778" t="s">
        <v>54</v>
      </c>
      <c r="I1778" t="s">
        <v>417</v>
      </c>
      <c r="K1778" s="2" t="s">
        <v>6</v>
      </c>
      <c r="M1778" s="2"/>
    </row>
    <row r="1779" spans="1:13">
      <c r="A1779" t="s">
        <v>28</v>
      </c>
      <c r="B1779">
        <f ca="1">IF(OR(changes[[#This Row],[Type]]="Checklist",changes[[#This Row],[Type]]="checklist-flat"),1+IF(changes[[#This Row],[Type of change]] = "Edit",COUNTIFS($I$4:changes[[#This Row],[Name]],changes[[#This Row],[Name]], $E$4:changes[[#This Row],[Type of change]], "Edit")),B1778)</f>
        <v>3</v>
      </c>
      <c r="C1779" s="16">
        <v>44767</v>
      </c>
      <c r="D1779" s="1" t="s">
        <v>2812</v>
      </c>
      <c r="E1779" t="s">
        <v>15</v>
      </c>
      <c r="F1779" s="10" t="s">
        <v>9</v>
      </c>
      <c r="G1779" t="s">
        <v>417</v>
      </c>
      <c r="H1779" t="s">
        <v>55</v>
      </c>
      <c r="I1779" t="s">
        <v>418</v>
      </c>
      <c r="K1779" s="2" t="s">
        <v>6</v>
      </c>
      <c r="M1779" s="2"/>
    </row>
    <row r="1780" spans="1:13">
      <c r="A1780" t="s">
        <v>28</v>
      </c>
      <c r="B1780">
        <f ca="1">IF(OR(changes[[#This Row],[Type]]="Checklist",changes[[#This Row],[Type]]="checklist-flat"),1+IF(changes[[#This Row],[Type of change]] = "Edit",COUNTIFS($I$4:changes[[#This Row],[Name]],changes[[#This Row],[Name]], $E$4:changes[[#This Row],[Type of change]], "Edit")),B1779)</f>
        <v>3</v>
      </c>
      <c r="C1780" s="16">
        <v>44767</v>
      </c>
      <c r="D1780" s="1" t="s">
        <v>2812</v>
      </c>
      <c r="E1780" t="s">
        <v>15</v>
      </c>
      <c r="F1780" s="10" t="s">
        <v>9</v>
      </c>
      <c r="G1780" t="s">
        <v>417</v>
      </c>
      <c r="H1780" t="s">
        <v>99</v>
      </c>
      <c r="I1780" t="s">
        <v>419</v>
      </c>
      <c r="K1780" s="2" t="s">
        <v>6</v>
      </c>
      <c r="M1780" s="2"/>
    </row>
    <row r="1781" spans="1:13">
      <c r="A1781" t="s">
        <v>28</v>
      </c>
      <c r="B1781">
        <f ca="1">IF(OR(changes[[#This Row],[Type]]="Checklist",changes[[#This Row],[Type]]="checklist-flat"),1+IF(changes[[#This Row],[Type of change]] = "Edit",COUNTIFS($I$4:changes[[#This Row],[Name]],changes[[#This Row],[Name]], $E$4:changes[[#This Row],[Type of change]], "Edit")),B1780)</f>
        <v>3</v>
      </c>
      <c r="C1781" s="16">
        <v>44767</v>
      </c>
      <c r="D1781" s="1" t="s">
        <v>2812</v>
      </c>
      <c r="E1781" t="s">
        <v>15</v>
      </c>
      <c r="F1781" s="10" t="s">
        <v>9</v>
      </c>
      <c r="G1781" t="s">
        <v>417</v>
      </c>
      <c r="H1781" t="s">
        <v>420</v>
      </c>
      <c r="I1781" t="s">
        <v>421</v>
      </c>
      <c r="K1781" s="2" t="s">
        <v>6</v>
      </c>
      <c r="M1781" s="2"/>
    </row>
    <row r="1782" spans="1:13">
      <c r="A1782" t="s">
        <v>28</v>
      </c>
      <c r="B1782">
        <f ca="1">IF(OR(changes[[#This Row],[Type]]="Checklist",changes[[#This Row],[Type]]="checklist-flat"),1+IF(changes[[#This Row],[Type of change]] = "Edit",COUNTIFS($I$4:changes[[#This Row],[Name]],changes[[#This Row],[Name]], $E$4:changes[[#This Row],[Type of change]], "Edit")),B1781)</f>
        <v>3</v>
      </c>
      <c r="C1782" s="16">
        <v>44767</v>
      </c>
      <c r="D1782" s="1" t="s">
        <v>2812</v>
      </c>
      <c r="E1782" t="s">
        <v>15</v>
      </c>
      <c r="F1782" s="10" t="s">
        <v>9</v>
      </c>
      <c r="G1782" t="s">
        <v>417</v>
      </c>
      <c r="H1782" t="s">
        <v>64</v>
      </c>
      <c r="I1782" t="s">
        <v>422</v>
      </c>
      <c r="K1782" s="2" t="s">
        <v>6</v>
      </c>
      <c r="M1782" s="2"/>
    </row>
    <row r="1783" spans="1:13">
      <c r="A1783" t="s">
        <v>28</v>
      </c>
      <c r="B1783">
        <f ca="1">IF(OR(changes[[#This Row],[Type]]="Checklist",changes[[#This Row],[Type]]="checklist-flat"),1+IF(changes[[#This Row],[Type of change]] = "Edit",COUNTIFS($I$4:changes[[#This Row],[Name]],changes[[#This Row],[Name]], $E$4:changes[[#This Row],[Type of change]], "Edit")),B1782)</f>
        <v>1</v>
      </c>
      <c r="C1783" s="16">
        <v>44777</v>
      </c>
      <c r="D1783" s="1" t="s">
        <v>2786</v>
      </c>
      <c r="E1783" t="s">
        <v>27</v>
      </c>
      <c r="F1783" s="10" t="s">
        <v>52</v>
      </c>
      <c r="G1783" t="s">
        <v>1641</v>
      </c>
      <c r="H1783" t="s">
        <v>54</v>
      </c>
      <c r="I1783" t="s">
        <v>1641</v>
      </c>
      <c r="K1783" s="2" t="s">
        <v>6</v>
      </c>
      <c r="M1783" s="2"/>
    </row>
    <row r="1784" spans="1:13">
      <c r="A1784" t="s">
        <v>28</v>
      </c>
      <c r="B1784">
        <f ca="1">IF(OR(changes[[#This Row],[Type]]="Checklist",changes[[#This Row],[Type]]="checklist-flat"),1+IF(changes[[#This Row],[Type of change]] = "Edit",COUNTIFS($I$4:changes[[#This Row],[Name]],changes[[#This Row],[Name]], $E$4:changes[[#This Row],[Type of change]], "Edit")),B1783)</f>
        <v>1</v>
      </c>
      <c r="C1784" s="16">
        <v>44777</v>
      </c>
      <c r="D1784" s="1" t="s">
        <v>2786</v>
      </c>
      <c r="E1784" t="s">
        <v>27</v>
      </c>
      <c r="F1784" s="10" t="s">
        <v>52</v>
      </c>
      <c r="G1784" t="s">
        <v>1645</v>
      </c>
      <c r="H1784" t="s">
        <v>55</v>
      </c>
      <c r="I1784" t="s">
        <v>62</v>
      </c>
      <c r="K1784" s="2" t="s">
        <v>6</v>
      </c>
      <c r="M1784" s="2"/>
    </row>
    <row r="1785" spans="1:13">
      <c r="A1785" t="s">
        <v>28</v>
      </c>
      <c r="B1785">
        <f ca="1">IF(OR(changes[[#This Row],[Type]]="Checklist",changes[[#This Row],[Type]]="checklist-flat"),1+IF(changes[[#This Row],[Type of change]] = "Edit",COUNTIFS($I$4:changes[[#This Row],[Name]],changes[[#This Row],[Name]], $E$4:changes[[#This Row],[Type of change]], "Edit")),B1784)</f>
        <v>1</v>
      </c>
      <c r="C1785" s="16">
        <v>44777</v>
      </c>
      <c r="D1785" s="1" t="s">
        <v>2786</v>
      </c>
      <c r="E1785" t="s">
        <v>27</v>
      </c>
      <c r="F1785" s="10" t="s">
        <v>52</v>
      </c>
      <c r="G1785" t="s">
        <v>1645</v>
      </c>
      <c r="H1785" t="s">
        <v>55</v>
      </c>
      <c r="I1785" t="s">
        <v>63</v>
      </c>
      <c r="K1785" s="2" t="s">
        <v>6</v>
      </c>
      <c r="M1785" s="2"/>
    </row>
    <row r="1786" spans="1:13">
      <c r="A1786" t="s">
        <v>28</v>
      </c>
      <c r="B1786">
        <f ca="1">IF(OR(changes[[#This Row],[Type]]="Checklist",changes[[#This Row],[Type]]="checklist-flat"),1+IF(changes[[#This Row],[Type of change]] = "Edit",COUNTIFS($I$4:changes[[#This Row],[Name]],changes[[#This Row],[Name]], $E$4:changes[[#This Row],[Type of change]], "Edit")),B1785)</f>
        <v>1</v>
      </c>
      <c r="C1786" s="16">
        <v>44777</v>
      </c>
      <c r="D1786" s="1" t="s">
        <v>2786</v>
      </c>
      <c r="E1786" t="s">
        <v>27</v>
      </c>
      <c r="F1786" s="10" t="s">
        <v>52</v>
      </c>
      <c r="G1786" t="s">
        <v>1645</v>
      </c>
      <c r="H1786" t="s">
        <v>64</v>
      </c>
      <c r="I1786" t="s">
        <v>65</v>
      </c>
      <c r="K1786" s="2" t="s">
        <v>6</v>
      </c>
      <c r="M1786" s="2"/>
    </row>
    <row r="1787" spans="1:13">
      <c r="A1787" t="s">
        <v>28</v>
      </c>
      <c r="B1787">
        <f ca="1">IF(OR(changes[[#This Row],[Type]]="Checklist",changes[[#This Row],[Type]]="checklist-flat"),1+IF(changes[[#This Row],[Type of change]] = "Edit",COUNTIFS($I$4:changes[[#This Row],[Name]],changes[[#This Row],[Name]], $E$4:changes[[#This Row],[Type of change]], "Edit")),B1786)</f>
        <v>1</v>
      </c>
      <c r="C1787" s="16">
        <v>44777</v>
      </c>
      <c r="D1787" s="1" t="s">
        <v>2786</v>
      </c>
      <c r="E1787" t="s">
        <v>27</v>
      </c>
      <c r="F1787" s="10" t="s">
        <v>52</v>
      </c>
      <c r="G1787" t="s">
        <v>1645</v>
      </c>
      <c r="H1787" t="s">
        <v>55</v>
      </c>
      <c r="I1787" t="s">
        <v>1642</v>
      </c>
      <c r="K1787" s="2" t="s">
        <v>6</v>
      </c>
      <c r="M1787" s="2"/>
    </row>
    <row r="1788" spans="1:13">
      <c r="A1788" t="s">
        <v>28</v>
      </c>
      <c r="B1788">
        <f ca="1">IF(OR(changes[[#This Row],[Type]]="Checklist",changes[[#This Row],[Type]]="checklist-flat"),1+IF(changes[[#This Row],[Type of change]] = "Edit",COUNTIFS($I$4:changes[[#This Row],[Name]],changes[[#This Row],[Name]], $E$4:changes[[#This Row],[Type of change]], "Edit")),B1787)</f>
        <v>1</v>
      </c>
      <c r="C1788" s="16">
        <v>44784</v>
      </c>
      <c r="D1788" s="1" t="s">
        <v>2809</v>
      </c>
      <c r="E1788" t="s">
        <v>10</v>
      </c>
      <c r="F1788" s="10" t="s">
        <v>52</v>
      </c>
      <c r="G1788" t="s">
        <v>2813</v>
      </c>
      <c r="H1788" t="s">
        <v>54</v>
      </c>
      <c r="I1788" t="s">
        <v>2813</v>
      </c>
      <c r="K1788" s="2" t="s">
        <v>6</v>
      </c>
      <c r="M1788" s="2"/>
    </row>
    <row r="1789" spans="1:13">
      <c r="A1789" t="s">
        <v>28</v>
      </c>
      <c r="B1789">
        <f ca="1">IF(OR(changes[[#This Row],[Type]]="Checklist",changes[[#This Row],[Type]]="checklist-flat"),1+IF(changes[[#This Row],[Type of change]] = "Edit",COUNTIFS($I$4:changes[[#This Row],[Name]],changes[[#This Row],[Name]], $E$4:changes[[#This Row],[Type of change]], "Edit")),B1788)</f>
        <v>1</v>
      </c>
      <c r="C1789" s="16">
        <v>44784</v>
      </c>
      <c r="D1789" s="1" t="s">
        <v>2809</v>
      </c>
      <c r="E1789" t="s">
        <v>10</v>
      </c>
      <c r="F1789" s="10" t="s">
        <v>52</v>
      </c>
      <c r="G1789" t="s">
        <v>2813</v>
      </c>
      <c r="H1789" t="s">
        <v>479</v>
      </c>
      <c r="I1789" t="s">
        <v>2814</v>
      </c>
      <c r="K1789" s="2" t="s">
        <v>6</v>
      </c>
      <c r="M1789" s="2"/>
    </row>
    <row r="1790" spans="1:13">
      <c r="A1790" t="s">
        <v>28</v>
      </c>
      <c r="B1790">
        <f ca="1">IF(OR(changes[[#This Row],[Type]]="Checklist",changes[[#This Row],[Type]]="checklist-flat"),1+IF(changes[[#This Row],[Type of change]] = "Edit",COUNTIFS($I$4:changes[[#This Row],[Name]],changes[[#This Row],[Name]], $E$4:changes[[#This Row],[Type of change]], "Edit")),B1789)</f>
        <v>1</v>
      </c>
      <c r="C1790" s="16">
        <v>44784</v>
      </c>
      <c r="D1790" s="1" t="s">
        <v>2809</v>
      </c>
      <c r="E1790" t="s">
        <v>10</v>
      </c>
      <c r="F1790" s="10" t="s">
        <v>52</v>
      </c>
      <c r="G1790" t="s">
        <v>2813</v>
      </c>
      <c r="H1790" t="s">
        <v>55</v>
      </c>
      <c r="I1790" t="s">
        <v>2815</v>
      </c>
      <c r="K1790" s="2" t="s">
        <v>6</v>
      </c>
      <c r="M1790" s="2"/>
    </row>
    <row r="1791" spans="1:13">
      <c r="A1791" t="s">
        <v>28</v>
      </c>
      <c r="B1791">
        <f ca="1">IF(OR(changes[[#This Row],[Type]]="Checklist",changes[[#This Row],[Type]]="checklist-flat"),1+IF(changes[[#This Row],[Type of change]] = "Edit",COUNTIFS($I$4:changes[[#This Row],[Name]],changes[[#This Row],[Name]], $E$4:changes[[#This Row],[Type of change]], "Edit")),B1790)</f>
        <v>1</v>
      </c>
      <c r="C1791" s="16">
        <v>44784</v>
      </c>
      <c r="D1791" s="1" t="s">
        <v>2809</v>
      </c>
      <c r="E1791" t="s">
        <v>10</v>
      </c>
      <c r="F1791" s="10" t="s">
        <v>52</v>
      </c>
      <c r="G1791" t="s">
        <v>2813</v>
      </c>
      <c r="H1791" t="s">
        <v>55</v>
      </c>
      <c r="I1791" t="s">
        <v>2816</v>
      </c>
      <c r="K1791" s="2" t="s">
        <v>6</v>
      </c>
      <c r="M1791" s="2"/>
    </row>
    <row r="1792" spans="1:13">
      <c r="A1792" t="s">
        <v>28</v>
      </c>
      <c r="B1792">
        <f ca="1">IF(OR(changes[[#This Row],[Type]]="Checklist",changes[[#This Row],[Type]]="checklist-flat"),1+IF(changes[[#This Row],[Type of change]] = "Edit",COUNTIFS($I$4:changes[[#This Row],[Name]],changes[[#This Row],[Name]], $E$4:changes[[#This Row],[Type of change]], "Edit")),B1791)</f>
        <v>1</v>
      </c>
      <c r="C1792" s="16">
        <v>44784</v>
      </c>
      <c r="D1792" s="1" t="s">
        <v>2809</v>
      </c>
      <c r="E1792" t="s">
        <v>10</v>
      </c>
      <c r="F1792" s="10" t="s">
        <v>52</v>
      </c>
      <c r="G1792" t="s">
        <v>2813</v>
      </c>
      <c r="H1792" t="s">
        <v>55</v>
      </c>
      <c r="I1792" t="s">
        <v>2817</v>
      </c>
      <c r="K1792" s="2" t="s">
        <v>6</v>
      </c>
      <c r="M1792" s="2"/>
    </row>
    <row r="1793" spans="1:13">
      <c r="A1793" t="s">
        <v>28</v>
      </c>
      <c r="B1793">
        <f ca="1">IF(OR(changes[[#This Row],[Type]]="Checklist",changes[[#This Row],[Type]]="checklist-flat"),1+IF(changes[[#This Row],[Type of change]] = "Edit",COUNTIFS($I$4:changes[[#This Row],[Name]],changes[[#This Row],[Name]], $E$4:changes[[#This Row],[Type of change]], "Edit")),B1792)</f>
        <v>1</v>
      </c>
      <c r="C1793" s="16">
        <v>44784</v>
      </c>
      <c r="D1793" s="1" t="s">
        <v>2809</v>
      </c>
      <c r="E1793" t="s">
        <v>10</v>
      </c>
      <c r="F1793" s="10" t="s">
        <v>52</v>
      </c>
      <c r="G1793" t="s">
        <v>2813</v>
      </c>
      <c r="H1793" t="s">
        <v>55</v>
      </c>
      <c r="I1793" t="s">
        <v>2818</v>
      </c>
      <c r="K1793" s="2" t="s">
        <v>6</v>
      </c>
      <c r="M1793" s="2"/>
    </row>
    <row r="1794" spans="1:13">
      <c r="A1794" t="s">
        <v>28</v>
      </c>
      <c r="B1794">
        <f ca="1">IF(OR(changes[[#This Row],[Type]]="Checklist",changes[[#This Row],[Type]]="checklist-flat"),1+IF(changes[[#This Row],[Type of change]] = "Edit",COUNTIFS($I$4:changes[[#This Row],[Name]],changes[[#This Row],[Name]], $E$4:changes[[#This Row],[Type of change]], "Edit")),B1793)</f>
        <v>1</v>
      </c>
      <c r="C1794" s="16">
        <v>44784</v>
      </c>
      <c r="D1794" s="1" t="s">
        <v>2809</v>
      </c>
      <c r="E1794" t="s">
        <v>10</v>
      </c>
      <c r="F1794" s="10" t="s">
        <v>52</v>
      </c>
      <c r="G1794" t="s">
        <v>2813</v>
      </c>
      <c r="H1794" t="s">
        <v>55</v>
      </c>
      <c r="I1794" t="s">
        <v>2819</v>
      </c>
      <c r="K1794" s="2" t="s">
        <v>6</v>
      </c>
      <c r="M1794" s="2"/>
    </row>
    <row r="1795" spans="1:13">
      <c r="A1795" t="s">
        <v>28</v>
      </c>
      <c r="B1795">
        <f ca="1">IF(OR(changes[[#This Row],[Type]]="Checklist",changes[[#This Row],[Type]]="checklist-flat"),1+IF(changes[[#This Row],[Type of change]] = "Edit",COUNTIFS($I$4:changes[[#This Row],[Name]],changes[[#This Row],[Name]], $E$4:changes[[#This Row],[Type of change]], "Edit")),B1794)</f>
        <v>1</v>
      </c>
      <c r="C1795" s="16">
        <v>44784</v>
      </c>
      <c r="D1795" s="1" t="s">
        <v>2809</v>
      </c>
      <c r="E1795" t="s">
        <v>10</v>
      </c>
      <c r="F1795" s="10" t="s">
        <v>52</v>
      </c>
      <c r="G1795" t="s">
        <v>2813</v>
      </c>
      <c r="H1795" t="s">
        <v>55</v>
      </c>
      <c r="I1795" t="s">
        <v>2820</v>
      </c>
      <c r="K1795" s="2" t="s">
        <v>6</v>
      </c>
      <c r="M1795" s="2"/>
    </row>
    <row r="1796" spans="1:13">
      <c r="A1796" t="s">
        <v>28</v>
      </c>
      <c r="B1796">
        <f ca="1">IF(OR(changes[[#This Row],[Type]]="Checklist",changes[[#This Row],[Type]]="checklist-flat"),1+IF(changes[[#This Row],[Type of change]] = "Edit",COUNTIFS($I$4:changes[[#This Row],[Name]],changes[[#This Row],[Name]], $E$4:changes[[#This Row],[Type of change]], "Edit")),B1795)</f>
        <v>1</v>
      </c>
      <c r="C1796" s="16">
        <v>44784</v>
      </c>
      <c r="D1796" s="1" t="s">
        <v>2809</v>
      </c>
      <c r="E1796" t="s">
        <v>10</v>
      </c>
      <c r="F1796" s="10" t="s">
        <v>52</v>
      </c>
      <c r="G1796" t="s">
        <v>2813</v>
      </c>
      <c r="H1796" t="s">
        <v>55</v>
      </c>
      <c r="I1796" t="s">
        <v>2821</v>
      </c>
      <c r="K1796" s="2" t="s">
        <v>6</v>
      </c>
      <c r="M1796" s="2"/>
    </row>
    <row r="1797" spans="1:13">
      <c r="A1797" t="s">
        <v>28</v>
      </c>
      <c r="B1797">
        <f ca="1">IF(OR(changes[[#This Row],[Type]]="Checklist",changes[[#This Row],[Type]]="checklist-flat"),1+IF(changes[[#This Row],[Type of change]] = "Edit",COUNTIFS($I$4:changes[[#This Row],[Name]],changes[[#This Row],[Name]], $E$4:changes[[#This Row],[Type of change]], "Edit")),B1796)</f>
        <v>1</v>
      </c>
      <c r="C1797" s="16">
        <v>44784</v>
      </c>
      <c r="D1797" s="1" t="s">
        <v>2809</v>
      </c>
      <c r="E1797" t="s">
        <v>10</v>
      </c>
      <c r="F1797" s="10" t="s">
        <v>52</v>
      </c>
      <c r="G1797" t="s">
        <v>2813</v>
      </c>
      <c r="H1797" t="s">
        <v>55</v>
      </c>
      <c r="I1797" t="s">
        <v>2822</v>
      </c>
      <c r="K1797" s="2" t="s">
        <v>6</v>
      </c>
      <c r="M1797" s="2"/>
    </row>
    <row r="1798" spans="1:13">
      <c r="A1798" t="s">
        <v>28</v>
      </c>
      <c r="B1798">
        <f ca="1">IF(OR(changes[[#This Row],[Type]]="Checklist",changes[[#This Row],[Type]]="checklist-flat"),1+IF(changes[[#This Row],[Type of change]] = "Edit",COUNTIFS($I$4:changes[[#This Row],[Name]],changes[[#This Row],[Name]], $E$4:changes[[#This Row],[Type of change]], "Edit")),B1797)</f>
        <v>1</v>
      </c>
      <c r="C1798" s="16">
        <v>44784</v>
      </c>
      <c r="D1798" s="1" t="s">
        <v>2809</v>
      </c>
      <c r="E1798" t="s">
        <v>10</v>
      </c>
      <c r="F1798" s="10" t="s">
        <v>52</v>
      </c>
      <c r="G1798" t="s">
        <v>2813</v>
      </c>
      <c r="H1798" t="s">
        <v>55</v>
      </c>
      <c r="I1798" t="s">
        <v>2823</v>
      </c>
      <c r="K1798" s="2" t="s">
        <v>6</v>
      </c>
      <c r="M1798" s="2"/>
    </row>
    <row r="1799" spans="1:13">
      <c r="A1799" t="s">
        <v>28</v>
      </c>
      <c r="B1799">
        <f ca="1">IF(OR(changes[[#This Row],[Type]]="Checklist",changes[[#This Row],[Type]]="checklist-flat"),1+IF(changes[[#This Row],[Type of change]] = "Edit",COUNTIFS($I$4:changes[[#This Row],[Name]],changes[[#This Row],[Name]], $E$4:changes[[#This Row],[Type of change]], "Edit")),B1798)</f>
        <v>1</v>
      </c>
      <c r="C1799" s="16">
        <v>44784</v>
      </c>
      <c r="D1799" s="1" t="s">
        <v>2809</v>
      </c>
      <c r="E1799" t="s">
        <v>10</v>
      </c>
      <c r="F1799" s="10" t="s">
        <v>52</v>
      </c>
      <c r="G1799" t="s">
        <v>2813</v>
      </c>
      <c r="H1799" t="s">
        <v>55</v>
      </c>
      <c r="I1799" t="s">
        <v>2824</v>
      </c>
      <c r="K1799" s="2" t="s">
        <v>6</v>
      </c>
      <c r="M1799" s="2"/>
    </row>
    <row r="1800" spans="1:13">
      <c r="A1800" t="s">
        <v>28</v>
      </c>
      <c r="B1800">
        <f ca="1">IF(OR(changes[[#This Row],[Type]]="Checklist",changes[[#This Row],[Type]]="checklist-flat"),1+IF(changes[[#This Row],[Type of change]] = "Edit",COUNTIFS($I$4:changes[[#This Row],[Name]],changes[[#This Row],[Name]], $E$4:changes[[#This Row],[Type of change]], "Edit")),B1799)</f>
        <v>1</v>
      </c>
      <c r="C1800" s="16">
        <v>44784</v>
      </c>
      <c r="D1800" s="1" t="s">
        <v>2809</v>
      </c>
      <c r="E1800" t="s">
        <v>10</v>
      </c>
      <c r="F1800" s="10" t="s">
        <v>52</v>
      </c>
      <c r="G1800" t="s">
        <v>2813</v>
      </c>
      <c r="H1800" t="s">
        <v>479</v>
      </c>
      <c r="I1800" t="s">
        <v>2825</v>
      </c>
      <c r="K1800" s="2" t="s">
        <v>6</v>
      </c>
      <c r="M1800" s="2"/>
    </row>
    <row r="1801" spans="1:13">
      <c r="A1801" t="s">
        <v>28</v>
      </c>
      <c r="B1801">
        <f ca="1">IF(OR(changes[[#This Row],[Type]]="Checklist",changes[[#This Row],[Type]]="checklist-flat"),1+IF(changes[[#This Row],[Type of change]] = "Edit",COUNTIFS($I$4:changes[[#This Row],[Name]],changes[[#This Row],[Name]], $E$4:changes[[#This Row],[Type of change]], "Edit")),B1800)</f>
        <v>1</v>
      </c>
      <c r="C1801" s="16">
        <v>44784</v>
      </c>
      <c r="D1801" s="1" t="s">
        <v>2809</v>
      </c>
      <c r="E1801" t="s">
        <v>10</v>
      </c>
      <c r="F1801" s="10" t="s">
        <v>52</v>
      </c>
      <c r="G1801" t="s">
        <v>2813</v>
      </c>
      <c r="H1801" t="s">
        <v>55</v>
      </c>
      <c r="I1801" t="s">
        <v>2826</v>
      </c>
      <c r="K1801" s="2" t="s">
        <v>6</v>
      </c>
      <c r="M1801" s="2"/>
    </row>
    <row r="1802" spans="1:13">
      <c r="A1802" t="s">
        <v>28</v>
      </c>
      <c r="B1802">
        <f ca="1">IF(OR(changes[[#This Row],[Type]]="Checklist",changes[[#This Row],[Type]]="checklist-flat"),1+IF(changes[[#This Row],[Type of change]] = "Edit",COUNTIFS($I$4:changes[[#This Row],[Name]],changes[[#This Row],[Name]], $E$4:changes[[#This Row],[Type of change]], "Edit")),B1801)</f>
        <v>1</v>
      </c>
      <c r="C1802" s="16">
        <v>44784</v>
      </c>
      <c r="D1802" s="1" t="s">
        <v>2809</v>
      </c>
      <c r="E1802" t="s">
        <v>10</v>
      </c>
      <c r="F1802" s="10" t="s">
        <v>52</v>
      </c>
      <c r="G1802" t="s">
        <v>2813</v>
      </c>
      <c r="H1802" t="s">
        <v>55</v>
      </c>
      <c r="I1802" t="s">
        <v>2827</v>
      </c>
      <c r="K1802" s="2" t="s">
        <v>6</v>
      </c>
      <c r="M1802" s="2"/>
    </row>
    <row r="1803" spans="1:13">
      <c r="A1803" t="s">
        <v>28</v>
      </c>
      <c r="B1803">
        <f ca="1">IF(OR(changes[[#This Row],[Type]]="Checklist",changes[[#This Row],[Type]]="checklist-flat"),1+IF(changes[[#This Row],[Type of change]] = "Edit",COUNTIFS($I$4:changes[[#This Row],[Name]],changes[[#This Row],[Name]], $E$4:changes[[#This Row],[Type of change]], "Edit")),B1802)</f>
        <v>1</v>
      </c>
      <c r="C1803" s="16">
        <v>44784</v>
      </c>
      <c r="D1803" s="1" t="s">
        <v>2809</v>
      </c>
      <c r="E1803" t="s">
        <v>10</v>
      </c>
      <c r="F1803" s="10" t="s">
        <v>52</v>
      </c>
      <c r="G1803" t="s">
        <v>2813</v>
      </c>
      <c r="H1803" t="s">
        <v>55</v>
      </c>
      <c r="I1803" t="s">
        <v>2828</v>
      </c>
      <c r="K1803" s="2" t="s">
        <v>6</v>
      </c>
      <c r="M1803" s="2"/>
    </row>
    <row r="1804" spans="1:13">
      <c r="A1804" t="s">
        <v>28</v>
      </c>
      <c r="B1804">
        <f ca="1">IF(OR(changes[[#This Row],[Type]]="Checklist",changes[[#This Row],[Type]]="checklist-flat"),1+IF(changes[[#This Row],[Type of change]] = "Edit",COUNTIFS($I$4:changes[[#This Row],[Name]],changes[[#This Row],[Name]], $E$4:changes[[#This Row],[Type of change]], "Edit")),B1803)</f>
        <v>1</v>
      </c>
      <c r="C1804" s="16">
        <v>44784</v>
      </c>
      <c r="D1804" s="1" t="s">
        <v>2809</v>
      </c>
      <c r="E1804" t="s">
        <v>10</v>
      </c>
      <c r="F1804" s="10" t="s">
        <v>52</v>
      </c>
      <c r="G1804" t="s">
        <v>2813</v>
      </c>
      <c r="H1804" t="s">
        <v>55</v>
      </c>
      <c r="I1804" t="s">
        <v>2829</v>
      </c>
      <c r="K1804" s="2" t="s">
        <v>6</v>
      </c>
      <c r="M1804" s="2"/>
    </row>
    <row r="1805" spans="1:13">
      <c r="A1805" t="s">
        <v>28</v>
      </c>
      <c r="B1805">
        <f ca="1">IF(OR(changes[[#This Row],[Type]]="Checklist",changes[[#This Row],[Type]]="checklist-flat"),1+IF(changes[[#This Row],[Type of change]] = "Edit",COUNTIFS($I$4:changes[[#This Row],[Name]],changes[[#This Row],[Name]], $E$4:changes[[#This Row],[Type of change]], "Edit")),B1804)</f>
        <v>1</v>
      </c>
      <c r="C1805" s="16">
        <v>44784</v>
      </c>
      <c r="D1805" s="1" t="s">
        <v>2809</v>
      </c>
      <c r="E1805" t="s">
        <v>10</v>
      </c>
      <c r="F1805" s="10" t="s">
        <v>52</v>
      </c>
      <c r="G1805" t="s">
        <v>2813</v>
      </c>
      <c r="H1805" t="s">
        <v>479</v>
      </c>
      <c r="I1805" t="s">
        <v>2830</v>
      </c>
      <c r="K1805" s="2" t="s">
        <v>6</v>
      </c>
      <c r="M1805" s="2"/>
    </row>
    <row r="1806" spans="1:13">
      <c r="A1806" t="s">
        <v>28</v>
      </c>
      <c r="B1806">
        <f ca="1">IF(OR(changes[[#This Row],[Type]]="Checklist",changes[[#This Row],[Type]]="checklist-flat"),1+IF(changes[[#This Row],[Type of change]] = "Edit",COUNTIFS($I$4:changes[[#This Row],[Name]],changes[[#This Row],[Name]], $E$4:changes[[#This Row],[Type of change]], "Edit")),B1805)</f>
        <v>1</v>
      </c>
      <c r="C1806" s="16">
        <v>44784</v>
      </c>
      <c r="D1806" s="1" t="s">
        <v>2809</v>
      </c>
      <c r="E1806" t="s">
        <v>10</v>
      </c>
      <c r="F1806" s="10" t="s">
        <v>52</v>
      </c>
      <c r="G1806" t="s">
        <v>2813</v>
      </c>
      <c r="H1806" t="s">
        <v>55</v>
      </c>
      <c r="I1806" t="s">
        <v>2831</v>
      </c>
      <c r="K1806" s="2" t="s">
        <v>6</v>
      </c>
      <c r="M1806" s="2"/>
    </row>
    <row r="1807" spans="1:13">
      <c r="A1807" t="s">
        <v>28</v>
      </c>
      <c r="B1807">
        <f ca="1">IF(OR(changes[[#This Row],[Type]]="Checklist",changes[[#This Row],[Type]]="checklist-flat"),1+IF(changes[[#This Row],[Type of change]] = "Edit",COUNTIFS($I$4:changes[[#This Row],[Name]],changes[[#This Row],[Name]], $E$4:changes[[#This Row],[Type of change]], "Edit")),B1806)</f>
        <v>1</v>
      </c>
      <c r="C1807" s="16">
        <v>44784</v>
      </c>
      <c r="D1807" s="1" t="s">
        <v>2809</v>
      </c>
      <c r="E1807" t="s">
        <v>10</v>
      </c>
      <c r="F1807" s="10" t="s">
        <v>52</v>
      </c>
      <c r="G1807" t="s">
        <v>2813</v>
      </c>
      <c r="H1807" t="s">
        <v>55</v>
      </c>
      <c r="I1807" t="s">
        <v>2832</v>
      </c>
      <c r="K1807" s="2" t="s">
        <v>6</v>
      </c>
      <c r="M1807" s="2"/>
    </row>
    <row r="1808" spans="1:13">
      <c r="A1808" t="s">
        <v>28</v>
      </c>
      <c r="B1808">
        <f ca="1">IF(OR(changes[[#This Row],[Type]]="Checklist",changes[[#This Row],[Type]]="checklist-flat"),1+IF(changes[[#This Row],[Type of change]] = "Edit",COUNTIFS($I$4:changes[[#This Row],[Name]],changes[[#This Row],[Name]], $E$4:changes[[#This Row],[Type of change]], "Edit")),B1807)</f>
        <v>1</v>
      </c>
      <c r="C1808" s="16">
        <v>44784</v>
      </c>
      <c r="D1808" s="1" t="s">
        <v>2809</v>
      </c>
      <c r="E1808" t="s">
        <v>10</v>
      </c>
      <c r="F1808" s="10" t="s">
        <v>52</v>
      </c>
      <c r="G1808" t="s">
        <v>2813</v>
      </c>
      <c r="H1808" t="s">
        <v>55</v>
      </c>
      <c r="I1808" t="s">
        <v>2833</v>
      </c>
      <c r="K1808" s="2" t="s">
        <v>6</v>
      </c>
      <c r="M1808" s="2"/>
    </row>
    <row r="1809" spans="1:13">
      <c r="A1809" t="s">
        <v>28</v>
      </c>
      <c r="B1809">
        <f ca="1">IF(OR(changes[[#This Row],[Type]]="Checklist",changes[[#This Row],[Type]]="checklist-flat"),1+IF(changes[[#This Row],[Type of change]] = "Edit",COUNTIFS($I$4:changes[[#This Row],[Name]],changes[[#This Row],[Name]], $E$4:changes[[#This Row],[Type of change]], "Edit")),B1808)</f>
        <v>1</v>
      </c>
      <c r="C1809" s="16">
        <v>44784</v>
      </c>
      <c r="D1809" s="1" t="s">
        <v>2809</v>
      </c>
      <c r="E1809" t="s">
        <v>10</v>
      </c>
      <c r="F1809" s="10" t="s">
        <v>52</v>
      </c>
      <c r="G1809" t="s">
        <v>2813</v>
      </c>
      <c r="H1809" t="s">
        <v>479</v>
      </c>
      <c r="I1809" t="s">
        <v>2834</v>
      </c>
      <c r="K1809" s="2" t="s">
        <v>6</v>
      </c>
      <c r="M1809" s="2"/>
    </row>
    <row r="1810" spans="1:13">
      <c r="A1810" t="s">
        <v>28</v>
      </c>
      <c r="B1810">
        <f ca="1">IF(OR(changes[[#This Row],[Type]]="Checklist",changes[[#This Row],[Type]]="checklist-flat"),1+IF(changes[[#This Row],[Type of change]] = "Edit",COUNTIFS($I$4:changes[[#This Row],[Name]],changes[[#This Row],[Name]], $E$4:changes[[#This Row],[Type of change]], "Edit")),B1809)</f>
        <v>1</v>
      </c>
      <c r="C1810" s="16">
        <v>44784</v>
      </c>
      <c r="D1810" s="1" t="s">
        <v>2809</v>
      </c>
      <c r="E1810" t="s">
        <v>10</v>
      </c>
      <c r="F1810" s="10" t="s">
        <v>52</v>
      </c>
      <c r="G1810" t="s">
        <v>2813</v>
      </c>
      <c r="H1810" t="s">
        <v>55</v>
      </c>
      <c r="I1810" t="s">
        <v>2835</v>
      </c>
      <c r="K1810" s="2" t="s">
        <v>6</v>
      </c>
      <c r="M1810" s="2"/>
    </row>
    <row r="1811" spans="1:13">
      <c r="A1811" t="s">
        <v>28</v>
      </c>
      <c r="B1811">
        <f ca="1">IF(OR(changes[[#This Row],[Type]]="Checklist",changes[[#This Row],[Type]]="checklist-flat"),1+IF(changes[[#This Row],[Type of change]] = "Edit",COUNTIFS($I$4:changes[[#This Row],[Name]],changes[[#This Row],[Name]], $E$4:changes[[#This Row],[Type of change]], "Edit")),B1810)</f>
        <v>1</v>
      </c>
      <c r="C1811" s="16">
        <v>44784</v>
      </c>
      <c r="D1811" s="1" t="s">
        <v>2809</v>
      </c>
      <c r="E1811" t="s">
        <v>10</v>
      </c>
      <c r="F1811" s="10" t="s">
        <v>52</v>
      </c>
      <c r="G1811" t="s">
        <v>2813</v>
      </c>
      <c r="H1811" t="s">
        <v>55</v>
      </c>
      <c r="I1811" t="s">
        <v>2836</v>
      </c>
      <c r="K1811" s="2" t="s">
        <v>6</v>
      </c>
      <c r="M1811" s="2"/>
    </row>
    <row r="1812" spans="1:13">
      <c r="A1812" t="s">
        <v>28</v>
      </c>
      <c r="B1812">
        <f ca="1">IF(OR(changes[[#This Row],[Type]]="Checklist",changes[[#This Row],[Type]]="checklist-flat"),1+IF(changes[[#This Row],[Type of change]] = "Edit",COUNTIFS($I$4:changes[[#This Row],[Name]],changes[[#This Row],[Name]], $E$4:changes[[#This Row],[Type of change]], "Edit")),B1811)</f>
        <v>1</v>
      </c>
      <c r="C1812" s="16">
        <v>44784</v>
      </c>
      <c r="D1812" s="1" t="s">
        <v>2809</v>
      </c>
      <c r="E1812" t="s">
        <v>10</v>
      </c>
      <c r="F1812" s="10" t="s">
        <v>52</v>
      </c>
      <c r="G1812" s="10" t="s">
        <v>2813</v>
      </c>
      <c r="H1812" t="s">
        <v>64</v>
      </c>
      <c r="I1812" t="s">
        <v>65</v>
      </c>
      <c r="K1812" s="2" t="s">
        <v>6</v>
      </c>
      <c r="M1812" s="2"/>
    </row>
    <row r="1813" spans="1:13">
      <c r="A1813" t="s">
        <v>28</v>
      </c>
      <c r="B1813">
        <f ca="1">IF(OR(changes[[#This Row],[Type]]="Checklist",changes[[#This Row],[Type]]="checklist-flat"),1+IF(changes[[#This Row],[Type of change]] = "Edit",COUNTIFS($I$4:changes[[#This Row],[Name]],changes[[#This Row],[Name]], $E$4:changes[[#This Row],[Type of change]], "Edit")),B1812)</f>
        <v>1</v>
      </c>
      <c r="C1813" s="16">
        <v>44785</v>
      </c>
      <c r="D1813" s="1" t="s">
        <v>2393</v>
      </c>
      <c r="E1813" t="s">
        <v>27</v>
      </c>
      <c r="F1813" s="10" t="s">
        <v>918</v>
      </c>
      <c r="G1813" t="s">
        <v>957</v>
      </c>
      <c r="H1813" t="s">
        <v>478</v>
      </c>
      <c r="I1813" t="s">
        <v>957</v>
      </c>
      <c r="K1813" s="2" t="s">
        <v>6</v>
      </c>
      <c r="M1813" s="2"/>
    </row>
    <row r="1814" spans="1:13">
      <c r="A1814" t="s">
        <v>28</v>
      </c>
      <c r="B1814">
        <f ca="1">IF(OR(changes[[#This Row],[Type]]="Checklist",changes[[#This Row],[Type]]="checklist-flat"),1+IF(changes[[#This Row],[Type of change]] = "Edit",COUNTIFS($I$4:changes[[#This Row],[Name]],changes[[#This Row],[Name]], $E$4:changes[[#This Row],[Type of change]], "Edit")),B1813)</f>
        <v>1</v>
      </c>
      <c r="C1814" s="16">
        <v>44785</v>
      </c>
      <c r="D1814" s="1" t="s">
        <v>2393</v>
      </c>
      <c r="E1814" t="s">
        <v>27</v>
      </c>
      <c r="F1814" s="10" t="s">
        <v>918</v>
      </c>
      <c r="G1814" t="s">
        <v>957</v>
      </c>
      <c r="H1814" t="s">
        <v>479</v>
      </c>
      <c r="I1814" t="s">
        <v>958</v>
      </c>
      <c r="K1814" s="2" t="s">
        <v>6</v>
      </c>
      <c r="M1814" s="2"/>
    </row>
    <row r="1815" spans="1:13">
      <c r="A1815" t="s">
        <v>28</v>
      </c>
      <c r="B1815">
        <f ca="1">IF(OR(changes[[#This Row],[Type]]="Checklist",changes[[#This Row],[Type]]="checklist-flat"),1+IF(changes[[#This Row],[Type of change]] = "Edit",COUNTIFS($I$4:changes[[#This Row],[Name]],changes[[#This Row],[Name]], $E$4:changes[[#This Row],[Type of change]], "Edit")),B1814)</f>
        <v>1</v>
      </c>
      <c r="C1815" s="16">
        <v>44785</v>
      </c>
      <c r="D1815" s="1" t="s">
        <v>2393</v>
      </c>
      <c r="E1815" t="s">
        <v>27</v>
      </c>
      <c r="F1815" s="10" t="s">
        <v>918</v>
      </c>
      <c r="G1815" t="s">
        <v>957</v>
      </c>
      <c r="H1815" t="s">
        <v>55</v>
      </c>
      <c r="I1815" t="s">
        <v>959</v>
      </c>
      <c r="K1815" s="2" t="s">
        <v>6</v>
      </c>
      <c r="M1815" s="2"/>
    </row>
    <row r="1816" spans="1:13">
      <c r="A1816" t="s">
        <v>28</v>
      </c>
      <c r="B1816">
        <f ca="1">IF(OR(changes[[#This Row],[Type]]="Checklist",changes[[#This Row],[Type]]="checklist-flat"),1+IF(changes[[#This Row],[Type of change]] = "Edit",COUNTIFS($I$4:changes[[#This Row],[Name]],changes[[#This Row],[Name]], $E$4:changes[[#This Row],[Type of change]], "Edit")),B1815)</f>
        <v>1</v>
      </c>
      <c r="C1816" s="16">
        <v>44785</v>
      </c>
      <c r="D1816" s="1" t="s">
        <v>2393</v>
      </c>
      <c r="E1816" t="s">
        <v>27</v>
      </c>
      <c r="F1816" s="10" t="s">
        <v>918</v>
      </c>
      <c r="G1816" t="s">
        <v>957</v>
      </c>
      <c r="H1816" t="s">
        <v>214</v>
      </c>
      <c r="I1816" t="s">
        <v>960</v>
      </c>
      <c r="K1816" s="2" t="s">
        <v>6</v>
      </c>
      <c r="M1816" s="2"/>
    </row>
    <row r="1817" spans="1:13">
      <c r="A1817" t="s">
        <v>28</v>
      </c>
      <c r="B1817">
        <f ca="1">IF(OR(changes[[#This Row],[Type]]="Checklist",changes[[#This Row],[Type]]="checklist-flat"),1+IF(changes[[#This Row],[Type of change]] = "Edit",COUNTIFS($I$4:changes[[#This Row],[Name]],changes[[#This Row],[Name]], $E$4:changes[[#This Row],[Type of change]], "Edit")),B1816)</f>
        <v>1</v>
      </c>
      <c r="C1817" s="16">
        <v>44785</v>
      </c>
      <c r="D1817" s="1" t="s">
        <v>2393</v>
      </c>
      <c r="E1817" t="s">
        <v>27</v>
      </c>
      <c r="F1817" s="10" t="s">
        <v>918</v>
      </c>
      <c r="G1817" t="s">
        <v>957</v>
      </c>
      <c r="H1817" t="s">
        <v>214</v>
      </c>
      <c r="I1817" t="s">
        <v>961</v>
      </c>
      <c r="K1817" s="2" t="s">
        <v>6</v>
      </c>
      <c r="M1817" s="2"/>
    </row>
    <row r="1818" spans="1:13">
      <c r="A1818" t="s">
        <v>28</v>
      </c>
      <c r="B1818">
        <f ca="1">IF(OR(changes[[#This Row],[Type]]="Checklist",changes[[#This Row],[Type]]="checklist-flat"),1+IF(changes[[#This Row],[Type of change]] = "Edit",COUNTIFS($I$4:changes[[#This Row],[Name]],changes[[#This Row],[Name]], $E$4:changes[[#This Row],[Type of change]], "Edit")),B1817)</f>
        <v>1</v>
      </c>
      <c r="C1818" s="16">
        <v>44785</v>
      </c>
      <c r="D1818" s="1" t="s">
        <v>2393</v>
      </c>
      <c r="E1818" t="s">
        <v>27</v>
      </c>
      <c r="F1818" s="10" t="s">
        <v>918</v>
      </c>
      <c r="G1818" t="s">
        <v>957</v>
      </c>
      <c r="H1818" t="s">
        <v>214</v>
      </c>
      <c r="I1818" t="s">
        <v>2837</v>
      </c>
      <c r="K1818" s="2" t="s">
        <v>6</v>
      </c>
      <c r="M1818" s="2"/>
    </row>
    <row r="1819" spans="1:13">
      <c r="A1819" t="s">
        <v>28</v>
      </c>
      <c r="B1819">
        <f ca="1">IF(OR(changes[[#This Row],[Type]]="Checklist",changes[[#This Row],[Type]]="checklist-flat"),1+IF(changes[[#This Row],[Type of change]] = "Edit",COUNTIFS($I$4:changes[[#This Row],[Name]],changes[[#This Row],[Name]], $E$4:changes[[#This Row],[Type of change]], "Edit")),B1818)</f>
        <v>1</v>
      </c>
      <c r="C1819" s="16">
        <v>44785</v>
      </c>
      <c r="D1819" s="1" t="s">
        <v>2393</v>
      </c>
      <c r="E1819" t="s">
        <v>27</v>
      </c>
      <c r="F1819" s="10" t="s">
        <v>918</v>
      </c>
      <c r="G1819" t="s">
        <v>957</v>
      </c>
      <c r="H1819" t="s">
        <v>214</v>
      </c>
      <c r="I1819" t="s">
        <v>963</v>
      </c>
      <c r="K1819" s="2" t="s">
        <v>6</v>
      </c>
      <c r="M1819" s="2"/>
    </row>
    <row r="1820" spans="1:13">
      <c r="A1820" t="s">
        <v>28</v>
      </c>
      <c r="B1820">
        <f ca="1">IF(OR(changes[[#This Row],[Type]]="Checklist",changes[[#This Row],[Type]]="checklist-flat"),1+IF(changes[[#This Row],[Type of change]] = "Edit",COUNTIFS($I$4:changes[[#This Row],[Name]],changes[[#This Row],[Name]], $E$4:changes[[#This Row],[Type of change]], "Edit")),B1819)</f>
        <v>1</v>
      </c>
      <c r="C1820" s="16">
        <v>44785</v>
      </c>
      <c r="D1820" s="1" t="s">
        <v>2393</v>
      </c>
      <c r="E1820" t="s">
        <v>27</v>
      </c>
      <c r="F1820" s="10" t="s">
        <v>918</v>
      </c>
      <c r="G1820" t="s">
        <v>957</v>
      </c>
      <c r="H1820" t="s">
        <v>214</v>
      </c>
      <c r="I1820" t="s">
        <v>2838</v>
      </c>
      <c r="K1820" s="2" t="s">
        <v>6</v>
      </c>
      <c r="M1820" s="2"/>
    </row>
    <row r="1821" spans="1:13">
      <c r="A1821" t="s">
        <v>28</v>
      </c>
      <c r="B1821">
        <f ca="1">IF(OR(changes[[#This Row],[Type]]="Checklist",changes[[#This Row],[Type]]="checklist-flat"),1+IF(changes[[#This Row],[Type of change]] = "Edit",COUNTIFS($I$4:changes[[#This Row],[Name]],changes[[#This Row],[Name]], $E$4:changes[[#This Row],[Type of change]], "Edit")),B1820)</f>
        <v>1</v>
      </c>
      <c r="C1821" s="16">
        <v>44785</v>
      </c>
      <c r="D1821" s="1" t="s">
        <v>2393</v>
      </c>
      <c r="E1821" t="s">
        <v>27</v>
      </c>
      <c r="F1821" s="10" t="s">
        <v>918</v>
      </c>
      <c r="G1821" t="s">
        <v>957</v>
      </c>
      <c r="H1821" t="s">
        <v>437</v>
      </c>
      <c r="I1821" t="s">
        <v>965</v>
      </c>
      <c r="J1821" t="s">
        <v>510</v>
      </c>
      <c r="K1821" s="2" t="s">
        <v>6</v>
      </c>
      <c r="M1821" s="2"/>
    </row>
    <row r="1822" spans="1:13">
      <c r="A1822" t="s">
        <v>28</v>
      </c>
      <c r="B1822">
        <f ca="1">IF(OR(changes[[#This Row],[Type]]="Checklist",changes[[#This Row],[Type]]="checklist-flat"),1+IF(changes[[#This Row],[Type of change]] = "Edit",COUNTIFS($I$4:changes[[#This Row],[Name]],changes[[#This Row],[Name]], $E$4:changes[[#This Row],[Type of change]], "Edit")),B1821)</f>
        <v>1</v>
      </c>
      <c r="C1822" s="16">
        <v>44785</v>
      </c>
      <c r="D1822" s="1" t="s">
        <v>2393</v>
      </c>
      <c r="E1822" t="s">
        <v>27</v>
      </c>
      <c r="F1822" s="10" t="s">
        <v>918</v>
      </c>
      <c r="G1822" t="s">
        <v>957</v>
      </c>
      <c r="H1822" t="s">
        <v>420</v>
      </c>
      <c r="I1822" t="s">
        <v>966</v>
      </c>
      <c r="K1822" s="2" t="s">
        <v>6</v>
      </c>
      <c r="M1822" s="2"/>
    </row>
    <row r="1823" spans="1:13">
      <c r="A1823" t="s">
        <v>28</v>
      </c>
      <c r="B1823">
        <f ca="1">IF(OR(changes[[#This Row],[Type]]="Checklist",changes[[#This Row],[Type]]="checklist-flat"),1+IF(changes[[#This Row],[Type of change]] = "Edit",COUNTIFS($I$4:changes[[#This Row],[Name]],changes[[#This Row],[Name]], $E$4:changes[[#This Row],[Type of change]], "Edit")),B1822)</f>
        <v>1</v>
      </c>
      <c r="C1823" s="16">
        <v>44785</v>
      </c>
      <c r="D1823" s="1" t="s">
        <v>2393</v>
      </c>
      <c r="E1823" t="s">
        <v>27</v>
      </c>
      <c r="F1823" s="10" t="s">
        <v>918</v>
      </c>
      <c r="G1823" t="s">
        <v>957</v>
      </c>
      <c r="H1823" t="s">
        <v>420</v>
      </c>
      <c r="I1823" t="s">
        <v>967</v>
      </c>
      <c r="K1823" s="2" t="s">
        <v>6</v>
      </c>
      <c r="M1823" s="2"/>
    </row>
    <row r="1824" spans="1:13">
      <c r="A1824" t="s">
        <v>28</v>
      </c>
      <c r="B1824">
        <f ca="1">IF(OR(changes[[#This Row],[Type]]="Checklist",changes[[#This Row],[Type]]="checklist-flat"),1+IF(changes[[#This Row],[Type of change]] = "Edit",COUNTIFS($I$4:changes[[#This Row],[Name]],changes[[#This Row],[Name]], $E$4:changes[[#This Row],[Type of change]], "Edit")),B1823)</f>
        <v>1</v>
      </c>
      <c r="C1824" s="16">
        <v>44785</v>
      </c>
      <c r="D1824" s="1" t="s">
        <v>2393</v>
      </c>
      <c r="E1824" t="s">
        <v>27</v>
      </c>
      <c r="F1824" s="10" t="s">
        <v>918</v>
      </c>
      <c r="G1824" t="s">
        <v>957</v>
      </c>
      <c r="H1824" t="s">
        <v>479</v>
      </c>
      <c r="I1824" t="s">
        <v>968</v>
      </c>
      <c r="K1824" s="2" t="s">
        <v>6</v>
      </c>
      <c r="M1824" s="2"/>
    </row>
    <row r="1825" spans="1:13">
      <c r="A1825" t="s">
        <v>28</v>
      </c>
      <c r="B1825">
        <f ca="1">IF(OR(changes[[#This Row],[Type]]="Checklist",changes[[#This Row],[Type]]="checklist-flat"),1+IF(changes[[#This Row],[Type of change]] = "Edit",COUNTIFS($I$4:changes[[#This Row],[Name]],changes[[#This Row],[Name]], $E$4:changes[[#This Row],[Type of change]], "Edit")),B1824)</f>
        <v>1</v>
      </c>
      <c r="C1825" s="16">
        <v>44785</v>
      </c>
      <c r="D1825" s="1" t="s">
        <v>2393</v>
      </c>
      <c r="E1825" t="s">
        <v>27</v>
      </c>
      <c r="F1825" s="10" t="s">
        <v>918</v>
      </c>
      <c r="G1825" t="s">
        <v>957</v>
      </c>
      <c r="H1825" t="s">
        <v>55</v>
      </c>
      <c r="I1825" t="s">
        <v>969</v>
      </c>
      <c r="K1825" s="2" t="s">
        <v>6</v>
      </c>
      <c r="M1825" s="2"/>
    </row>
    <row r="1826" spans="1:13">
      <c r="A1826" t="s">
        <v>28</v>
      </c>
      <c r="B1826">
        <f ca="1">IF(OR(changes[[#This Row],[Type]]="Checklist",changes[[#This Row],[Type]]="checklist-flat"),1+IF(changes[[#This Row],[Type of change]] = "Edit",COUNTIFS($I$4:changes[[#This Row],[Name]],changes[[#This Row],[Name]], $E$4:changes[[#This Row],[Type of change]], "Edit")),B1825)</f>
        <v>1</v>
      </c>
      <c r="C1826" s="16">
        <v>44785</v>
      </c>
      <c r="D1826" s="1" t="s">
        <v>2393</v>
      </c>
      <c r="E1826" t="s">
        <v>27</v>
      </c>
      <c r="F1826" s="10" t="s">
        <v>918</v>
      </c>
      <c r="G1826" t="s">
        <v>957</v>
      </c>
      <c r="H1826" t="s">
        <v>55</v>
      </c>
      <c r="I1826" t="s">
        <v>930</v>
      </c>
      <c r="K1826" s="2" t="s">
        <v>6</v>
      </c>
      <c r="M1826" s="2"/>
    </row>
    <row r="1827" spans="1:13">
      <c r="A1827" t="s">
        <v>28</v>
      </c>
      <c r="B1827">
        <f ca="1">IF(OR(changes[[#This Row],[Type]]="Checklist",changes[[#This Row],[Type]]="checklist-flat"),1+IF(changes[[#This Row],[Type of change]] = "Edit",COUNTIFS($I$4:changes[[#This Row],[Name]],changes[[#This Row],[Name]], $E$4:changes[[#This Row],[Type of change]], "Edit")),B1826)</f>
        <v>1</v>
      </c>
      <c r="C1827" s="16">
        <v>44785</v>
      </c>
      <c r="D1827" s="1" t="s">
        <v>2393</v>
      </c>
      <c r="E1827" t="s">
        <v>27</v>
      </c>
      <c r="F1827" s="10" t="s">
        <v>918</v>
      </c>
      <c r="G1827" t="s">
        <v>957</v>
      </c>
      <c r="H1827" t="s">
        <v>479</v>
      </c>
      <c r="I1827" t="s">
        <v>970</v>
      </c>
      <c r="K1827" s="2" t="s">
        <v>6</v>
      </c>
      <c r="M1827" s="2"/>
    </row>
    <row r="1828" spans="1:13">
      <c r="A1828" t="s">
        <v>28</v>
      </c>
      <c r="B1828">
        <f ca="1">IF(OR(changes[[#This Row],[Type]]="Checklist",changes[[#This Row],[Type]]="checklist-flat"),1+IF(changes[[#This Row],[Type of change]] = "Edit",COUNTIFS($I$4:changes[[#This Row],[Name]],changes[[#This Row],[Name]], $E$4:changes[[#This Row],[Type of change]], "Edit")),B1827)</f>
        <v>1</v>
      </c>
      <c r="C1828" s="16">
        <v>44785</v>
      </c>
      <c r="D1828" s="1" t="s">
        <v>2393</v>
      </c>
      <c r="E1828" t="s">
        <v>27</v>
      </c>
      <c r="F1828" s="10" t="s">
        <v>918</v>
      </c>
      <c r="G1828" t="s">
        <v>957</v>
      </c>
      <c r="H1828" t="s">
        <v>55</v>
      </c>
      <c r="I1828" t="s">
        <v>971</v>
      </c>
      <c r="K1828" s="2" t="s">
        <v>6</v>
      </c>
      <c r="M1828" s="2"/>
    </row>
    <row r="1829" spans="1:13">
      <c r="A1829" t="s">
        <v>28</v>
      </c>
      <c r="B1829">
        <f ca="1">IF(OR(changes[[#This Row],[Type]]="Checklist",changes[[#This Row],[Type]]="checklist-flat"),1+IF(changes[[#This Row],[Type of change]] = "Edit",COUNTIFS($I$4:changes[[#This Row],[Name]],changes[[#This Row],[Name]], $E$4:changes[[#This Row],[Type of change]], "Edit")),B1828)</f>
        <v>1</v>
      </c>
      <c r="C1829" s="16">
        <v>44785</v>
      </c>
      <c r="D1829" s="1" t="s">
        <v>2393</v>
      </c>
      <c r="E1829" t="s">
        <v>27</v>
      </c>
      <c r="F1829" s="10" t="s">
        <v>918</v>
      </c>
      <c r="G1829" t="s">
        <v>957</v>
      </c>
      <c r="H1829" t="s">
        <v>64</v>
      </c>
      <c r="I1829" t="s">
        <v>972</v>
      </c>
      <c r="K1829" s="2" t="s">
        <v>6</v>
      </c>
      <c r="M1829" s="2"/>
    </row>
    <row r="1830" spans="1:13">
      <c r="A1830" t="s">
        <v>28</v>
      </c>
      <c r="B1830">
        <f ca="1">IF(OR(changes[[#This Row],[Type]]="Checklist",changes[[#This Row],[Type]]="checklist-flat"),1+IF(changes[[#This Row],[Type of change]] = "Edit",COUNTIFS($I$4:changes[[#This Row],[Name]],changes[[#This Row],[Name]], $E$4:changes[[#This Row],[Type of change]], "Edit")),B1829)</f>
        <v>1</v>
      </c>
      <c r="C1830" s="16">
        <v>44785</v>
      </c>
      <c r="D1830" s="1" t="s">
        <v>2393</v>
      </c>
      <c r="E1830" t="s">
        <v>27</v>
      </c>
      <c r="F1830" s="10" t="s">
        <v>918</v>
      </c>
      <c r="G1830" t="s">
        <v>957</v>
      </c>
      <c r="H1830" t="s">
        <v>214</v>
      </c>
      <c r="I1830" t="s">
        <v>931</v>
      </c>
      <c r="K1830" s="2" t="s">
        <v>6</v>
      </c>
      <c r="M1830" s="2"/>
    </row>
    <row r="1831" spans="1:13">
      <c r="A1831" t="s">
        <v>28</v>
      </c>
      <c r="B1831">
        <f ca="1">IF(OR(changes[[#This Row],[Type]]="Checklist",changes[[#This Row],[Type]]="checklist-flat"),1+IF(changes[[#This Row],[Type of change]] = "Edit",COUNTIFS($I$4:changes[[#This Row],[Name]],changes[[#This Row],[Name]], $E$4:changes[[#This Row],[Type of change]], "Edit")),B1830)</f>
        <v>1</v>
      </c>
      <c r="C1831" s="16">
        <v>44785</v>
      </c>
      <c r="D1831" s="1" t="s">
        <v>2393</v>
      </c>
      <c r="E1831" t="s">
        <v>27</v>
      </c>
      <c r="F1831" s="10" t="s">
        <v>918</v>
      </c>
      <c r="G1831" t="s">
        <v>949</v>
      </c>
      <c r="H1831" t="s">
        <v>478</v>
      </c>
      <c r="I1831" t="s">
        <v>949</v>
      </c>
      <c r="K1831" s="2" t="s">
        <v>6</v>
      </c>
      <c r="M1831" s="2"/>
    </row>
    <row r="1832" spans="1:13">
      <c r="A1832" t="s">
        <v>28</v>
      </c>
      <c r="B1832">
        <f ca="1">IF(OR(changes[[#This Row],[Type]]="Checklist",changes[[#This Row],[Type]]="checklist-flat"),1+IF(changes[[#This Row],[Type of change]] = "Edit",COUNTIFS($I$4:changes[[#This Row],[Name]],changes[[#This Row],[Name]], $E$4:changes[[#This Row],[Type of change]], "Edit")),B1831)</f>
        <v>1</v>
      </c>
      <c r="C1832" s="16">
        <v>44785</v>
      </c>
      <c r="D1832" s="1" t="s">
        <v>2393</v>
      </c>
      <c r="E1832" t="s">
        <v>27</v>
      </c>
      <c r="F1832" s="10" t="s">
        <v>918</v>
      </c>
      <c r="G1832" t="s">
        <v>949</v>
      </c>
      <c r="H1832" t="s">
        <v>55</v>
      </c>
      <c r="I1832" t="s">
        <v>950</v>
      </c>
      <c r="K1832" s="2" t="s">
        <v>6</v>
      </c>
      <c r="M1832" s="2"/>
    </row>
    <row r="1833" spans="1:13">
      <c r="A1833" t="s">
        <v>28</v>
      </c>
      <c r="B1833">
        <f ca="1">IF(OR(changes[[#This Row],[Type]]="Checklist",changes[[#This Row],[Type]]="checklist-flat"),1+IF(changes[[#This Row],[Type of change]] = "Edit",COUNTIFS($I$4:changes[[#This Row],[Name]],changes[[#This Row],[Name]], $E$4:changes[[#This Row],[Type of change]], "Edit")),B1832)</f>
        <v>1</v>
      </c>
      <c r="C1833" s="16">
        <v>44785</v>
      </c>
      <c r="D1833" s="1" t="s">
        <v>2393</v>
      </c>
      <c r="E1833" t="s">
        <v>27</v>
      </c>
      <c r="F1833" s="10" t="s">
        <v>918</v>
      </c>
      <c r="G1833" t="s">
        <v>949</v>
      </c>
      <c r="H1833" t="s">
        <v>951</v>
      </c>
      <c r="I1833" t="s">
        <v>952</v>
      </c>
      <c r="K1833" s="2" t="s">
        <v>6</v>
      </c>
      <c r="M1833" s="2"/>
    </row>
    <row r="1834" spans="1:13" ht="15.75">
      <c r="A1834" t="s">
        <v>28</v>
      </c>
      <c r="B1834">
        <f ca="1">IF(OR(changes[[#This Row],[Type]]="Checklist",changes[[#This Row],[Type]]="checklist-flat"),1+IF(changes[[#This Row],[Type of change]] = "Edit",COUNTIFS($I$4:changes[[#This Row],[Name]],changes[[#This Row],[Name]], $E$4:changes[[#This Row],[Type of change]], "Edit")),B1833)</f>
        <v>1</v>
      </c>
      <c r="C1834" s="16">
        <v>44785</v>
      </c>
      <c r="D1834" s="1" t="s">
        <v>2393</v>
      </c>
      <c r="E1834" t="s">
        <v>27</v>
      </c>
      <c r="F1834" s="10" t="s">
        <v>918</v>
      </c>
      <c r="G1834" t="s">
        <v>949</v>
      </c>
      <c r="H1834" t="s">
        <v>951</v>
      </c>
      <c r="I1834" s="21" t="s">
        <v>953</v>
      </c>
      <c r="J1834" s="22"/>
      <c r="K1834" s="2" t="s">
        <v>6</v>
      </c>
      <c r="M1834" s="2"/>
    </row>
    <row r="1835" spans="1:13" ht="15.75">
      <c r="A1835" t="s">
        <v>28</v>
      </c>
      <c r="B1835">
        <f ca="1">IF(OR(changes[[#This Row],[Type]]="Checklist",changes[[#This Row],[Type]]="checklist-flat"),1+IF(changes[[#This Row],[Type of change]] = "Edit",COUNTIFS($I$4:changes[[#This Row],[Name]],changes[[#This Row],[Name]], $E$4:changes[[#This Row],[Type of change]], "Edit")),B1834)</f>
        <v>1</v>
      </c>
      <c r="C1835" s="16">
        <v>44785</v>
      </c>
      <c r="D1835" s="1" t="s">
        <v>2393</v>
      </c>
      <c r="E1835" t="s">
        <v>27</v>
      </c>
      <c r="F1835" s="10" t="s">
        <v>918</v>
      </c>
      <c r="G1835" t="s">
        <v>949</v>
      </c>
      <c r="H1835" t="s">
        <v>951</v>
      </c>
      <c r="I1835" s="21" t="s">
        <v>954</v>
      </c>
      <c r="J1835" s="22"/>
      <c r="K1835" s="2" t="s">
        <v>6</v>
      </c>
      <c r="M1835" s="2"/>
    </row>
    <row r="1836" spans="1:13" ht="15.75">
      <c r="A1836" t="s">
        <v>28</v>
      </c>
      <c r="B1836">
        <f ca="1">IF(OR(changes[[#This Row],[Type]]="Checklist",changes[[#This Row],[Type]]="checklist-flat"),1+IF(changes[[#This Row],[Type of change]] = "Edit",COUNTIFS($I$4:changes[[#This Row],[Name]],changes[[#This Row],[Name]], $E$4:changes[[#This Row],[Type of change]], "Edit")),B1835)</f>
        <v>1</v>
      </c>
      <c r="C1836" s="16">
        <v>44785</v>
      </c>
      <c r="D1836" s="1" t="s">
        <v>2393</v>
      </c>
      <c r="E1836" t="s">
        <v>27</v>
      </c>
      <c r="F1836" s="10" t="s">
        <v>918</v>
      </c>
      <c r="G1836" t="s">
        <v>949</v>
      </c>
      <c r="H1836" t="s">
        <v>951</v>
      </c>
      <c r="I1836" s="21" t="s">
        <v>955</v>
      </c>
      <c r="J1836" s="22"/>
      <c r="K1836" s="2" t="s">
        <v>6</v>
      </c>
      <c r="M1836" s="2"/>
    </row>
    <row r="1837" spans="1:13">
      <c r="A1837" t="s">
        <v>28</v>
      </c>
      <c r="B1837">
        <f ca="1">IF(OR(changes[[#This Row],[Type]]="Checklist",changes[[#This Row],[Type]]="checklist-flat"),1+IF(changes[[#This Row],[Type of change]] = "Edit",COUNTIFS($I$4:changes[[#This Row],[Name]],changes[[#This Row],[Name]], $E$4:changes[[#This Row],[Type of change]], "Edit")),B1836)</f>
        <v>1</v>
      </c>
      <c r="C1837" s="16">
        <v>44785</v>
      </c>
      <c r="D1837" s="1" t="s">
        <v>2393</v>
      </c>
      <c r="E1837" t="s">
        <v>27</v>
      </c>
      <c r="F1837" s="10" t="s">
        <v>918</v>
      </c>
      <c r="G1837" t="s">
        <v>949</v>
      </c>
      <c r="H1837" t="s">
        <v>55</v>
      </c>
      <c r="I1837" t="s">
        <v>956</v>
      </c>
      <c r="K1837" s="2" t="s">
        <v>6</v>
      </c>
      <c r="M1837" s="2"/>
    </row>
    <row r="1838" spans="1:13">
      <c r="A1838" t="s">
        <v>28</v>
      </c>
      <c r="B1838">
        <f ca="1">IF(OR(changes[[#This Row],[Type]]="Checklist",changes[[#This Row],[Type]]="checklist-flat"),1+IF(changes[[#This Row],[Type of change]] = "Edit",COUNTIFS($I$4:changes[[#This Row],[Name]],changes[[#This Row],[Name]], $E$4:changes[[#This Row],[Type of change]], "Edit")),B1837)</f>
        <v>1</v>
      </c>
      <c r="C1838" s="16">
        <v>44785</v>
      </c>
      <c r="D1838" s="1" t="s">
        <v>2393</v>
      </c>
      <c r="E1838" t="s">
        <v>27</v>
      </c>
      <c r="F1838" s="10" t="s">
        <v>918</v>
      </c>
      <c r="G1838" t="s">
        <v>973</v>
      </c>
      <c r="H1838" t="s">
        <v>478</v>
      </c>
      <c r="I1838" t="s">
        <v>973</v>
      </c>
      <c r="K1838" s="2" t="s">
        <v>6</v>
      </c>
      <c r="M1838" s="2"/>
    </row>
    <row r="1839" spans="1:13">
      <c r="A1839" t="s">
        <v>28</v>
      </c>
      <c r="B1839">
        <f ca="1">IF(OR(changes[[#This Row],[Type]]="Checklist",changes[[#This Row],[Type]]="checklist-flat"),1+IF(changes[[#This Row],[Type of change]] = "Edit",COUNTIFS($I$4:changes[[#This Row],[Name]],changes[[#This Row],[Name]], $E$4:changes[[#This Row],[Type of change]], "Edit")),B1838)</f>
        <v>1</v>
      </c>
      <c r="C1839" s="16">
        <v>44785</v>
      </c>
      <c r="D1839" s="1" t="s">
        <v>2393</v>
      </c>
      <c r="E1839" t="s">
        <v>27</v>
      </c>
      <c r="F1839" s="10" t="s">
        <v>918</v>
      </c>
      <c r="G1839" t="s">
        <v>973</v>
      </c>
      <c r="H1839" t="s">
        <v>55</v>
      </c>
      <c r="I1839" t="s">
        <v>974</v>
      </c>
      <c r="K1839" s="2" t="s">
        <v>6</v>
      </c>
      <c r="M1839" s="2"/>
    </row>
    <row r="1840" spans="1:13">
      <c r="A1840" t="s">
        <v>28</v>
      </c>
      <c r="B1840">
        <f ca="1">IF(OR(changes[[#This Row],[Type]]="Checklist",changes[[#This Row],[Type]]="checklist-flat"),1+IF(changes[[#This Row],[Type of change]] = "Edit",COUNTIFS($I$4:changes[[#This Row],[Name]],changes[[#This Row],[Name]], $E$4:changes[[#This Row],[Type of change]], "Edit")),B1839)</f>
        <v>1</v>
      </c>
      <c r="C1840" s="16">
        <v>44785</v>
      </c>
      <c r="D1840" s="1" t="s">
        <v>2393</v>
      </c>
      <c r="E1840" t="s">
        <v>27</v>
      </c>
      <c r="F1840" s="10" t="s">
        <v>918</v>
      </c>
      <c r="G1840" t="s">
        <v>973</v>
      </c>
      <c r="H1840" t="s">
        <v>214</v>
      </c>
      <c r="I1840" t="s">
        <v>936</v>
      </c>
      <c r="K1840" s="2" t="s">
        <v>6</v>
      </c>
      <c r="M1840" s="2"/>
    </row>
    <row r="1841" spans="1:13">
      <c r="A1841" t="s">
        <v>28</v>
      </c>
      <c r="B1841">
        <f ca="1">IF(OR(changes[[#This Row],[Type]]="Checklist",changes[[#This Row],[Type]]="checklist-flat"),1+IF(changes[[#This Row],[Type of change]] = "Edit",COUNTIFS($I$4:changes[[#This Row],[Name]],changes[[#This Row],[Name]], $E$4:changes[[#This Row],[Type of change]], "Edit")),B1840)</f>
        <v>1</v>
      </c>
      <c r="C1841" s="16">
        <v>44785</v>
      </c>
      <c r="D1841" s="1" t="s">
        <v>2393</v>
      </c>
      <c r="E1841" t="s">
        <v>27</v>
      </c>
      <c r="F1841" s="10" t="s">
        <v>918</v>
      </c>
      <c r="G1841" t="s">
        <v>973</v>
      </c>
      <c r="H1841" t="s">
        <v>214</v>
      </c>
      <c r="I1841" t="s">
        <v>975</v>
      </c>
      <c r="K1841" s="2" t="s">
        <v>6</v>
      </c>
      <c r="M1841" s="2"/>
    </row>
    <row r="1842" spans="1:13">
      <c r="A1842" t="s">
        <v>28</v>
      </c>
      <c r="B1842">
        <f ca="1">IF(OR(changes[[#This Row],[Type]]="Checklist",changes[[#This Row],[Type]]="checklist-flat"),1+IF(changes[[#This Row],[Type of change]] = "Edit",COUNTIFS($I$4:changes[[#This Row],[Name]],changes[[#This Row],[Name]], $E$4:changes[[#This Row],[Type of change]], "Edit")),B1841)</f>
        <v>1</v>
      </c>
      <c r="C1842" s="16">
        <v>44785</v>
      </c>
      <c r="D1842" s="1" t="s">
        <v>2393</v>
      </c>
      <c r="E1842" t="s">
        <v>27</v>
      </c>
      <c r="F1842" s="10" t="s">
        <v>918</v>
      </c>
      <c r="G1842" t="s">
        <v>973</v>
      </c>
      <c r="H1842" t="s">
        <v>214</v>
      </c>
      <c r="I1842" t="s">
        <v>938</v>
      </c>
      <c r="K1842" s="2" t="s">
        <v>6</v>
      </c>
      <c r="M1842" s="2"/>
    </row>
    <row r="1843" spans="1:13">
      <c r="A1843" t="s">
        <v>28</v>
      </c>
      <c r="B1843">
        <f ca="1">IF(OR(changes[[#This Row],[Type]]="Checklist",changes[[#This Row],[Type]]="checklist-flat"),1+IF(changes[[#This Row],[Type of change]] = "Edit",COUNTIFS($I$4:changes[[#This Row],[Name]],changes[[#This Row],[Name]], $E$4:changes[[#This Row],[Type of change]], "Edit")),B1842)</f>
        <v>1</v>
      </c>
      <c r="C1843" s="16">
        <v>44785</v>
      </c>
      <c r="D1843" s="1" t="s">
        <v>2393</v>
      </c>
      <c r="E1843" t="s">
        <v>27</v>
      </c>
      <c r="F1843" s="10" t="s">
        <v>918</v>
      </c>
      <c r="G1843" t="s">
        <v>973</v>
      </c>
      <c r="H1843" t="s">
        <v>64</v>
      </c>
      <c r="I1843" t="s">
        <v>976</v>
      </c>
      <c r="K1843" s="2" t="s">
        <v>6</v>
      </c>
      <c r="M1843" s="2"/>
    </row>
    <row r="1844" spans="1:13">
      <c r="A1844" t="s">
        <v>28</v>
      </c>
      <c r="B1844">
        <f ca="1">IF(OR(changes[[#This Row],[Type]]="Checklist",changes[[#This Row],[Type]]="checklist-flat"),1+IF(changes[[#This Row],[Type of change]] = "Edit",COUNTIFS($I$4:changes[[#This Row],[Name]],changes[[#This Row],[Name]], $E$4:changes[[#This Row],[Type of change]], "Edit")),B1843)</f>
        <v>1</v>
      </c>
      <c r="C1844" s="16">
        <v>44785</v>
      </c>
      <c r="D1844" s="1" t="s">
        <v>2393</v>
      </c>
      <c r="E1844" t="s">
        <v>27</v>
      </c>
      <c r="F1844" s="10" t="s">
        <v>918</v>
      </c>
      <c r="G1844" t="s">
        <v>995</v>
      </c>
      <c r="H1844" t="s">
        <v>478</v>
      </c>
      <c r="I1844" t="s">
        <v>995</v>
      </c>
      <c r="K1844" s="2" t="s">
        <v>6</v>
      </c>
      <c r="M1844" s="2"/>
    </row>
    <row r="1845" spans="1:13">
      <c r="A1845" t="s">
        <v>28</v>
      </c>
      <c r="B1845">
        <f ca="1">IF(OR(changes[[#This Row],[Type]]="Checklist",changes[[#This Row],[Type]]="checklist-flat"),1+IF(changes[[#This Row],[Type of change]] = "Edit",COUNTIFS($I$4:changes[[#This Row],[Name]],changes[[#This Row],[Name]], $E$4:changes[[#This Row],[Type of change]], "Edit")),B1844)</f>
        <v>1</v>
      </c>
      <c r="C1845" s="16">
        <v>44785</v>
      </c>
      <c r="D1845" s="1" t="s">
        <v>2393</v>
      </c>
      <c r="E1845" t="s">
        <v>27</v>
      </c>
      <c r="F1845" s="10" t="s">
        <v>918</v>
      </c>
      <c r="G1845" t="s">
        <v>995</v>
      </c>
      <c r="H1845" t="s">
        <v>479</v>
      </c>
      <c r="I1845" t="s">
        <v>920</v>
      </c>
      <c r="K1845" s="2" t="s">
        <v>6</v>
      </c>
      <c r="M1845" s="2"/>
    </row>
    <row r="1846" spans="1:13">
      <c r="A1846" t="s">
        <v>28</v>
      </c>
      <c r="B1846">
        <f ca="1">IF(OR(changes[[#This Row],[Type]]="Checklist",changes[[#This Row],[Type]]="checklist-flat"),1+IF(changes[[#This Row],[Type of change]] = "Edit",COUNTIFS($I$4:changes[[#This Row],[Name]],changes[[#This Row],[Name]], $E$4:changes[[#This Row],[Type of change]], "Edit")),B1845)</f>
        <v>1</v>
      </c>
      <c r="C1846" s="16">
        <v>44785</v>
      </c>
      <c r="D1846" s="1" t="s">
        <v>2393</v>
      </c>
      <c r="E1846" t="s">
        <v>27</v>
      </c>
      <c r="F1846" s="10" t="s">
        <v>918</v>
      </c>
      <c r="G1846" t="s">
        <v>995</v>
      </c>
      <c r="H1846" t="s">
        <v>55</v>
      </c>
      <c r="I1846" t="s">
        <v>996</v>
      </c>
      <c r="K1846" s="2" t="s">
        <v>6</v>
      </c>
      <c r="M1846" s="2"/>
    </row>
    <row r="1847" spans="1:13">
      <c r="A1847" t="s">
        <v>28</v>
      </c>
      <c r="B1847">
        <f ca="1">IF(OR(changes[[#This Row],[Type]]="Checklist",changes[[#This Row],[Type]]="checklist-flat"),1+IF(changes[[#This Row],[Type of change]] = "Edit",COUNTIFS($I$4:changes[[#This Row],[Name]],changes[[#This Row],[Name]], $E$4:changes[[#This Row],[Type of change]], "Edit")),B1846)</f>
        <v>1</v>
      </c>
      <c r="C1847" s="16">
        <v>44785</v>
      </c>
      <c r="D1847" s="1" t="s">
        <v>2393</v>
      </c>
      <c r="E1847" t="s">
        <v>27</v>
      </c>
      <c r="F1847" s="10" t="s">
        <v>918</v>
      </c>
      <c r="G1847" t="s">
        <v>995</v>
      </c>
      <c r="H1847" t="s">
        <v>214</v>
      </c>
      <c r="I1847" t="s">
        <v>997</v>
      </c>
      <c r="K1847" s="2" t="s">
        <v>6</v>
      </c>
      <c r="M1847" s="2"/>
    </row>
    <row r="1848" spans="1:13">
      <c r="A1848" t="s">
        <v>28</v>
      </c>
      <c r="B1848">
        <f ca="1">IF(OR(changes[[#This Row],[Type]]="Checklist",changes[[#This Row],[Type]]="checklist-flat"),1+IF(changes[[#This Row],[Type of change]] = "Edit",COUNTIFS($I$4:changes[[#This Row],[Name]],changes[[#This Row],[Name]], $E$4:changes[[#This Row],[Type of change]], "Edit")),B1847)</f>
        <v>1</v>
      </c>
      <c r="C1848" s="16">
        <v>44785</v>
      </c>
      <c r="D1848" s="1" t="s">
        <v>2393</v>
      </c>
      <c r="E1848" t="s">
        <v>27</v>
      </c>
      <c r="F1848" s="10" t="s">
        <v>918</v>
      </c>
      <c r="G1848" t="s">
        <v>995</v>
      </c>
      <c r="H1848" t="s">
        <v>214</v>
      </c>
      <c r="I1848" t="s">
        <v>998</v>
      </c>
      <c r="K1848" s="2" t="s">
        <v>6</v>
      </c>
      <c r="M1848" s="2"/>
    </row>
    <row r="1849" spans="1:13">
      <c r="A1849" t="s">
        <v>28</v>
      </c>
      <c r="B1849">
        <f ca="1">IF(OR(changes[[#This Row],[Type]]="Checklist",changes[[#This Row],[Type]]="checklist-flat"),1+IF(changes[[#This Row],[Type of change]] = "Edit",COUNTIFS($I$4:changes[[#This Row],[Name]],changes[[#This Row],[Name]], $E$4:changes[[#This Row],[Type of change]], "Edit")),B1848)</f>
        <v>1</v>
      </c>
      <c r="C1849" s="16">
        <v>44785</v>
      </c>
      <c r="D1849" s="1" t="s">
        <v>2393</v>
      </c>
      <c r="E1849" t="s">
        <v>27</v>
      </c>
      <c r="F1849" s="10" t="s">
        <v>918</v>
      </c>
      <c r="G1849" t="s">
        <v>995</v>
      </c>
      <c r="H1849" t="s">
        <v>214</v>
      </c>
      <c r="I1849" t="s">
        <v>571</v>
      </c>
      <c r="K1849" s="2" t="s">
        <v>6</v>
      </c>
      <c r="M1849" s="2"/>
    </row>
    <row r="1850" spans="1:13">
      <c r="A1850" t="s">
        <v>28</v>
      </c>
      <c r="B1850">
        <f ca="1">IF(OR(changes[[#This Row],[Type]]="Checklist",changes[[#This Row],[Type]]="checklist-flat"),1+IF(changes[[#This Row],[Type of change]] = "Edit",COUNTIFS($I$4:changes[[#This Row],[Name]],changes[[#This Row],[Name]], $E$4:changes[[#This Row],[Type of change]], "Edit")),B1849)</f>
        <v>1</v>
      </c>
      <c r="C1850" s="16">
        <v>44785</v>
      </c>
      <c r="D1850" s="1" t="s">
        <v>2393</v>
      </c>
      <c r="E1850" t="s">
        <v>27</v>
      </c>
      <c r="F1850" s="10" t="s">
        <v>918</v>
      </c>
      <c r="G1850" t="s">
        <v>995</v>
      </c>
      <c r="H1850" t="s">
        <v>214</v>
      </c>
      <c r="I1850" t="s">
        <v>999</v>
      </c>
      <c r="K1850" s="2" t="s">
        <v>6</v>
      </c>
      <c r="M1850" s="2"/>
    </row>
    <row r="1851" spans="1:13">
      <c r="A1851" t="s">
        <v>28</v>
      </c>
      <c r="B1851">
        <f ca="1">IF(OR(changes[[#This Row],[Type]]="Checklist",changes[[#This Row],[Type]]="checklist-flat"),1+IF(changes[[#This Row],[Type of change]] = "Edit",COUNTIFS($I$4:changes[[#This Row],[Name]],changes[[#This Row],[Name]], $E$4:changes[[#This Row],[Type of change]], "Edit")),B1850)</f>
        <v>1</v>
      </c>
      <c r="C1851" s="16">
        <v>44785</v>
      </c>
      <c r="D1851" s="1" t="s">
        <v>2393</v>
      </c>
      <c r="E1851" t="s">
        <v>27</v>
      </c>
      <c r="F1851" s="10" t="s">
        <v>918</v>
      </c>
      <c r="G1851" t="s">
        <v>995</v>
      </c>
      <c r="H1851" t="s">
        <v>214</v>
      </c>
      <c r="I1851" t="s">
        <v>1000</v>
      </c>
      <c r="K1851" s="2" t="s">
        <v>6</v>
      </c>
      <c r="M1851" s="2"/>
    </row>
    <row r="1852" spans="1:13">
      <c r="A1852" t="s">
        <v>28</v>
      </c>
      <c r="B1852">
        <f ca="1">IF(OR(changes[[#This Row],[Type]]="Checklist",changes[[#This Row],[Type]]="checklist-flat"),1+IF(changes[[#This Row],[Type of change]] = "Edit",COUNTIFS($I$4:changes[[#This Row],[Name]],changes[[#This Row],[Name]], $E$4:changes[[#This Row],[Type of change]], "Edit")),B1851)</f>
        <v>1</v>
      </c>
      <c r="C1852" s="16">
        <v>44785</v>
      </c>
      <c r="D1852" s="1" t="s">
        <v>2393</v>
      </c>
      <c r="E1852" t="s">
        <v>27</v>
      </c>
      <c r="F1852" s="10" t="s">
        <v>918</v>
      </c>
      <c r="G1852" t="s">
        <v>995</v>
      </c>
      <c r="H1852" t="s">
        <v>214</v>
      </c>
      <c r="I1852" t="s">
        <v>1001</v>
      </c>
      <c r="K1852" s="2" t="s">
        <v>6</v>
      </c>
      <c r="M1852" s="2"/>
    </row>
    <row r="1853" spans="1:13">
      <c r="A1853" t="s">
        <v>28</v>
      </c>
      <c r="B1853">
        <f ca="1">IF(OR(changes[[#This Row],[Type]]="Checklist",changes[[#This Row],[Type]]="checklist-flat"),1+IF(changes[[#This Row],[Type of change]] = "Edit",COUNTIFS($I$4:changes[[#This Row],[Name]],changes[[#This Row],[Name]], $E$4:changes[[#This Row],[Type of change]], "Edit")),B1852)</f>
        <v>1</v>
      </c>
      <c r="C1853" s="16">
        <v>44785</v>
      </c>
      <c r="D1853" s="1" t="s">
        <v>2393</v>
      </c>
      <c r="E1853" t="s">
        <v>27</v>
      </c>
      <c r="F1853" s="10" t="s">
        <v>918</v>
      </c>
      <c r="G1853" t="s">
        <v>995</v>
      </c>
      <c r="H1853" t="s">
        <v>214</v>
      </c>
      <c r="I1853" t="s">
        <v>1002</v>
      </c>
      <c r="K1853" s="2" t="s">
        <v>6</v>
      </c>
      <c r="M1853" s="2"/>
    </row>
    <row r="1854" spans="1:13">
      <c r="A1854" t="s">
        <v>28</v>
      </c>
      <c r="B1854">
        <f ca="1">IF(OR(changes[[#This Row],[Type]]="Checklist",changes[[#This Row],[Type]]="checklist-flat"),1+IF(changes[[#This Row],[Type of change]] = "Edit",COUNTIFS($I$4:changes[[#This Row],[Name]],changes[[#This Row],[Name]], $E$4:changes[[#This Row],[Type of change]], "Edit")),B1853)</f>
        <v>1</v>
      </c>
      <c r="C1854" s="16">
        <v>44785</v>
      </c>
      <c r="D1854" s="1" t="s">
        <v>2393</v>
      </c>
      <c r="E1854" t="s">
        <v>27</v>
      </c>
      <c r="F1854" s="10" t="s">
        <v>918</v>
      </c>
      <c r="G1854" t="s">
        <v>995</v>
      </c>
      <c r="H1854" t="s">
        <v>214</v>
      </c>
      <c r="I1854" t="s">
        <v>1003</v>
      </c>
      <c r="K1854" s="2" t="s">
        <v>6</v>
      </c>
      <c r="M1854" s="2"/>
    </row>
    <row r="1855" spans="1:13">
      <c r="A1855" t="s">
        <v>28</v>
      </c>
      <c r="B1855">
        <f ca="1">IF(OR(changes[[#This Row],[Type]]="Checklist",changes[[#This Row],[Type]]="checklist-flat"),1+IF(changes[[#This Row],[Type of change]] = "Edit",COUNTIFS($I$4:changes[[#This Row],[Name]],changes[[#This Row],[Name]], $E$4:changes[[#This Row],[Type of change]], "Edit")),B1854)</f>
        <v>1</v>
      </c>
      <c r="C1855" s="16">
        <v>44785</v>
      </c>
      <c r="D1855" s="1" t="s">
        <v>2393</v>
      </c>
      <c r="E1855" t="s">
        <v>27</v>
      </c>
      <c r="F1855" s="10" t="s">
        <v>918</v>
      </c>
      <c r="G1855" t="s">
        <v>995</v>
      </c>
      <c r="H1855" t="s">
        <v>55</v>
      </c>
      <c r="I1855" t="s">
        <v>1004</v>
      </c>
      <c r="K1855" s="2" t="s">
        <v>6</v>
      </c>
      <c r="M1855" s="2"/>
    </row>
    <row r="1856" spans="1:13">
      <c r="A1856" t="s">
        <v>28</v>
      </c>
      <c r="B1856">
        <f ca="1">IF(OR(changes[[#This Row],[Type]]="Checklist",changes[[#This Row],[Type]]="checklist-flat"),1+IF(changes[[#This Row],[Type of change]] = "Edit",COUNTIFS($I$4:changes[[#This Row],[Name]],changes[[#This Row],[Name]], $E$4:changes[[#This Row],[Type of change]], "Edit")),B1855)</f>
        <v>1</v>
      </c>
      <c r="C1856" s="16">
        <v>44785</v>
      </c>
      <c r="D1856" s="1" t="s">
        <v>2393</v>
      </c>
      <c r="E1856" t="s">
        <v>27</v>
      </c>
      <c r="F1856" s="10" t="s">
        <v>918</v>
      </c>
      <c r="G1856" t="s">
        <v>995</v>
      </c>
      <c r="H1856" t="s">
        <v>479</v>
      </c>
      <c r="I1856" t="s">
        <v>1005</v>
      </c>
      <c r="K1856" s="2" t="s">
        <v>6</v>
      </c>
      <c r="M1856" s="2"/>
    </row>
    <row r="1857" spans="1:13">
      <c r="A1857" t="s">
        <v>28</v>
      </c>
      <c r="B1857">
        <f ca="1">IF(OR(changes[[#This Row],[Type]]="Checklist",changes[[#This Row],[Type]]="checklist-flat"),1+IF(changes[[#This Row],[Type of change]] = "Edit",COUNTIFS($I$4:changes[[#This Row],[Name]],changes[[#This Row],[Name]], $E$4:changes[[#This Row],[Type of change]], "Edit")),B1856)</f>
        <v>1</v>
      </c>
      <c r="C1857" s="16">
        <v>44785</v>
      </c>
      <c r="D1857" s="1" t="s">
        <v>2393</v>
      </c>
      <c r="E1857" t="s">
        <v>27</v>
      </c>
      <c r="F1857" s="10" t="s">
        <v>918</v>
      </c>
      <c r="G1857" t="s">
        <v>995</v>
      </c>
      <c r="H1857" t="s">
        <v>55</v>
      </c>
      <c r="I1857" t="s">
        <v>1006</v>
      </c>
      <c r="K1857" s="2" t="s">
        <v>6</v>
      </c>
      <c r="M1857" s="2"/>
    </row>
    <row r="1858" spans="1:13">
      <c r="A1858" t="s">
        <v>28</v>
      </c>
      <c r="B1858">
        <f ca="1">IF(OR(changes[[#This Row],[Type]]="Checklist",changes[[#This Row],[Type]]="checklist-flat"),1+IF(changes[[#This Row],[Type of change]] = "Edit",COUNTIFS($I$4:changes[[#This Row],[Name]],changes[[#This Row],[Name]], $E$4:changes[[#This Row],[Type of change]], "Edit")),B1857)</f>
        <v>1</v>
      </c>
      <c r="C1858" s="16">
        <v>44785</v>
      </c>
      <c r="D1858" s="1" t="s">
        <v>2393</v>
      </c>
      <c r="E1858" t="s">
        <v>27</v>
      </c>
      <c r="F1858" s="10" t="s">
        <v>918</v>
      </c>
      <c r="G1858" t="s">
        <v>995</v>
      </c>
      <c r="H1858" t="s">
        <v>951</v>
      </c>
      <c r="I1858" t="s">
        <v>1007</v>
      </c>
      <c r="K1858" s="2" t="s">
        <v>6</v>
      </c>
      <c r="M1858" s="2"/>
    </row>
    <row r="1859" spans="1:13">
      <c r="A1859" t="s">
        <v>28</v>
      </c>
      <c r="B1859">
        <f ca="1">IF(OR(changes[[#This Row],[Type]]="Checklist",changes[[#This Row],[Type]]="checklist-flat"),1+IF(changes[[#This Row],[Type of change]] = "Edit",COUNTIFS($I$4:changes[[#This Row],[Name]],changes[[#This Row],[Name]], $E$4:changes[[#This Row],[Type of change]], "Edit")),B1858)</f>
        <v>1</v>
      </c>
      <c r="C1859" s="16">
        <v>44785</v>
      </c>
      <c r="D1859" s="1" t="s">
        <v>2393</v>
      </c>
      <c r="E1859" t="s">
        <v>27</v>
      </c>
      <c r="F1859" s="10" t="s">
        <v>918</v>
      </c>
      <c r="G1859" t="s">
        <v>995</v>
      </c>
      <c r="H1859" t="s">
        <v>951</v>
      </c>
      <c r="I1859" t="s">
        <v>1008</v>
      </c>
      <c r="K1859" s="2" t="s">
        <v>6</v>
      </c>
      <c r="M1859" s="2"/>
    </row>
    <row r="1860" spans="1:13">
      <c r="A1860" t="s">
        <v>28</v>
      </c>
      <c r="B1860">
        <f ca="1">IF(OR(changes[[#This Row],[Type]]="Checklist",changes[[#This Row],[Type]]="checklist-flat"),1+IF(changes[[#This Row],[Type of change]] = "Edit",COUNTIFS($I$4:changes[[#This Row],[Name]],changes[[#This Row],[Name]], $E$4:changes[[#This Row],[Type of change]], "Edit")),B1859)</f>
        <v>1</v>
      </c>
      <c r="C1860" s="16">
        <v>44785</v>
      </c>
      <c r="D1860" s="1" t="s">
        <v>2393</v>
      </c>
      <c r="E1860" t="s">
        <v>27</v>
      </c>
      <c r="F1860" s="10" t="s">
        <v>918</v>
      </c>
      <c r="G1860" t="s">
        <v>995</v>
      </c>
      <c r="H1860" t="s">
        <v>951</v>
      </c>
      <c r="I1860" t="s">
        <v>1009</v>
      </c>
      <c r="K1860" s="2" t="s">
        <v>6</v>
      </c>
      <c r="M1860" s="2"/>
    </row>
    <row r="1861" spans="1:13">
      <c r="A1861" t="s">
        <v>28</v>
      </c>
      <c r="B1861">
        <f ca="1">IF(OR(changes[[#This Row],[Type]]="Checklist",changes[[#This Row],[Type]]="checklist-flat"),1+IF(changes[[#This Row],[Type of change]] = "Edit",COUNTIFS($I$4:changes[[#This Row],[Name]],changes[[#This Row],[Name]], $E$4:changes[[#This Row],[Type of change]], "Edit")),B1860)</f>
        <v>1</v>
      </c>
      <c r="C1861" s="16">
        <v>44785</v>
      </c>
      <c r="D1861" s="1" t="s">
        <v>2393</v>
      </c>
      <c r="E1861" t="s">
        <v>27</v>
      </c>
      <c r="F1861" s="10" t="s">
        <v>918</v>
      </c>
      <c r="G1861" t="s">
        <v>995</v>
      </c>
      <c r="H1861" t="s">
        <v>214</v>
      </c>
      <c r="I1861" t="s">
        <v>1010</v>
      </c>
      <c r="K1861" s="2" t="s">
        <v>6</v>
      </c>
      <c r="M1861" s="2"/>
    </row>
    <row r="1862" spans="1:13">
      <c r="A1862" t="s">
        <v>28</v>
      </c>
      <c r="B1862">
        <f ca="1">IF(OR(changes[[#This Row],[Type]]="Checklist",changes[[#This Row],[Type]]="checklist-flat"),1+IF(changes[[#This Row],[Type of change]] = "Edit",COUNTIFS($I$4:changes[[#This Row],[Name]],changes[[#This Row],[Name]], $E$4:changes[[#This Row],[Type of change]], "Edit")),B1861)</f>
        <v>1</v>
      </c>
      <c r="C1862" s="16">
        <v>44785</v>
      </c>
      <c r="D1862" s="1" t="s">
        <v>2393</v>
      </c>
      <c r="E1862" t="s">
        <v>27</v>
      </c>
      <c r="F1862" s="10" t="s">
        <v>918</v>
      </c>
      <c r="G1862" t="s">
        <v>995</v>
      </c>
      <c r="H1862" t="s">
        <v>214</v>
      </c>
      <c r="I1862" t="s">
        <v>1011</v>
      </c>
      <c r="K1862" s="2" t="s">
        <v>6</v>
      </c>
      <c r="M1862" s="2"/>
    </row>
    <row r="1863" spans="1:13">
      <c r="A1863" t="s">
        <v>28</v>
      </c>
      <c r="B1863">
        <f ca="1">IF(OR(changes[[#This Row],[Type]]="Checklist",changes[[#This Row],[Type]]="checklist-flat"),1+IF(changes[[#This Row],[Type of change]] = "Edit",COUNTIFS($I$4:changes[[#This Row],[Name]],changes[[#This Row],[Name]], $E$4:changes[[#This Row],[Type of change]], "Edit")),B1862)</f>
        <v>1</v>
      </c>
      <c r="C1863" s="16">
        <v>44785</v>
      </c>
      <c r="D1863" s="1" t="s">
        <v>2393</v>
      </c>
      <c r="E1863" t="s">
        <v>27</v>
      </c>
      <c r="F1863" s="10" t="s">
        <v>918</v>
      </c>
      <c r="G1863" t="s">
        <v>995</v>
      </c>
      <c r="H1863" t="s">
        <v>214</v>
      </c>
      <c r="I1863" t="s">
        <v>1012</v>
      </c>
      <c r="K1863" s="2" t="s">
        <v>6</v>
      </c>
      <c r="M1863" s="2"/>
    </row>
    <row r="1864" spans="1:13">
      <c r="A1864" t="s">
        <v>28</v>
      </c>
      <c r="B1864">
        <f ca="1">IF(OR(changes[[#This Row],[Type]]="Checklist",changes[[#This Row],[Type]]="checklist-flat"),1+IF(changes[[#This Row],[Type of change]] = "Edit",COUNTIFS($I$4:changes[[#This Row],[Name]],changes[[#This Row],[Name]], $E$4:changes[[#This Row],[Type of change]], "Edit")),B1863)</f>
        <v>1</v>
      </c>
      <c r="C1864" s="16">
        <v>44785</v>
      </c>
      <c r="D1864" s="1" t="s">
        <v>2393</v>
      </c>
      <c r="E1864" t="s">
        <v>27</v>
      </c>
      <c r="F1864" s="10" t="s">
        <v>918</v>
      </c>
      <c r="G1864" t="s">
        <v>995</v>
      </c>
      <c r="H1864" t="s">
        <v>479</v>
      </c>
      <c r="I1864" t="s">
        <v>1013</v>
      </c>
      <c r="K1864" s="2" t="s">
        <v>6</v>
      </c>
      <c r="M1864" s="2"/>
    </row>
    <row r="1865" spans="1:13">
      <c r="A1865" t="s">
        <v>28</v>
      </c>
      <c r="B1865">
        <f ca="1">IF(OR(changes[[#This Row],[Type]]="Checklist",changes[[#This Row],[Type]]="checklist-flat"),1+IF(changes[[#This Row],[Type of change]] = "Edit",COUNTIFS($I$4:changes[[#This Row],[Name]],changes[[#This Row],[Name]], $E$4:changes[[#This Row],[Type of change]], "Edit")),B1864)</f>
        <v>1</v>
      </c>
      <c r="C1865" s="16">
        <v>44785</v>
      </c>
      <c r="D1865" s="1" t="s">
        <v>2393</v>
      </c>
      <c r="E1865" t="s">
        <v>27</v>
      </c>
      <c r="F1865" s="10" t="s">
        <v>918</v>
      </c>
      <c r="G1865" t="s">
        <v>995</v>
      </c>
      <c r="H1865" t="s">
        <v>55</v>
      </c>
      <c r="I1865" t="s">
        <v>921</v>
      </c>
      <c r="K1865" s="2" t="s">
        <v>6</v>
      </c>
      <c r="M1865" s="2"/>
    </row>
    <row r="1866" spans="1:13">
      <c r="A1866" t="s">
        <v>28</v>
      </c>
      <c r="B1866">
        <f ca="1">IF(OR(changes[[#This Row],[Type]]="Checklist",changes[[#This Row],[Type]]="checklist-flat"),1+IF(changes[[#This Row],[Type of change]] = "Edit",COUNTIFS($I$4:changes[[#This Row],[Name]],changes[[#This Row],[Name]], $E$4:changes[[#This Row],[Type of change]], "Edit")),B1865)</f>
        <v>1</v>
      </c>
      <c r="C1866" s="16">
        <v>44785</v>
      </c>
      <c r="D1866" s="1" t="s">
        <v>2393</v>
      </c>
      <c r="E1866" t="s">
        <v>27</v>
      </c>
      <c r="F1866" s="10" t="s">
        <v>918</v>
      </c>
      <c r="G1866" t="s">
        <v>995</v>
      </c>
      <c r="H1866" t="s">
        <v>214</v>
      </c>
      <c r="I1866" t="s">
        <v>1014</v>
      </c>
      <c r="K1866" s="2" t="s">
        <v>6</v>
      </c>
      <c r="M1866" s="2"/>
    </row>
    <row r="1867" spans="1:13">
      <c r="A1867" t="s">
        <v>28</v>
      </c>
      <c r="B1867">
        <f ca="1">IF(OR(changes[[#This Row],[Type]]="Checklist",changes[[#This Row],[Type]]="checklist-flat"),1+IF(changes[[#This Row],[Type of change]] = "Edit",COUNTIFS($I$4:changes[[#This Row],[Name]],changes[[#This Row],[Name]], $E$4:changes[[#This Row],[Type of change]], "Edit")),B1866)</f>
        <v>1</v>
      </c>
      <c r="C1867" s="16">
        <v>44785</v>
      </c>
      <c r="D1867" s="1" t="s">
        <v>2393</v>
      </c>
      <c r="E1867" t="s">
        <v>27</v>
      </c>
      <c r="F1867" s="10" t="s">
        <v>918</v>
      </c>
      <c r="G1867" t="s">
        <v>995</v>
      </c>
      <c r="H1867" t="s">
        <v>437</v>
      </c>
      <c r="I1867" t="s">
        <v>1015</v>
      </c>
      <c r="J1867" t="s">
        <v>1016</v>
      </c>
      <c r="K1867" s="2" t="s">
        <v>6</v>
      </c>
      <c r="M1867" s="2"/>
    </row>
    <row r="1868" spans="1:13">
      <c r="A1868" t="s">
        <v>28</v>
      </c>
      <c r="B1868">
        <f ca="1">IF(OR(changes[[#This Row],[Type]]="Checklist",changes[[#This Row],[Type]]="checklist-flat"),1+IF(changes[[#This Row],[Type of change]] = "Edit",COUNTIFS($I$4:changes[[#This Row],[Name]],changes[[#This Row],[Name]], $E$4:changes[[#This Row],[Type of change]], "Edit")),B1867)</f>
        <v>1</v>
      </c>
      <c r="C1868" s="16">
        <v>44785</v>
      </c>
      <c r="D1868" s="1" t="s">
        <v>2393</v>
      </c>
      <c r="E1868" t="s">
        <v>27</v>
      </c>
      <c r="F1868" s="10" t="s">
        <v>918</v>
      </c>
      <c r="G1868" t="s">
        <v>995</v>
      </c>
      <c r="H1868" t="s">
        <v>214</v>
      </c>
      <c r="I1868" t="s">
        <v>1017</v>
      </c>
      <c r="K1868" s="2" t="s">
        <v>6</v>
      </c>
      <c r="M1868" s="2"/>
    </row>
    <row r="1869" spans="1:13">
      <c r="A1869" t="s">
        <v>28</v>
      </c>
      <c r="B1869">
        <f ca="1">IF(OR(changes[[#This Row],[Type]]="Checklist",changes[[#This Row],[Type]]="checklist-flat"),1+IF(changes[[#This Row],[Type of change]] = "Edit",COUNTIFS($I$4:changes[[#This Row],[Name]],changes[[#This Row],[Name]], $E$4:changes[[#This Row],[Type of change]], "Edit")),B1868)</f>
        <v>1</v>
      </c>
      <c r="C1869" s="16">
        <v>44785</v>
      </c>
      <c r="D1869" s="1" t="s">
        <v>2393</v>
      </c>
      <c r="E1869" t="s">
        <v>27</v>
      </c>
      <c r="F1869" s="10" t="s">
        <v>918</v>
      </c>
      <c r="G1869" t="s">
        <v>995</v>
      </c>
      <c r="H1869" t="s">
        <v>214</v>
      </c>
      <c r="I1869" t="s">
        <v>1018</v>
      </c>
      <c r="K1869" s="2" t="s">
        <v>6</v>
      </c>
      <c r="M1869" s="2"/>
    </row>
    <row r="1870" spans="1:13">
      <c r="A1870" t="s">
        <v>28</v>
      </c>
      <c r="B1870">
        <f ca="1">IF(OR(changes[[#This Row],[Type]]="Checklist",changes[[#This Row],[Type]]="checklist-flat"),1+IF(changes[[#This Row],[Type of change]] = "Edit",COUNTIFS($I$4:changes[[#This Row],[Name]],changes[[#This Row],[Name]], $E$4:changes[[#This Row],[Type of change]], "Edit")),B1869)</f>
        <v>1</v>
      </c>
      <c r="C1870" s="16">
        <v>44785</v>
      </c>
      <c r="D1870" s="1" t="s">
        <v>2393</v>
      </c>
      <c r="E1870" t="s">
        <v>27</v>
      </c>
      <c r="F1870" s="10" t="s">
        <v>918</v>
      </c>
      <c r="G1870" t="s">
        <v>995</v>
      </c>
      <c r="H1870" t="s">
        <v>55</v>
      </c>
      <c r="I1870" t="s">
        <v>1019</v>
      </c>
      <c r="K1870" s="2" t="s">
        <v>6</v>
      </c>
      <c r="M1870" s="2"/>
    </row>
    <row r="1871" spans="1:13">
      <c r="A1871" t="s">
        <v>28</v>
      </c>
      <c r="B1871">
        <f ca="1">IF(OR(changes[[#This Row],[Type]]="Checklist",changes[[#This Row],[Type]]="checklist-flat"),1+IF(changes[[#This Row],[Type of change]] = "Edit",COUNTIFS($I$4:changes[[#This Row],[Name]],changes[[#This Row],[Name]], $E$4:changes[[#This Row],[Type of change]], "Edit")),B1870)</f>
        <v>1</v>
      </c>
      <c r="C1871" s="16">
        <v>44785</v>
      </c>
      <c r="D1871" s="1" t="s">
        <v>2393</v>
      </c>
      <c r="E1871" t="s">
        <v>27</v>
      </c>
      <c r="F1871" s="10" t="s">
        <v>918</v>
      </c>
      <c r="G1871" t="s">
        <v>995</v>
      </c>
      <c r="H1871" t="s">
        <v>55</v>
      </c>
      <c r="I1871" t="s">
        <v>1020</v>
      </c>
      <c r="K1871" s="2" t="s">
        <v>6</v>
      </c>
      <c r="M1871" s="2"/>
    </row>
    <row r="1872" spans="1:13">
      <c r="A1872" t="s">
        <v>28</v>
      </c>
      <c r="B1872">
        <f ca="1">IF(OR(changes[[#This Row],[Type]]="Checklist",changes[[#This Row],[Type]]="checklist-flat"),1+IF(changes[[#This Row],[Type of change]] = "Edit",COUNTIFS($I$4:changes[[#This Row],[Name]],changes[[#This Row],[Name]], $E$4:changes[[#This Row],[Type of change]], "Edit")),B1871)</f>
        <v>1</v>
      </c>
      <c r="C1872" s="16">
        <v>44785</v>
      </c>
      <c r="D1872" s="1" t="s">
        <v>2393</v>
      </c>
      <c r="E1872" t="s">
        <v>27</v>
      </c>
      <c r="F1872" s="10" t="s">
        <v>918</v>
      </c>
      <c r="G1872" t="s">
        <v>995</v>
      </c>
      <c r="H1872" t="s">
        <v>420</v>
      </c>
      <c r="I1872" t="s">
        <v>1021</v>
      </c>
      <c r="K1872" s="2" t="s">
        <v>6</v>
      </c>
      <c r="M1872" s="2"/>
    </row>
    <row r="1873" spans="1:13">
      <c r="A1873" t="s">
        <v>28</v>
      </c>
      <c r="B1873">
        <f ca="1">IF(OR(changes[[#This Row],[Type]]="Checklist",changes[[#This Row],[Type]]="checklist-flat"),1+IF(changes[[#This Row],[Type of change]] = "Edit",COUNTIFS($I$4:changes[[#This Row],[Name]],changes[[#This Row],[Name]], $E$4:changes[[#This Row],[Type of change]], "Edit")),B1872)</f>
        <v>1</v>
      </c>
      <c r="C1873" s="16">
        <v>44785</v>
      </c>
      <c r="D1873" s="1" t="s">
        <v>2393</v>
      </c>
      <c r="E1873" t="s">
        <v>27</v>
      </c>
      <c r="F1873" s="10" t="s">
        <v>918</v>
      </c>
      <c r="G1873" t="s">
        <v>995</v>
      </c>
      <c r="H1873" t="s">
        <v>420</v>
      </c>
      <c r="I1873" t="s">
        <v>1022</v>
      </c>
      <c r="K1873" s="2" t="s">
        <v>6</v>
      </c>
      <c r="M1873" s="2"/>
    </row>
    <row r="1874" spans="1:13">
      <c r="A1874" t="s">
        <v>28</v>
      </c>
      <c r="B1874">
        <f ca="1">IF(OR(changes[[#This Row],[Type]]="Checklist",changes[[#This Row],[Type]]="checklist-flat"),1+IF(changes[[#This Row],[Type of change]] = "Edit",COUNTIFS($I$4:changes[[#This Row],[Name]],changes[[#This Row],[Name]], $E$4:changes[[#This Row],[Type of change]], "Edit")),B1873)</f>
        <v>1</v>
      </c>
      <c r="C1874" s="16">
        <v>44785</v>
      </c>
      <c r="D1874" s="1" t="s">
        <v>2393</v>
      </c>
      <c r="E1874" t="s">
        <v>27</v>
      </c>
      <c r="F1874" s="10" t="s">
        <v>918</v>
      </c>
      <c r="G1874" t="s">
        <v>995</v>
      </c>
      <c r="H1874" t="s">
        <v>214</v>
      </c>
      <c r="I1874" t="s">
        <v>1023</v>
      </c>
      <c r="K1874" s="2" t="s">
        <v>6</v>
      </c>
      <c r="M1874" s="2"/>
    </row>
    <row r="1875" spans="1:13">
      <c r="A1875" t="s">
        <v>28</v>
      </c>
      <c r="B1875">
        <f ca="1">IF(OR(changes[[#This Row],[Type]]="Checklist",changes[[#This Row],[Type]]="checklist-flat"),1+IF(changes[[#This Row],[Type of change]] = "Edit",COUNTIFS($I$4:changes[[#This Row],[Name]],changes[[#This Row],[Name]], $E$4:changes[[#This Row],[Type of change]], "Edit")),B1874)</f>
        <v>1</v>
      </c>
      <c r="C1875" s="16">
        <v>44785</v>
      </c>
      <c r="D1875" s="1" t="s">
        <v>2393</v>
      </c>
      <c r="E1875" t="s">
        <v>27</v>
      </c>
      <c r="F1875" s="10" t="s">
        <v>918</v>
      </c>
      <c r="G1875" t="s">
        <v>995</v>
      </c>
      <c r="H1875" t="s">
        <v>214</v>
      </c>
      <c r="I1875" t="s">
        <v>1024</v>
      </c>
      <c r="K1875" s="2" t="s">
        <v>6</v>
      </c>
      <c r="M1875" s="2"/>
    </row>
    <row r="1876" spans="1:13">
      <c r="A1876" t="s">
        <v>28</v>
      </c>
      <c r="B1876">
        <f ca="1">IF(OR(changes[[#This Row],[Type]]="Checklist",changes[[#This Row],[Type]]="checklist-flat"),1+IF(changes[[#This Row],[Type of change]] = "Edit",COUNTIFS($I$4:changes[[#This Row],[Name]],changes[[#This Row],[Name]], $E$4:changes[[#This Row],[Type of change]], "Edit")),B1875)</f>
        <v>1</v>
      </c>
      <c r="C1876" s="16">
        <v>44785</v>
      </c>
      <c r="D1876" s="1" t="s">
        <v>2393</v>
      </c>
      <c r="E1876" t="s">
        <v>27</v>
      </c>
      <c r="F1876" s="10" t="s">
        <v>918</v>
      </c>
      <c r="G1876" t="s">
        <v>995</v>
      </c>
      <c r="H1876" t="s">
        <v>64</v>
      </c>
      <c r="I1876" t="s">
        <v>972</v>
      </c>
      <c r="K1876" s="2" t="s">
        <v>6</v>
      </c>
      <c r="M1876" s="2"/>
    </row>
    <row r="1877" spans="1:13">
      <c r="A1877" t="s">
        <v>28</v>
      </c>
      <c r="B1877">
        <f ca="1">IF(OR(changes[[#This Row],[Type]]="Checklist",changes[[#This Row],[Type]]="checklist-flat"),1+IF(changes[[#This Row],[Type of change]] = "Edit",COUNTIFS($I$4:changes[[#This Row],[Name]],changes[[#This Row],[Name]], $E$4:changes[[#This Row],[Type of change]], "Edit")),B1876)</f>
        <v>1</v>
      </c>
      <c r="C1877" s="16">
        <v>44785</v>
      </c>
      <c r="D1877" s="1" t="s">
        <v>2393</v>
      </c>
      <c r="E1877" t="s">
        <v>27</v>
      </c>
      <c r="F1877" s="10" t="s">
        <v>918</v>
      </c>
      <c r="G1877" t="s">
        <v>1025</v>
      </c>
      <c r="H1877" t="s">
        <v>478</v>
      </c>
      <c r="I1877" t="s">
        <v>1025</v>
      </c>
      <c r="K1877" s="2" t="s">
        <v>6</v>
      </c>
      <c r="M1877" s="2"/>
    </row>
    <row r="1878" spans="1:13">
      <c r="A1878" t="s">
        <v>28</v>
      </c>
      <c r="B1878">
        <f ca="1">IF(OR(changes[[#This Row],[Type]]="Checklist",changes[[#This Row],[Type]]="checklist-flat"),1+IF(changes[[#This Row],[Type of change]] = "Edit",COUNTIFS($I$4:changes[[#This Row],[Name]],changes[[#This Row],[Name]], $E$4:changes[[#This Row],[Type of change]], "Edit")),B1877)</f>
        <v>1</v>
      </c>
      <c r="C1878" s="16">
        <v>44785</v>
      </c>
      <c r="D1878" s="1" t="s">
        <v>2393</v>
      </c>
      <c r="E1878" t="s">
        <v>27</v>
      </c>
      <c r="F1878" s="10" t="s">
        <v>918</v>
      </c>
      <c r="G1878" t="s">
        <v>1025</v>
      </c>
      <c r="H1878" t="s">
        <v>55</v>
      </c>
      <c r="I1878" t="s">
        <v>1026</v>
      </c>
      <c r="K1878" s="2" t="s">
        <v>6</v>
      </c>
      <c r="M1878" s="2"/>
    </row>
    <row r="1879" spans="1:13">
      <c r="A1879" t="s">
        <v>28</v>
      </c>
      <c r="B1879">
        <f ca="1">IF(OR(changes[[#This Row],[Type]]="Checklist",changes[[#This Row],[Type]]="checklist-flat"),1+IF(changes[[#This Row],[Type of change]] = "Edit",COUNTIFS($I$4:changes[[#This Row],[Name]],changes[[#This Row],[Name]], $E$4:changes[[#This Row],[Type of change]], "Edit")),B1878)</f>
        <v>1</v>
      </c>
      <c r="C1879" s="16">
        <v>44785</v>
      </c>
      <c r="D1879" s="1" t="s">
        <v>2393</v>
      </c>
      <c r="E1879" t="s">
        <v>27</v>
      </c>
      <c r="F1879" s="10" t="s">
        <v>918</v>
      </c>
      <c r="G1879" t="s">
        <v>1025</v>
      </c>
      <c r="H1879" t="s">
        <v>214</v>
      </c>
      <c r="I1879" t="s">
        <v>936</v>
      </c>
      <c r="K1879" s="2" t="s">
        <v>6</v>
      </c>
      <c r="M1879" s="2"/>
    </row>
    <row r="1880" spans="1:13">
      <c r="A1880" t="s">
        <v>28</v>
      </c>
      <c r="B1880">
        <f ca="1">IF(OR(changes[[#This Row],[Type]]="Checklist",changes[[#This Row],[Type]]="checklist-flat"),1+IF(changes[[#This Row],[Type of change]] = "Edit",COUNTIFS($I$4:changes[[#This Row],[Name]],changes[[#This Row],[Name]], $E$4:changes[[#This Row],[Type of change]], "Edit")),B1879)</f>
        <v>1</v>
      </c>
      <c r="C1880" s="16">
        <v>44785</v>
      </c>
      <c r="D1880" s="1" t="s">
        <v>2393</v>
      </c>
      <c r="E1880" t="s">
        <v>27</v>
      </c>
      <c r="F1880" s="10" t="s">
        <v>918</v>
      </c>
      <c r="G1880" t="s">
        <v>1025</v>
      </c>
      <c r="H1880" t="s">
        <v>214</v>
      </c>
      <c r="I1880" t="s">
        <v>975</v>
      </c>
      <c r="K1880" s="2" t="s">
        <v>6</v>
      </c>
      <c r="M1880" s="2"/>
    </row>
    <row r="1881" spans="1:13">
      <c r="A1881" t="s">
        <v>28</v>
      </c>
      <c r="B1881">
        <f ca="1">IF(OR(changes[[#This Row],[Type]]="Checklist",changes[[#This Row],[Type]]="checklist-flat"),1+IF(changes[[#This Row],[Type of change]] = "Edit",COUNTIFS($I$4:changes[[#This Row],[Name]],changes[[#This Row],[Name]], $E$4:changes[[#This Row],[Type of change]], "Edit")),B1880)</f>
        <v>1</v>
      </c>
      <c r="C1881" s="16">
        <v>44785</v>
      </c>
      <c r="D1881" s="1" t="s">
        <v>2393</v>
      </c>
      <c r="E1881" t="s">
        <v>27</v>
      </c>
      <c r="F1881" s="10" t="s">
        <v>918</v>
      </c>
      <c r="G1881" t="s">
        <v>1025</v>
      </c>
      <c r="H1881" t="s">
        <v>214</v>
      </c>
      <c r="I1881" t="s">
        <v>938</v>
      </c>
      <c r="K1881" s="2" t="s">
        <v>6</v>
      </c>
      <c r="M1881" s="2"/>
    </row>
    <row r="1882" spans="1:13">
      <c r="A1882" t="s">
        <v>28</v>
      </c>
      <c r="B1882">
        <f ca="1">IF(OR(changes[[#This Row],[Type]]="Checklist",changes[[#This Row],[Type]]="checklist-flat"),1+IF(changes[[#This Row],[Type of change]] = "Edit",COUNTIFS($I$4:changes[[#This Row],[Name]],changes[[#This Row],[Name]], $E$4:changes[[#This Row],[Type of change]], "Edit")),B1881)</f>
        <v>1</v>
      </c>
      <c r="C1882" s="16">
        <v>44785</v>
      </c>
      <c r="D1882" s="1" t="s">
        <v>2393</v>
      </c>
      <c r="E1882" t="s">
        <v>27</v>
      </c>
      <c r="F1882" s="10" t="s">
        <v>918</v>
      </c>
      <c r="G1882" t="s">
        <v>1025</v>
      </c>
      <c r="H1882" t="s">
        <v>64</v>
      </c>
      <c r="I1882" t="s">
        <v>1027</v>
      </c>
      <c r="K1882" s="2" t="s">
        <v>6</v>
      </c>
      <c r="M1882" s="2"/>
    </row>
    <row r="1883" spans="1:13">
      <c r="A1883" t="s">
        <v>28</v>
      </c>
      <c r="B1883">
        <f ca="1">IF(OR(changes[[#This Row],[Type]]="Checklist",changes[[#This Row],[Type]]="checklist-flat"),1+IF(changes[[#This Row],[Type of change]] = "Edit",COUNTIFS($I$4:changes[[#This Row],[Name]],changes[[#This Row],[Name]], $E$4:changes[[#This Row],[Type of change]], "Edit")),B1882)</f>
        <v>1</v>
      </c>
      <c r="C1883" s="16">
        <v>44785</v>
      </c>
      <c r="D1883" s="1" t="s">
        <v>2393</v>
      </c>
      <c r="E1883" t="s">
        <v>27</v>
      </c>
      <c r="F1883" s="10" t="s">
        <v>918</v>
      </c>
      <c r="G1883" t="s">
        <v>1028</v>
      </c>
      <c r="H1883" t="s">
        <v>478</v>
      </c>
      <c r="I1883" t="s">
        <v>1028</v>
      </c>
      <c r="K1883" s="2" t="s">
        <v>6</v>
      </c>
      <c r="M1883" s="2"/>
    </row>
    <row r="1884" spans="1:13">
      <c r="A1884" t="s">
        <v>28</v>
      </c>
      <c r="B1884">
        <f ca="1">IF(OR(changes[[#This Row],[Type]]="Checklist",changes[[#This Row],[Type]]="checklist-flat"),1+IF(changes[[#This Row],[Type of change]] = "Edit",COUNTIFS($I$4:changes[[#This Row],[Name]],changes[[#This Row],[Name]], $E$4:changes[[#This Row],[Type of change]], "Edit")),B1883)</f>
        <v>1</v>
      </c>
      <c r="C1884" s="16">
        <v>44785</v>
      </c>
      <c r="D1884" s="1" t="s">
        <v>2393</v>
      </c>
      <c r="E1884" t="s">
        <v>27</v>
      </c>
      <c r="F1884" s="10" t="s">
        <v>918</v>
      </c>
      <c r="G1884" t="s">
        <v>1028</v>
      </c>
      <c r="H1884" t="s">
        <v>55</v>
      </c>
      <c r="I1884" t="s">
        <v>1029</v>
      </c>
      <c r="K1884" s="2" t="s">
        <v>6</v>
      </c>
      <c r="M1884" s="2"/>
    </row>
    <row r="1885" spans="1:13">
      <c r="A1885" t="s">
        <v>28</v>
      </c>
      <c r="B1885">
        <f ca="1">IF(OR(changes[[#This Row],[Type]]="Checklist",changes[[#This Row],[Type]]="checklist-flat"),1+IF(changes[[#This Row],[Type of change]] = "Edit",COUNTIFS($I$4:changes[[#This Row],[Name]],changes[[#This Row],[Name]], $E$4:changes[[#This Row],[Type of change]], "Edit")),B1884)</f>
        <v>1</v>
      </c>
      <c r="C1885" s="16">
        <v>44785</v>
      </c>
      <c r="D1885" s="1" t="s">
        <v>2393</v>
      </c>
      <c r="E1885" t="s">
        <v>27</v>
      </c>
      <c r="F1885" s="10" t="s">
        <v>918</v>
      </c>
      <c r="G1885" t="s">
        <v>940</v>
      </c>
      <c r="H1885" t="s">
        <v>478</v>
      </c>
      <c r="I1885" t="s">
        <v>940</v>
      </c>
      <c r="K1885" s="2" t="s">
        <v>6</v>
      </c>
      <c r="M1885" s="2"/>
    </row>
    <row r="1886" spans="1:13">
      <c r="A1886" t="s">
        <v>28</v>
      </c>
      <c r="B1886">
        <f ca="1">IF(OR(changes[[#This Row],[Type]]="Checklist",changes[[#This Row],[Type]]="checklist-flat"),1+IF(changes[[#This Row],[Type of change]] = "Edit",COUNTIFS($I$4:changes[[#This Row],[Name]],changes[[#This Row],[Name]], $E$4:changes[[#This Row],[Type of change]], "Edit")),B1885)</f>
        <v>1</v>
      </c>
      <c r="C1886" s="16">
        <v>44785</v>
      </c>
      <c r="D1886" s="1" t="s">
        <v>2393</v>
      </c>
      <c r="E1886" t="s">
        <v>27</v>
      </c>
      <c r="F1886" s="10" t="s">
        <v>918</v>
      </c>
      <c r="G1886" t="s">
        <v>940</v>
      </c>
      <c r="H1886" t="s">
        <v>479</v>
      </c>
      <c r="I1886" t="s">
        <v>941</v>
      </c>
      <c r="K1886" s="2" t="s">
        <v>6</v>
      </c>
      <c r="M1886" s="2"/>
    </row>
    <row r="1887" spans="1:13">
      <c r="A1887" t="s">
        <v>28</v>
      </c>
      <c r="B1887">
        <f ca="1">IF(OR(changes[[#This Row],[Type]]="Checklist",changes[[#This Row],[Type]]="checklist-flat"),1+IF(changes[[#This Row],[Type of change]] = "Edit",COUNTIFS($I$4:changes[[#This Row],[Name]],changes[[#This Row],[Name]], $E$4:changes[[#This Row],[Type of change]], "Edit")),B1886)</f>
        <v>1</v>
      </c>
      <c r="C1887" s="16">
        <v>44785</v>
      </c>
      <c r="D1887" s="1" t="s">
        <v>2393</v>
      </c>
      <c r="E1887" t="s">
        <v>27</v>
      </c>
      <c r="F1887" s="10" t="s">
        <v>918</v>
      </c>
      <c r="G1887" t="s">
        <v>940</v>
      </c>
      <c r="H1887" t="s">
        <v>55</v>
      </c>
      <c r="I1887" t="s">
        <v>942</v>
      </c>
      <c r="K1887" s="2" t="s">
        <v>6</v>
      </c>
      <c r="M1887" s="2"/>
    </row>
    <row r="1888" spans="1:13">
      <c r="A1888" t="s">
        <v>28</v>
      </c>
      <c r="B1888">
        <f ca="1">IF(OR(changes[[#This Row],[Type]]="Checklist",changes[[#This Row],[Type]]="checklist-flat"),1+IF(changes[[#This Row],[Type of change]] = "Edit",COUNTIFS($I$4:changes[[#This Row],[Name]],changes[[#This Row],[Name]], $E$4:changes[[#This Row],[Type of change]], "Edit")),B1887)</f>
        <v>1</v>
      </c>
      <c r="C1888" s="16">
        <v>44785</v>
      </c>
      <c r="D1888" s="1" t="s">
        <v>2393</v>
      </c>
      <c r="E1888" t="s">
        <v>27</v>
      </c>
      <c r="F1888" s="10" t="s">
        <v>918</v>
      </c>
      <c r="G1888" t="s">
        <v>940</v>
      </c>
      <c r="H1888" t="s">
        <v>214</v>
      </c>
      <c r="I1888" t="s">
        <v>922</v>
      </c>
      <c r="K1888" s="2" t="s">
        <v>6</v>
      </c>
      <c r="M1888" s="2"/>
    </row>
    <row r="1889" spans="1:13">
      <c r="A1889" t="s">
        <v>28</v>
      </c>
      <c r="B1889">
        <f ca="1">IF(OR(changes[[#This Row],[Type]]="Checklist",changes[[#This Row],[Type]]="checklist-flat"),1+IF(changes[[#This Row],[Type of change]] = "Edit",COUNTIFS($I$4:changes[[#This Row],[Name]],changes[[#This Row],[Name]], $E$4:changes[[#This Row],[Type of change]], "Edit")),B1888)</f>
        <v>1</v>
      </c>
      <c r="C1889" s="16">
        <v>44785</v>
      </c>
      <c r="D1889" s="1" t="s">
        <v>2393</v>
      </c>
      <c r="E1889" t="s">
        <v>27</v>
      </c>
      <c r="F1889" s="10" t="s">
        <v>918</v>
      </c>
      <c r="G1889" t="s">
        <v>940</v>
      </c>
      <c r="H1889" t="s">
        <v>214</v>
      </c>
      <c r="I1889" t="s">
        <v>923</v>
      </c>
      <c r="K1889" s="2" t="s">
        <v>6</v>
      </c>
      <c r="M1889" s="2"/>
    </row>
    <row r="1890" spans="1:13">
      <c r="A1890" t="s">
        <v>28</v>
      </c>
      <c r="B1890">
        <f ca="1">IF(OR(changes[[#This Row],[Type]]="Checklist",changes[[#This Row],[Type]]="checklist-flat"),1+IF(changes[[#This Row],[Type of change]] = "Edit",COUNTIFS($I$4:changes[[#This Row],[Name]],changes[[#This Row],[Name]], $E$4:changes[[#This Row],[Type of change]], "Edit")),B1889)</f>
        <v>1</v>
      </c>
      <c r="C1890" s="16">
        <v>44785</v>
      </c>
      <c r="D1890" s="1" t="s">
        <v>2393</v>
      </c>
      <c r="E1890" t="s">
        <v>27</v>
      </c>
      <c r="F1890" s="10" t="s">
        <v>918</v>
      </c>
      <c r="G1890" t="s">
        <v>940</v>
      </c>
      <c r="H1890" t="s">
        <v>214</v>
      </c>
      <c r="I1890" t="s">
        <v>924</v>
      </c>
      <c r="K1890" s="2" t="s">
        <v>6</v>
      </c>
      <c r="M1890" s="2"/>
    </row>
    <row r="1891" spans="1:13">
      <c r="A1891" t="s">
        <v>28</v>
      </c>
      <c r="B1891">
        <f ca="1">IF(OR(changes[[#This Row],[Type]]="Checklist",changes[[#This Row],[Type]]="checklist-flat"),1+IF(changes[[#This Row],[Type of change]] = "Edit",COUNTIFS($I$4:changes[[#This Row],[Name]],changes[[#This Row],[Name]], $E$4:changes[[#This Row],[Type of change]], "Edit")),B1890)</f>
        <v>1</v>
      </c>
      <c r="C1891" s="16">
        <v>44785</v>
      </c>
      <c r="D1891" s="1" t="s">
        <v>2393</v>
      </c>
      <c r="E1891" t="s">
        <v>27</v>
      </c>
      <c r="F1891" s="10" t="s">
        <v>918</v>
      </c>
      <c r="G1891" t="s">
        <v>940</v>
      </c>
      <c r="H1891" t="s">
        <v>214</v>
      </c>
      <c r="I1891" t="s">
        <v>925</v>
      </c>
      <c r="K1891" s="2" t="s">
        <v>6</v>
      </c>
      <c r="M1891" s="2"/>
    </row>
    <row r="1892" spans="1:13">
      <c r="A1892" t="s">
        <v>28</v>
      </c>
      <c r="B1892">
        <f ca="1">IF(OR(changes[[#This Row],[Type]]="Checklist",changes[[#This Row],[Type]]="checklist-flat"),1+IF(changes[[#This Row],[Type of change]] = "Edit",COUNTIFS($I$4:changes[[#This Row],[Name]],changes[[#This Row],[Name]], $E$4:changes[[#This Row],[Type of change]], "Edit")),B1891)</f>
        <v>1</v>
      </c>
      <c r="C1892" s="16">
        <v>44785</v>
      </c>
      <c r="D1892" s="1" t="s">
        <v>2393</v>
      </c>
      <c r="E1892" t="s">
        <v>27</v>
      </c>
      <c r="F1892" s="10" t="s">
        <v>918</v>
      </c>
      <c r="G1892" t="s">
        <v>940</v>
      </c>
      <c r="H1892" t="s">
        <v>214</v>
      </c>
      <c r="I1892" t="s">
        <v>943</v>
      </c>
      <c r="K1892" s="2" t="s">
        <v>6</v>
      </c>
      <c r="M1892" s="2"/>
    </row>
    <row r="1893" spans="1:13">
      <c r="A1893" t="s">
        <v>28</v>
      </c>
      <c r="B1893">
        <f ca="1">IF(OR(changes[[#This Row],[Type]]="Checklist",changes[[#This Row],[Type]]="checklist-flat"),1+IF(changes[[#This Row],[Type of change]] = "Edit",COUNTIFS($I$4:changes[[#This Row],[Name]],changes[[#This Row],[Name]], $E$4:changes[[#This Row],[Type of change]], "Edit")),B1892)</f>
        <v>1</v>
      </c>
      <c r="C1893" s="16">
        <v>44785</v>
      </c>
      <c r="D1893" s="1" t="s">
        <v>2393</v>
      </c>
      <c r="E1893" t="s">
        <v>27</v>
      </c>
      <c r="F1893" s="10" t="s">
        <v>918</v>
      </c>
      <c r="G1893" t="s">
        <v>940</v>
      </c>
      <c r="H1893" t="s">
        <v>214</v>
      </c>
      <c r="I1893" t="s">
        <v>927</v>
      </c>
      <c r="K1893" s="2" t="s">
        <v>6</v>
      </c>
      <c r="M1893" s="2"/>
    </row>
    <row r="1894" spans="1:13">
      <c r="A1894" t="s">
        <v>28</v>
      </c>
      <c r="B1894">
        <f ca="1">IF(OR(changes[[#This Row],[Type]]="Checklist",changes[[#This Row],[Type]]="checklist-flat"),1+IF(changes[[#This Row],[Type of change]] = "Edit",COUNTIFS($I$4:changes[[#This Row],[Name]],changes[[#This Row],[Name]], $E$4:changes[[#This Row],[Type of change]], "Edit")),B1893)</f>
        <v>1</v>
      </c>
      <c r="C1894" s="16">
        <v>44785</v>
      </c>
      <c r="D1894" s="1" t="s">
        <v>2393</v>
      </c>
      <c r="E1894" t="s">
        <v>27</v>
      </c>
      <c r="F1894" s="10" t="s">
        <v>918</v>
      </c>
      <c r="G1894" t="s">
        <v>940</v>
      </c>
      <c r="H1894" t="s">
        <v>437</v>
      </c>
      <c r="I1894" t="s">
        <v>571</v>
      </c>
      <c r="J1894" t="s">
        <v>944</v>
      </c>
      <c r="K1894" s="2" t="s">
        <v>6</v>
      </c>
      <c r="M1894" s="2"/>
    </row>
    <row r="1895" spans="1:13">
      <c r="A1895" t="s">
        <v>28</v>
      </c>
      <c r="B1895">
        <f ca="1">IF(OR(changes[[#This Row],[Type]]="Checklist",changes[[#This Row],[Type]]="checklist-flat"),1+IF(changes[[#This Row],[Type of change]] = "Edit",COUNTIFS($I$4:changes[[#This Row],[Name]],changes[[#This Row],[Name]], $E$4:changes[[#This Row],[Type of change]], "Edit")),B1894)</f>
        <v>1</v>
      </c>
      <c r="C1895" s="16">
        <v>44785</v>
      </c>
      <c r="D1895" s="1" t="s">
        <v>2393</v>
      </c>
      <c r="E1895" t="s">
        <v>27</v>
      </c>
      <c r="F1895" s="10" t="s">
        <v>918</v>
      </c>
      <c r="G1895" t="s">
        <v>940</v>
      </c>
      <c r="H1895" t="s">
        <v>55</v>
      </c>
      <c r="I1895" t="s">
        <v>945</v>
      </c>
      <c r="K1895" s="2" t="s">
        <v>6</v>
      </c>
      <c r="M1895" s="2"/>
    </row>
    <row r="1896" spans="1:13">
      <c r="A1896" t="s">
        <v>28</v>
      </c>
      <c r="B1896">
        <f ca="1">IF(OR(changes[[#This Row],[Type]]="Checklist",changes[[#This Row],[Type]]="checklist-flat"),1+IF(changes[[#This Row],[Type of change]] = "Edit",COUNTIFS($I$4:changes[[#This Row],[Name]],changes[[#This Row],[Name]], $E$4:changes[[#This Row],[Type of change]], "Edit")),B1895)</f>
        <v>1</v>
      </c>
      <c r="C1896" s="16">
        <v>44785</v>
      </c>
      <c r="D1896" s="1" t="s">
        <v>2393</v>
      </c>
      <c r="E1896" t="s">
        <v>27</v>
      </c>
      <c r="F1896" s="10" t="s">
        <v>918</v>
      </c>
      <c r="G1896" t="s">
        <v>940</v>
      </c>
      <c r="H1896" t="s">
        <v>55</v>
      </c>
      <c r="I1896" t="s">
        <v>946</v>
      </c>
      <c r="K1896" s="2" t="s">
        <v>6</v>
      </c>
      <c r="M1896" s="2"/>
    </row>
    <row r="1897" spans="1:13">
      <c r="A1897" t="s">
        <v>28</v>
      </c>
      <c r="B1897">
        <f ca="1">IF(OR(changes[[#This Row],[Type]]="Checklist",changes[[#This Row],[Type]]="checklist-flat"),1+IF(changes[[#This Row],[Type of change]] = "Edit",COUNTIFS($I$4:changes[[#This Row],[Name]],changes[[#This Row],[Name]], $E$4:changes[[#This Row],[Type of change]], "Edit")),B1896)</f>
        <v>1</v>
      </c>
      <c r="C1897" s="16">
        <v>44785</v>
      </c>
      <c r="D1897" s="1" t="s">
        <v>2393</v>
      </c>
      <c r="E1897" t="s">
        <v>27</v>
      </c>
      <c r="F1897" s="10" t="s">
        <v>918</v>
      </c>
      <c r="G1897" t="s">
        <v>940</v>
      </c>
      <c r="H1897" t="s">
        <v>420</v>
      </c>
      <c r="I1897" t="s">
        <v>947</v>
      </c>
      <c r="K1897" s="2" t="s">
        <v>6</v>
      </c>
      <c r="M1897" s="2"/>
    </row>
    <row r="1898" spans="1:13">
      <c r="A1898" t="s">
        <v>28</v>
      </c>
      <c r="B1898">
        <f ca="1">IF(OR(changes[[#This Row],[Type]]="Checklist",changes[[#This Row],[Type]]="checklist-flat"),1+IF(changes[[#This Row],[Type of change]] = "Edit",COUNTIFS($I$4:changes[[#This Row],[Name]],changes[[#This Row],[Name]], $E$4:changes[[#This Row],[Type of change]], "Edit")),B1897)</f>
        <v>1</v>
      </c>
      <c r="C1898" s="16">
        <v>44785</v>
      </c>
      <c r="D1898" s="1" t="s">
        <v>2393</v>
      </c>
      <c r="E1898" t="s">
        <v>27</v>
      </c>
      <c r="F1898" s="10" t="s">
        <v>918</v>
      </c>
      <c r="G1898" t="s">
        <v>940</v>
      </c>
      <c r="H1898" t="s">
        <v>420</v>
      </c>
      <c r="I1898" t="s">
        <v>948</v>
      </c>
      <c r="K1898" s="2" t="s">
        <v>6</v>
      </c>
      <c r="M1898" s="2"/>
    </row>
    <row r="1899" spans="1:13">
      <c r="A1899" t="s">
        <v>28</v>
      </c>
      <c r="B1899">
        <f ca="1">IF(OR(changes[[#This Row],[Type]]="Checklist",changes[[#This Row],[Type]]="checklist-flat"),1+IF(changes[[#This Row],[Type of change]] = "Edit",COUNTIFS($I$4:changes[[#This Row],[Name]],changes[[#This Row],[Name]], $E$4:changes[[#This Row],[Type of change]], "Edit")),B1898)</f>
        <v>1</v>
      </c>
      <c r="C1899" s="16">
        <v>44785</v>
      </c>
      <c r="D1899" s="1" t="s">
        <v>2393</v>
      </c>
      <c r="E1899" t="s">
        <v>27</v>
      </c>
      <c r="F1899" s="10" t="s">
        <v>918</v>
      </c>
      <c r="G1899" t="s">
        <v>940</v>
      </c>
      <c r="H1899" t="s">
        <v>479</v>
      </c>
      <c r="I1899" t="s">
        <v>931</v>
      </c>
      <c r="K1899" s="2" t="s">
        <v>6</v>
      </c>
      <c r="M1899" s="2"/>
    </row>
    <row r="1900" spans="1:13">
      <c r="A1900" t="s">
        <v>28</v>
      </c>
      <c r="B1900">
        <f ca="1">IF(OR(changes[[#This Row],[Type]]="Checklist",changes[[#This Row],[Type]]="checklist-flat"),1+IF(changes[[#This Row],[Type of change]] = "Edit",COUNTIFS($I$4:changes[[#This Row],[Name]],changes[[#This Row],[Name]], $E$4:changes[[#This Row],[Type of change]], "Edit")),B1899)</f>
        <v>1</v>
      </c>
      <c r="C1900" s="16">
        <v>44785</v>
      </c>
      <c r="D1900" s="1" t="s">
        <v>2393</v>
      </c>
      <c r="E1900" t="s">
        <v>27</v>
      </c>
      <c r="F1900" s="10" t="s">
        <v>918</v>
      </c>
      <c r="G1900" t="s">
        <v>940</v>
      </c>
      <c r="H1900" t="s">
        <v>55</v>
      </c>
      <c r="I1900" t="s">
        <v>932</v>
      </c>
      <c r="K1900" s="2" t="s">
        <v>6</v>
      </c>
      <c r="M1900" s="2"/>
    </row>
    <row r="1901" spans="1:13">
      <c r="A1901" t="s">
        <v>28</v>
      </c>
      <c r="B1901">
        <f ca="1">IF(OR(changes[[#This Row],[Type]]="Checklist",changes[[#This Row],[Type]]="checklist-flat"),1+IF(changes[[#This Row],[Type of change]] = "Edit",COUNTIFS($I$4:changes[[#This Row],[Name]],changes[[#This Row],[Name]], $E$4:changes[[#This Row],[Type of change]], "Edit")),B1900)</f>
        <v>1</v>
      </c>
      <c r="C1901" s="16">
        <v>44785</v>
      </c>
      <c r="D1901" s="1" t="s">
        <v>2393</v>
      </c>
      <c r="E1901" t="s">
        <v>27</v>
      </c>
      <c r="F1901" s="10" t="s">
        <v>918</v>
      </c>
      <c r="G1901" t="s">
        <v>940</v>
      </c>
      <c r="H1901" t="s">
        <v>64</v>
      </c>
      <c r="I1901" t="s">
        <v>933</v>
      </c>
      <c r="K1901" s="2" t="s">
        <v>6</v>
      </c>
      <c r="M1901" s="2"/>
    </row>
    <row r="1902" spans="1:13">
      <c r="A1902" t="s">
        <v>28</v>
      </c>
      <c r="B1902">
        <f ca="1">IF(OR(changes[[#This Row],[Type]]="Checklist",changes[[#This Row],[Type]]="checklist-flat"),1+IF(changes[[#This Row],[Type of change]] = "Edit",COUNTIFS($I$4:changes[[#This Row],[Name]],changes[[#This Row],[Name]], $E$4:changes[[#This Row],[Type of change]], "Edit")),B1901)</f>
        <v>1</v>
      </c>
      <c r="C1902" s="16">
        <v>44785</v>
      </c>
      <c r="D1902" s="1" t="s">
        <v>2393</v>
      </c>
      <c r="E1902" t="s">
        <v>27</v>
      </c>
      <c r="F1902" s="10" t="s">
        <v>918</v>
      </c>
      <c r="G1902" t="s">
        <v>934</v>
      </c>
      <c r="H1902" t="s">
        <v>478</v>
      </c>
      <c r="I1902" t="s">
        <v>934</v>
      </c>
      <c r="K1902" s="2" t="s">
        <v>6</v>
      </c>
      <c r="M1902" s="2"/>
    </row>
    <row r="1903" spans="1:13">
      <c r="A1903" t="s">
        <v>28</v>
      </c>
      <c r="B1903">
        <f ca="1">IF(OR(changes[[#This Row],[Type]]="Checklist",changes[[#This Row],[Type]]="checklist-flat"),1+IF(changes[[#This Row],[Type of change]] = "Edit",COUNTIFS($I$4:changes[[#This Row],[Name]],changes[[#This Row],[Name]], $E$4:changes[[#This Row],[Type of change]], "Edit")),B1902)</f>
        <v>1</v>
      </c>
      <c r="C1903" s="16">
        <v>44785</v>
      </c>
      <c r="D1903" s="1" t="s">
        <v>2393</v>
      </c>
      <c r="E1903" t="s">
        <v>27</v>
      </c>
      <c r="F1903" s="10" t="s">
        <v>918</v>
      </c>
      <c r="G1903" t="s">
        <v>934</v>
      </c>
      <c r="H1903" t="s">
        <v>55</v>
      </c>
      <c r="I1903" t="s">
        <v>935</v>
      </c>
      <c r="K1903" s="2" t="s">
        <v>6</v>
      </c>
      <c r="M1903" s="2"/>
    </row>
    <row r="1904" spans="1:13">
      <c r="A1904" t="s">
        <v>28</v>
      </c>
      <c r="B1904">
        <f ca="1">IF(OR(changes[[#This Row],[Type]]="Checklist",changes[[#This Row],[Type]]="checklist-flat"),1+IF(changes[[#This Row],[Type of change]] = "Edit",COUNTIFS($I$4:changes[[#This Row],[Name]],changes[[#This Row],[Name]], $E$4:changes[[#This Row],[Type of change]], "Edit")),B1903)</f>
        <v>1</v>
      </c>
      <c r="C1904" s="16">
        <v>44785</v>
      </c>
      <c r="D1904" s="1" t="s">
        <v>2393</v>
      </c>
      <c r="E1904" t="s">
        <v>27</v>
      </c>
      <c r="F1904" s="10" t="s">
        <v>918</v>
      </c>
      <c r="G1904" t="s">
        <v>934</v>
      </c>
      <c r="H1904" t="s">
        <v>214</v>
      </c>
      <c r="I1904" t="s">
        <v>936</v>
      </c>
      <c r="K1904" s="2" t="s">
        <v>6</v>
      </c>
      <c r="M1904" s="2"/>
    </row>
    <row r="1905" spans="1:13">
      <c r="A1905" t="s">
        <v>28</v>
      </c>
      <c r="B1905">
        <f ca="1">IF(OR(changes[[#This Row],[Type]]="Checklist",changes[[#This Row],[Type]]="checklist-flat"),1+IF(changes[[#This Row],[Type of change]] = "Edit",COUNTIFS($I$4:changes[[#This Row],[Name]],changes[[#This Row],[Name]], $E$4:changes[[#This Row],[Type of change]], "Edit")),B1904)</f>
        <v>1</v>
      </c>
      <c r="C1905" s="16">
        <v>44785</v>
      </c>
      <c r="D1905" s="1" t="s">
        <v>2393</v>
      </c>
      <c r="E1905" t="s">
        <v>27</v>
      </c>
      <c r="F1905" s="10" t="s">
        <v>918</v>
      </c>
      <c r="G1905" t="s">
        <v>934</v>
      </c>
      <c r="H1905" t="s">
        <v>214</v>
      </c>
      <c r="I1905" t="s">
        <v>937</v>
      </c>
      <c r="K1905" s="2" t="s">
        <v>6</v>
      </c>
      <c r="M1905" s="2"/>
    </row>
    <row r="1906" spans="1:13">
      <c r="A1906" t="s">
        <v>28</v>
      </c>
      <c r="B1906">
        <f ca="1">IF(OR(changes[[#This Row],[Type]]="Checklist",changes[[#This Row],[Type]]="checklist-flat"),1+IF(changes[[#This Row],[Type of change]] = "Edit",COUNTIFS($I$4:changes[[#This Row],[Name]],changes[[#This Row],[Name]], $E$4:changes[[#This Row],[Type of change]], "Edit")),B1905)</f>
        <v>1</v>
      </c>
      <c r="C1906" s="16">
        <v>44785</v>
      </c>
      <c r="D1906" s="1" t="s">
        <v>2393</v>
      </c>
      <c r="E1906" t="s">
        <v>27</v>
      </c>
      <c r="F1906" s="10" t="s">
        <v>918</v>
      </c>
      <c r="G1906" t="s">
        <v>934</v>
      </c>
      <c r="H1906" t="s">
        <v>214</v>
      </c>
      <c r="I1906" t="s">
        <v>938</v>
      </c>
      <c r="K1906" s="2" t="s">
        <v>6</v>
      </c>
      <c r="M1906" s="2"/>
    </row>
    <row r="1907" spans="1:13">
      <c r="A1907" t="s">
        <v>28</v>
      </c>
      <c r="B1907">
        <f ca="1">IF(OR(changes[[#This Row],[Type]]="Checklist",changes[[#This Row],[Type]]="checklist-flat"),1+IF(changes[[#This Row],[Type of change]] = "Edit",COUNTIFS($I$4:changes[[#This Row],[Name]],changes[[#This Row],[Name]], $E$4:changes[[#This Row],[Type of change]], "Edit")),B1906)</f>
        <v>1</v>
      </c>
      <c r="C1907" s="16">
        <v>44785</v>
      </c>
      <c r="D1907" s="1" t="s">
        <v>2393</v>
      </c>
      <c r="E1907" t="s">
        <v>27</v>
      </c>
      <c r="F1907" s="10" t="s">
        <v>918</v>
      </c>
      <c r="G1907" t="s">
        <v>934</v>
      </c>
      <c r="H1907" t="s">
        <v>64</v>
      </c>
      <c r="I1907" t="s">
        <v>939</v>
      </c>
      <c r="K1907" s="2" t="s">
        <v>6</v>
      </c>
      <c r="M1907" s="2"/>
    </row>
    <row r="1908" spans="1:13">
      <c r="A1908" t="s">
        <v>28</v>
      </c>
      <c r="B1908">
        <f ca="1">IF(OR(changes[[#This Row],[Type]]="Checklist",changes[[#This Row],[Type]]="checklist-flat"),1+IF(changes[[#This Row],[Type of change]] = "Edit",COUNTIFS($I$4:changes[[#This Row],[Name]],changes[[#This Row],[Name]], $E$4:changes[[#This Row],[Type of change]], "Edit")),B1907)</f>
        <v>1</v>
      </c>
      <c r="C1908" s="16">
        <v>44785</v>
      </c>
      <c r="D1908" s="1" t="s">
        <v>2393</v>
      </c>
      <c r="E1908" t="s">
        <v>27</v>
      </c>
      <c r="F1908" s="10" t="s">
        <v>918</v>
      </c>
      <c r="G1908" t="s">
        <v>919</v>
      </c>
      <c r="H1908" t="s">
        <v>478</v>
      </c>
      <c r="I1908" t="s">
        <v>919</v>
      </c>
      <c r="K1908" s="2" t="s">
        <v>6</v>
      </c>
      <c r="M1908" s="2"/>
    </row>
    <row r="1909" spans="1:13">
      <c r="A1909" t="s">
        <v>28</v>
      </c>
      <c r="B1909">
        <f ca="1">IF(OR(changes[[#This Row],[Type]]="Checklist",changes[[#This Row],[Type]]="checklist-flat"),1+IF(changes[[#This Row],[Type of change]] = "Edit",COUNTIFS($I$4:changes[[#This Row],[Name]],changes[[#This Row],[Name]], $E$4:changes[[#This Row],[Type of change]], "Edit")),B1908)</f>
        <v>1</v>
      </c>
      <c r="C1909" s="16">
        <v>44785</v>
      </c>
      <c r="D1909" s="1" t="s">
        <v>2393</v>
      </c>
      <c r="E1909" t="s">
        <v>27</v>
      </c>
      <c r="F1909" s="10" t="s">
        <v>918</v>
      </c>
      <c r="G1909" t="s">
        <v>919</v>
      </c>
      <c r="H1909" t="s">
        <v>479</v>
      </c>
      <c r="I1909" t="s">
        <v>920</v>
      </c>
      <c r="K1909" s="2" t="s">
        <v>6</v>
      </c>
      <c r="M1909" s="2"/>
    </row>
    <row r="1910" spans="1:13">
      <c r="A1910" t="s">
        <v>28</v>
      </c>
      <c r="B1910">
        <f ca="1">IF(OR(changes[[#This Row],[Type]]="Checklist",changes[[#This Row],[Type]]="checklist-flat"),1+IF(changes[[#This Row],[Type of change]] = "Edit",COUNTIFS($I$4:changes[[#This Row],[Name]],changes[[#This Row],[Name]], $E$4:changes[[#This Row],[Type of change]], "Edit")),B1909)</f>
        <v>1</v>
      </c>
      <c r="C1910" s="16">
        <v>44785</v>
      </c>
      <c r="D1910" s="1" t="s">
        <v>2393</v>
      </c>
      <c r="E1910" t="s">
        <v>27</v>
      </c>
      <c r="F1910" s="10" t="s">
        <v>918</v>
      </c>
      <c r="G1910" t="s">
        <v>919</v>
      </c>
      <c r="H1910" t="s">
        <v>55</v>
      </c>
      <c r="I1910" t="s">
        <v>921</v>
      </c>
      <c r="K1910" s="2" t="s">
        <v>6</v>
      </c>
      <c r="M1910" s="2"/>
    </row>
    <row r="1911" spans="1:13">
      <c r="A1911" t="s">
        <v>28</v>
      </c>
      <c r="B1911">
        <f ca="1">IF(OR(changes[[#This Row],[Type]]="Checklist",changes[[#This Row],[Type]]="checklist-flat"),1+IF(changes[[#This Row],[Type of change]] = "Edit",COUNTIFS($I$4:changes[[#This Row],[Name]],changes[[#This Row],[Name]], $E$4:changes[[#This Row],[Type of change]], "Edit")),B1910)</f>
        <v>1</v>
      </c>
      <c r="C1911" s="16">
        <v>44785</v>
      </c>
      <c r="D1911" s="1" t="s">
        <v>2393</v>
      </c>
      <c r="E1911" t="s">
        <v>27</v>
      </c>
      <c r="F1911" s="10" t="s">
        <v>918</v>
      </c>
      <c r="G1911" t="s">
        <v>919</v>
      </c>
      <c r="H1911" t="s">
        <v>214</v>
      </c>
      <c r="I1911" t="s">
        <v>922</v>
      </c>
      <c r="K1911" s="2" t="s">
        <v>6</v>
      </c>
      <c r="M1911" s="2"/>
    </row>
    <row r="1912" spans="1:13">
      <c r="A1912" t="s">
        <v>28</v>
      </c>
      <c r="B1912">
        <f ca="1">IF(OR(changes[[#This Row],[Type]]="Checklist",changes[[#This Row],[Type]]="checklist-flat"),1+IF(changes[[#This Row],[Type of change]] = "Edit",COUNTIFS($I$4:changes[[#This Row],[Name]],changes[[#This Row],[Name]], $E$4:changes[[#This Row],[Type of change]], "Edit")),B1911)</f>
        <v>1</v>
      </c>
      <c r="C1912" s="16">
        <v>44785</v>
      </c>
      <c r="D1912" s="1" t="s">
        <v>2393</v>
      </c>
      <c r="E1912" t="s">
        <v>27</v>
      </c>
      <c r="F1912" s="10" t="s">
        <v>918</v>
      </c>
      <c r="G1912" t="s">
        <v>919</v>
      </c>
      <c r="H1912" t="s">
        <v>214</v>
      </c>
      <c r="I1912" t="s">
        <v>923</v>
      </c>
      <c r="K1912" s="2" t="s">
        <v>6</v>
      </c>
      <c r="M1912" s="2"/>
    </row>
    <row r="1913" spans="1:13">
      <c r="A1913" t="s">
        <v>28</v>
      </c>
      <c r="B1913">
        <f ca="1">IF(OR(changes[[#This Row],[Type]]="Checklist",changes[[#This Row],[Type]]="checklist-flat"),1+IF(changes[[#This Row],[Type of change]] = "Edit",COUNTIFS($I$4:changes[[#This Row],[Name]],changes[[#This Row],[Name]], $E$4:changes[[#This Row],[Type of change]], "Edit")),B1912)</f>
        <v>1</v>
      </c>
      <c r="C1913" s="16">
        <v>44785</v>
      </c>
      <c r="D1913" s="1" t="s">
        <v>2393</v>
      </c>
      <c r="E1913" t="s">
        <v>27</v>
      </c>
      <c r="F1913" s="10" t="s">
        <v>918</v>
      </c>
      <c r="G1913" t="s">
        <v>919</v>
      </c>
      <c r="H1913" t="s">
        <v>214</v>
      </c>
      <c r="I1913" t="s">
        <v>924</v>
      </c>
      <c r="K1913" s="2" t="s">
        <v>6</v>
      </c>
      <c r="M1913" s="2"/>
    </row>
    <row r="1914" spans="1:13">
      <c r="A1914" t="s">
        <v>28</v>
      </c>
      <c r="B1914">
        <f ca="1">IF(OR(changes[[#This Row],[Type]]="Checklist",changes[[#This Row],[Type]]="checklist-flat"),1+IF(changes[[#This Row],[Type of change]] = "Edit",COUNTIFS($I$4:changes[[#This Row],[Name]],changes[[#This Row],[Name]], $E$4:changes[[#This Row],[Type of change]], "Edit")),B1913)</f>
        <v>1</v>
      </c>
      <c r="C1914" s="16">
        <v>44785</v>
      </c>
      <c r="D1914" s="1" t="s">
        <v>2393</v>
      </c>
      <c r="E1914" t="s">
        <v>27</v>
      </c>
      <c r="F1914" s="10" t="s">
        <v>918</v>
      </c>
      <c r="G1914" t="s">
        <v>919</v>
      </c>
      <c r="H1914" t="s">
        <v>214</v>
      </c>
      <c r="I1914" t="s">
        <v>925</v>
      </c>
      <c r="K1914" s="2" t="s">
        <v>6</v>
      </c>
      <c r="M1914" s="2"/>
    </row>
    <row r="1915" spans="1:13">
      <c r="A1915" t="s">
        <v>28</v>
      </c>
      <c r="B1915">
        <f ca="1">IF(OR(changes[[#This Row],[Type]]="Checklist",changes[[#This Row],[Type]]="checklist-flat"),1+IF(changes[[#This Row],[Type of change]] = "Edit",COUNTIFS($I$4:changes[[#This Row],[Name]],changes[[#This Row],[Name]], $E$4:changes[[#This Row],[Type of change]], "Edit")),B1914)</f>
        <v>1</v>
      </c>
      <c r="C1915" s="16">
        <v>44785</v>
      </c>
      <c r="D1915" s="1" t="s">
        <v>2393</v>
      </c>
      <c r="E1915" t="s">
        <v>27</v>
      </c>
      <c r="F1915" s="10" t="s">
        <v>918</v>
      </c>
      <c r="G1915" t="s">
        <v>919</v>
      </c>
      <c r="H1915" t="s">
        <v>214</v>
      </c>
      <c r="I1915" t="s">
        <v>926</v>
      </c>
      <c r="K1915" s="2" t="s">
        <v>6</v>
      </c>
      <c r="M1915" s="2"/>
    </row>
    <row r="1916" spans="1:13">
      <c r="A1916" t="s">
        <v>28</v>
      </c>
      <c r="B1916">
        <f ca="1">IF(OR(changes[[#This Row],[Type]]="Checklist",changes[[#This Row],[Type]]="checklist-flat"),1+IF(changes[[#This Row],[Type of change]] = "Edit",COUNTIFS($I$4:changes[[#This Row],[Name]],changes[[#This Row],[Name]], $E$4:changes[[#This Row],[Type of change]], "Edit")),B1915)</f>
        <v>1</v>
      </c>
      <c r="C1916" s="16">
        <v>44785</v>
      </c>
      <c r="D1916" s="1" t="s">
        <v>2393</v>
      </c>
      <c r="E1916" t="s">
        <v>27</v>
      </c>
      <c r="F1916" s="10" t="s">
        <v>918</v>
      </c>
      <c r="G1916" t="s">
        <v>919</v>
      </c>
      <c r="H1916" t="s">
        <v>214</v>
      </c>
      <c r="I1916" t="s">
        <v>927</v>
      </c>
      <c r="K1916" s="2" t="s">
        <v>6</v>
      </c>
      <c r="M1916" s="2"/>
    </row>
    <row r="1917" spans="1:13">
      <c r="A1917" t="s">
        <v>28</v>
      </c>
      <c r="B1917">
        <f ca="1">IF(OR(changes[[#This Row],[Type]]="Checklist",changes[[#This Row],[Type]]="checklist-flat"),1+IF(changes[[#This Row],[Type of change]] = "Edit",COUNTIFS($I$4:changes[[#This Row],[Name]],changes[[#This Row],[Name]], $E$4:changes[[#This Row],[Type of change]], "Edit")),B1916)</f>
        <v>1</v>
      </c>
      <c r="C1917" s="16">
        <v>44785</v>
      </c>
      <c r="D1917" s="1" t="s">
        <v>2393</v>
      </c>
      <c r="E1917" t="s">
        <v>27</v>
      </c>
      <c r="F1917" s="10" t="s">
        <v>918</v>
      </c>
      <c r="G1917" t="s">
        <v>919</v>
      </c>
      <c r="H1917" t="s">
        <v>214</v>
      </c>
      <c r="I1917" t="s">
        <v>928</v>
      </c>
      <c r="K1917" s="2" t="s">
        <v>6</v>
      </c>
      <c r="M1917" s="2"/>
    </row>
    <row r="1918" spans="1:13">
      <c r="A1918" t="s">
        <v>28</v>
      </c>
      <c r="B1918">
        <f ca="1">IF(OR(changes[[#This Row],[Type]]="Checklist",changes[[#This Row],[Type]]="checklist-flat"),1+IF(changes[[#This Row],[Type of change]] = "Edit",COUNTIFS($I$4:changes[[#This Row],[Name]],changes[[#This Row],[Name]], $E$4:changes[[#This Row],[Type of change]], "Edit")),B1917)</f>
        <v>1</v>
      </c>
      <c r="C1918" s="16">
        <v>44785</v>
      </c>
      <c r="D1918" s="1" t="s">
        <v>2393</v>
      </c>
      <c r="E1918" t="s">
        <v>27</v>
      </c>
      <c r="F1918" s="10" t="s">
        <v>918</v>
      </c>
      <c r="G1918" t="s">
        <v>919</v>
      </c>
      <c r="H1918" t="s">
        <v>55</v>
      </c>
      <c r="I1918" t="s">
        <v>929</v>
      </c>
      <c r="K1918" s="2" t="s">
        <v>6</v>
      </c>
      <c r="M1918" s="2"/>
    </row>
    <row r="1919" spans="1:13">
      <c r="A1919" t="s">
        <v>28</v>
      </c>
      <c r="B1919">
        <f ca="1">IF(OR(changes[[#This Row],[Type]]="Checklist",changes[[#This Row],[Type]]="checklist-flat"),1+IF(changes[[#This Row],[Type of change]] = "Edit",COUNTIFS($I$4:changes[[#This Row],[Name]],changes[[#This Row],[Name]], $E$4:changes[[#This Row],[Type of change]], "Edit")),B1918)</f>
        <v>1</v>
      </c>
      <c r="C1919" s="16">
        <v>44785</v>
      </c>
      <c r="D1919" s="1" t="s">
        <v>2393</v>
      </c>
      <c r="E1919" t="s">
        <v>27</v>
      </c>
      <c r="F1919" s="10" t="s">
        <v>918</v>
      </c>
      <c r="G1919" t="s">
        <v>919</v>
      </c>
      <c r="H1919" t="s">
        <v>55</v>
      </c>
      <c r="I1919" t="s">
        <v>930</v>
      </c>
      <c r="K1919" s="2" t="s">
        <v>6</v>
      </c>
      <c r="M1919" s="2"/>
    </row>
    <row r="1920" spans="1:13">
      <c r="A1920" t="s">
        <v>28</v>
      </c>
      <c r="B1920">
        <f ca="1">IF(OR(changes[[#This Row],[Type]]="Checklist",changes[[#This Row],[Type]]="checklist-flat"),1+IF(changes[[#This Row],[Type of change]] = "Edit",COUNTIFS($I$4:changes[[#This Row],[Name]],changes[[#This Row],[Name]], $E$4:changes[[#This Row],[Type of change]], "Edit")),B1919)</f>
        <v>1</v>
      </c>
      <c r="C1920" s="16">
        <v>44785</v>
      </c>
      <c r="D1920" s="1" t="s">
        <v>2393</v>
      </c>
      <c r="E1920" t="s">
        <v>27</v>
      </c>
      <c r="F1920" s="10" t="s">
        <v>918</v>
      </c>
      <c r="G1920" t="s">
        <v>919</v>
      </c>
      <c r="H1920" t="s">
        <v>479</v>
      </c>
      <c r="I1920" t="s">
        <v>931</v>
      </c>
      <c r="K1920" s="2" t="s">
        <v>6</v>
      </c>
      <c r="M1920" s="2"/>
    </row>
    <row r="1921" spans="1:13">
      <c r="A1921" t="s">
        <v>28</v>
      </c>
      <c r="B1921">
        <f ca="1">IF(OR(changes[[#This Row],[Type]]="Checklist",changes[[#This Row],[Type]]="checklist-flat"),1+IF(changes[[#This Row],[Type of change]] = "Edit",COUNTIFS($I$4:changes[[#This Row],[Name]],changes[[#This Row],[Name]], $E$4:changes[[#This Row],[Type of change]], "Edit")),B1920)</f>
        <v>1</v>
      </c>
      <c r="C1921" s="16">
        <v>44785</v>
      </c>
      <c r="D1921" s="1" t="s">
        <v>2393</v>
      </c>
      <c r="E1921" t="s">
        <v>27</v>
      </c>
      <c r="F1921" s="10" t="s">
        <v>918</v>
      </c>
      <c r="G1921" t="s">
        <v>919</v>
      </c>
      <c r="H1921" t="s">
        <v>55</v>
      </c>
      <c r="I1921" t="s">
        <v>932</v>
      </c>
      <c r="K1921" s="2" t="s">
        <v>6</v>
      </c>
      <c r="M1921" s="2"/>
    </row>
    <row r="1922" spans="1:13">
      <c r="A1922" t="s">
        <v>28</v>
      </c>
      <c r="B1922">
        <f ca="1">IF(OR(changes[[#This Row],[Type]]="Checklist",changes[[#This Row],[Type]]="checklist-flat"),1+IF(changes[[#This Row],[Type of change]] = "Edit",COUNTIFS($I$4:changes[[#This Row],[Name]],changes[[#This Row],[Name]], $E$4:changes[[#This Row],[Type of change]], "Edit")),B1921)</f>
        <v>1</v>
      </c>
      <c r="C1922" s="16">
        <v>44785</v>
      </c>
      <c r="D1922" s="1" t="s">
        <v>2393</v>
      </c>
      <c r="E1922" t="s">
        <v>27</v>
      </c>
      <c r="F1922" s="10" t="s">
        <v>918</v>
      </c>
      <c r="G1922" t="s">
        <v>919</v>
      </c>
      <c r="H1922" t="s">
        <v>64</v>
      </c>
      <c r="I1922" t="s">
        <v>933</v>
      </c>
      <c r="K1922" s="2" t="s">
        <v>6</v>
      </c>
      <c r="M1922" s="2"/>
    </row>
    <row r="1923" spans="1:13">
      <c r="A1923" t="s">
        <v>28</v>
      </c>
      <c r="B1923">
        <f ca="1">IF(OR(changes[[#This Row],[Type]]="Checklist",changes[[#This Row],[Type]]="checklist-flat"),1+IF(changes[[#This Row],[Type of change]] = "Edit",COUNTIFS($I$4:changes[[#This Row],[Name]],changes[[#This Row],[Name]], $E$4:changes[[#This Row],[Type of change]], "Edit")),B1922)</f>
        <v>1</v>
      </c>
      <c r="C1923" s="16">
        <v>44785</v>
      </c>
      <c r="D1923" s="1" t="s">
        <v>2393</v>
      </c>
      <c r="E1923" t="s">
        <v>27</v>
      </c>
      <c r="F1923" s="10" t="s">
        <v>918</v>
      </c>
      <c r="G1923" t="s">
        <v>1033</v>
      </c>
      <c r="H1923" t="s">
        <v>478</v>
      </c>
      <c r="I1923" t="s">
        <v>1033</v>
      </c>
      <c r="K1923" s="2" t="s">
        <v>6</v>
      </c>
      <c r="M1923" s="2"/>
    </row>
    <row r="1924" spans="1:13">
      <c r="A1924" t="s">
        <v>28</v>
      </c>
      <c r="B1924">
        <f ca="1">IF(OR(changes[[#This Row],[Type]]="Checklist",changes[[#This Row],[Type]]="checklist-flat"),1+IF(changes[[#This Row],[Type of change]] = "Edit",COUNTIFS($I$4:changes[[#This Row],[Name]],changes[[#This Row],[Name]], $E$4:changes[[#This Row],[Type of change]], "Edit")),B1923)</f>
        <v>1</v>
      </c>
      <c r="C1924" s="16">
        <v>44785</v>
      </c>
      <c r="D1924" s="1" t="s">
        <v>2393</v>
      </c>
      <c r="E1924" t="s">
        <v>27</v>
      </c>
      <c r="F1924" s="10" t="s">
        <v>918</v>
      </c>
      <c r="G1924" t="s">
        <v>1033</v>
      </c>
      <c r="H1924" t="s">
        <v>479</v>
      </c>
      <c r="I1924" t="s">
        <v>1034</v>
      </c>
      <c r="K1924" s="2" t="s">
        <v>6</v>
      </c>
      <c r="M1924" s="2"/>
    </row>
    <row r="1925" spans="1:13">
      <c r="A1925" t="s">
        <v>28</v>
      </c>
      <c r="B1925">
        <f ca="1">IF(OR(changes[[#This Row],[Type]]="Checklist",changes[[#This Row],[Type]]="checklist-flat"),1+IF(changes[[#This Row],[Type of change]] = "Edit",COUNTIFS($I$4:changes[[#This Row],[Name]],changes[[#This Row],[Name]], $E$4:changes[[#This Row],[Type of change]], "Edit")),B1924)</f>
        <v>1</v>
      </c>
      <c r="C1925" s="16">
        <v>44785</v>
      </c>
      <c r="D1925" s="1" t="s">
        <v>2393</v>
      </c>
      <c r="E1925" t="s">
        <v>27</v>
      </c>
      <c r="F1925" s="10" t="s">
        <v>918</v>
      </c>
      <c r="G1925" t="s">
        <v>1033</v>
      </c>
      <c r="H1925" t="s">
        <v>55</v>
      </c>
      <c r="I1925" t="s">
        <v>959</v>
      </c>
      <c r="K1925" s="2" t="s">
        <v>6</v>
      </c>
      <c r="M1925" s="2"/>
    </row>
    <row r="1926" spans="1:13">
      <c r="A1926" t="s">
        <v>28</v>
      </c>
      <c r="B1926">
        <f ca="1">IF(OR(changes[[#This Row],[Type]]="Checklist",changes[[#This Row],[Type]]="checklist-flat"),1+IF(changes[[#This Row],[Type of change]] = "Edit",COUNTIFS($I$4:changes[[#This Row],[Name]],changes[[#This Row],[Name]], $E$4:changes[[#This Row],[Type of change]], "Edit")),B1925)</f>
        <v>1</v>
      </c>
      <c r="C1926" s="16">
        <v>44785</v>
      </c>
      <c r="D1926" s="1" t="s">
        <v>2393</v>
      </c>
      <c r="E1926" t="s">
        <v>27</v>
      </c>
      <c r="F1926" s="10" t="s">
        <v>918</v>
      </c>
      <c r="G1926" t="s">
        <v>1033</v>
      </c>
      <c r="H1926" t="s">
        <v>214</v>
      </c>
      <c r="I1926" t="s">
        <v>1035</v>
      </c>
      <c r="K1926" s="2" t="s">
        <v>6</v>
      </c>
      <c r="M1926" s="2"/>
    </row>
    <row r="1927" spans="1:13">
      <c r="A1927" t="s">
        <v>28</v>
      </c>
      <c r="B1927">
        <f ca="1">IF(OR(changes[[#This Row],[Type]]="Checklist",changes[[#This Row],[Type]]="checklist-flat"),1+IF(changes[[#This Row],[Type of change]] = "Edit",COUNTIFS($I$4:changes[[#This Row],[Name]],changes[[#This Row],[Name]], $E$4:changes[[#This Row],[Type of change]], "Edit")),B1926)</f>
        <v>1</v>
      </c>
      <c r="C1927" s="16">
        <v>44785</v>
      </c>
      <c r="D1927" s="1" t="s">
        <v>2393</v>
      </c>
      <c r="E1927" t="s">
        <v>27</v>
      </c>
      <c r="F1927" s="10" t="s">
        <v>918</v>
      </c>
      <c r="G1927" t="s">
        <v>1033</v>
      </c>
      <c r="H1927" t="s">
        <v>214</v>
      </c>
      <c r="I1927" t="s">
        <v>1036</v>
      </c>
      <c r="K1927" s="2" t="s">
        <v>6</v>
      </c>
      <c r="M1927" s="2"/>
    </row>
    <row r="1928" spans="1:13">
      <c r="A1928" t="s">
        <v>28</v>
      </c>
      <c r="B1928">
        <f ca="1">IF(OR(changes[[#This Row],[Type]]="Checklist",changes[[#This Row],[Type]]="checklist-flat"),1+IF(changes[[#This Row],[Type of change]] = "Edit",COUNTIFS($I$4:changes[[#This Row],[Name]],changes[[#This Row],[Name]], $E$4:changes[[#This Row],[Type of change]], "Edit")),B1927)</f>
        <v>1</v>
      </c>
      <c r="C1928" s="16">
        <v>44785</v>
      </c>
      <c r="D1928" s="1" t="s">
        <v>2393</v>
      </c>
      <c r="E1928" t="s">
        <v>27</v>
      </c>
      <c r="F1928" s="10" t="s">
        <v>918</v>
      </c>
      <c r="G1928" t="s">
        <v>1033</v>
      </c>
      <c r="H1928" t="s">
        <v>214</v>
      </c>
      <c r="I1928" t="s">
        <v>1037</v>
      </c>
      <c r="K1928" s="2" t="s">
        <v>6</v>
      </c>
      <c r="M1928" s="2"/>
    </row>
    <row r="1929" spans="1:13">
      <c r="A1929" t="s">
        <v>28</v>
      </c>
      <c r="B1929">
        <f ca="1">IF(OR(changes[[#This Row],[Type]]="Checklist",changes[[#This Row],[Type]]="checklist-flat"),1+IF(changes[[#This Row],[Type of change]] = "Edit",COUNTIFS($I$4:changes[[#This Row],[Name]],changes[[#This Row],[Name]], $E$4:changes[[#This Row],[Type of change]], "Edit")),B1928)</f>
        <v>1</v>
      </c>
      <c r="C1929" s="16">
        <v>44785</v>
      </c>
      <c r="D1929" s="1" t="s">
        <v>2393</v>
      </c>
      <c r="E1929" t="s">
        <v>27</v>
      </c>
      <c r="F1929" s="10" t="s">
        <v>918</v>
      </c>
      <c r="G1929" t="s">
        <v>1033</v>
      </c>
      <c r="H1929" t="s">
        <v>214</v>
      </c>
      <c r="I1929" t="s">
        <v>961</v>
      </c>
      <c r="K1929" s="2" t="s">
        <v>6</v>
      </c>
      <c r="M1929" s="2"/>
    </row>
    <row r="1930" spans="1:13">
      <c r="A1930" t="s">
        <v>28</v>
      </c>
      <c r="B1930">
        <f ca="1">IF(OR(changes[[#This Row],[Type]]="Checklist",changes[[#This Row],[Type]]="checklist-flat"),1+IF(changes[[#This Row],[Type of change]] = "Edit",COUNTIFS($I$4:changes[[#This Row],[Name]],changes[[#This Row],[Name]], $E$4:changes[[#This Row],[Type of change]], "Edit")),B1929)</f>
        <v>1</v>
      </c>
      <c r="C1930" s="16">
        <v>44785</v>
      </c>
      <c r="D1930" s="1" t="s">
        <v>2393</v>
      </c>
      <c r="E1930" t="s">
        <v>27</v>
      </c>
      <c r="F1930" s="10" t="s">
        <v>918</v>
      </c>
      <c r="G1930" t="s">
        <v>1033</v>
      </c>
      <c r="H1930" t="s">
        <v>214</v>
      </c>
      <c r="I1930" t="s">
        <v>1038</v>
      </c>
      <c r="K1930" s="2" t="s">
        <v>6</v>
      </c>
      <c r="M1930" s="2"/>
    </row>
    <row r="1931" spans="1:13">
      <c r="A1931" t="s">
        <v>28</v>
      </c>
      <c r="B1931">
        <f ca="1">IF(OR(changes[[#This Row],[Type]]="Checklist",changes[[#This Row],[Type]]="checklist-flat"),1+IF(changes[[#This Row],[Type of change]] = "Edit",COUNTIFS($I$4:changes[[#This Row],[Name]],changes[[#This Row],[Name]], $E$4:changes[[#This Row],[Type of change]], "Edit")),B1930)</f>
        <v>1</v>
      </c>
      <c r="C1931" s="16">
        <v>44785</v>
      </c>
      <c r="D1931" s="1" t="s">
        <v>2393</v>
      </c>
      <c r="E1931" t="s">
        <v>27</v>
      </c>
      <c r="F1931" s="10" t="s">
        <v>918</v>
      </c>
      <c r="G1931" t="s">
        <v>1033</v>
      </c>
      <c r="H1931" t="s">
        <v>214</v>
      </c>
      <c r="I1931" t="s">
        <v>1039</v>
      </c>
      <c r="K1931" s="2" t="s">
        <v>6</v>
      </c>
      <c r="M1931" s="2"/>
    </row>
    <row r="1932" spans="1:13">
      <c r="A1932" t="s">
        <v>28</v>
      </c>
      <c r="B1932">
        <f ca="1">IF(OR(changes[[#This Row],[Type]]="Checklist",changes[[#This Row],[Type]]="checklist-flat"),1+IF(changes[[#This Row],[Type of change]] = "Edit",COUNTIFS($I$4:changes[[#This Row],[Name]],changes[[#This Row],[Name]], $E$4:changes[[#This Row],[Type of change]], "Edit")),B1931)</f>
        <v>1</v>
      </c>
      <c r="C1932" s="16">
        <v>44785</v>
      </c>
      <c r="D1932" s="1" t="s">
        <v>2393</v>
      </c>
      <c r="E1932" t="s">
        <v>27</v>
      </c>
      <c r="F1932" s="10" t="s">
        <v>918</v>
      </c>
      <c r="G1932" t="s">
        <v>1033</v>
      </c>
      <c r="H1932" t="s">
        <v>214</v>
      </c>
      <c r="I1932" t="s">
        <v>963</v>
      </c>
      <c r="K1932" s="2" t="s">
        <v>6</v>
      </c>
      <c r="M1932" s="2"/>
    </row>
    <row r="1933" spans="1:13">
      <c r="A1933" t="s">
        <v>28</v>
      </c>
      <c r="B1933">
        <f ca="1">IF(OR(changes[[#This Row],[Type]]="Checklist",changes[[#This Row],[Type]]="checklist-flat"),1+IF(changes[[#This Row],[Type of change]] = "Edit",COUNTIFS($I$4:changes[[#This Row],[Name]],changes[[#This Row],[Name]], $E$4:changes[[#This Row],[Type of change]], "Edit")),B1932)</f>
        <v>1</v>
      </c>
      <c r="C1933" s="16">
        <v>44785</v>
      </c>
      <c r="D1933" s="1" t="s">
        <v>2393</v>
      </c>
      <c r="E1933" t="s">
        <v>27</v>
      </c>
      <c r="F1933" s="10" t="s">
        <v>918</v>
      </c>
      <c r="G1933" t="s">
        <v>1033</v>
      </c>
      <c r="H1933" t="s">
        <v>214</v>
      </c>
      <c r="I1933" t="s">
        <v>964</v>
      </c>
      <c r="K1933" s="2" t="s">
        <v>6</v>
      </c>
      <c r="M1933" s="2"/>
    </row>
    <row r="1934" spans="1:13">
      <c r="A1934" t="s">
        <v>28</v>
      </c>
      <c r="B1934">
        <f ca="1">IF(OR(changes[[#This Row],[Type]]="Checklist",changes[[#This Row],[Type]]="checklist-flat"),1+IF(changes[[#This Row],[Type of change]] = "Edit",COUNTIFS($I$4:changes[[#This Row],[Name]],changes[[#This Row],[Name]], $E$4:changes[[#This Row],[Type of change]], "Edit")),B1933)</f>
        <v>1</v>
      </c>
      <c r="C1934" s="16">
        <v>44785</v>
      </c>
      <c r="D1934" s="1" t="s">
        <v>2393</v>
      </c>
      <c r="E1934" t="s">
        <v>27</v>
      </c>
      <c r="F1934" s="10" t="s">
        <v>918</v>
      </c>
      <c r="G1934" t="s">
        <v>1033</v>
      </c>
      <c r="H1934" t="s">
        <v>55</v>
      </c>
      <c r="I1934" t="s">
        <v>1040</v>
      </c>
      <c r="K1934" s="2" t="s">
        <v>6</v>
      </c>
      <c r="M1934" s="2"/>
    </row>
    <row r="1935" spans="1:13">
      <c r="A1935" t="s">
        <v>28</v>
      </c>
      <c r="B1935">
        <f ca="1">IF(OR(changes[[#This Row],[Type]]="Checklist",changes[[#This Row],[Type]]="checklist-flat"),1+IF(changes[[#This Row],[Type of change]] = "Edit",COUNTIFS($I$4:changes[[#This Row],[Name]],changes[[#This Row],[Name]], $E$4:changes[[#This Row],[Type of change]], "Edit")),B1934)</f>
        <v>1</v>
      </c>
      <c r="C1935" s="16">
        <v>44785</v>
      </c>
      <c r="D1935" s="1" t="s">
        <v>2393</v>
      </c>
      <c r="E1935" t="s">
        <v>27</v>
      </c>
      <c r="F1935" s="10" t="s">
        <v>918</v>
      </c>
      <c r="G1935" t="s">
        <v>1033</v>
      </c>
      <c r="H1935" t="s">
        <v>55</v>
      </c>
      <c r="I1935" t="s">
        <v>1041</v>
      </c>
      <c r="K1935" s="2" t="s">
        <v>6</v>
      </c>
      <c r="M1935" s="2"/>
    </row>
    <row r="1936" spans="1:13">
      <c r="A1936" t="s">
        <v>28</v>
      </c>
      <c r="B1936">
        <f ca="1">IF(OR(changes[[#This Row],[Type]]="Checklist",changes[[#This Row],[Type]]="checklist-flat"),1+IF(changes[[#This Row],[Type of change]] = "Edit",COUNTIFS($I$4:changes[[#This Row],[Name]],changes[[#This Row],[Name]], $E$4:changes[[#This Row],[Type of change]], "Edit")),B1935)</f>
        <v>1</v>
      </c>
      <c r="C1936" s="16">
        <v>44785</v>
      </c>
      <c r="D1936" s="1" t="s">
        <v>2393</v>
      </c>
      <c r="E1936" t="s">
        <v>27</v>
      </c>
      <c r="F1936" s="10" t="s">
        <v>918</v>
      </c>
      <c r="G1936" t="s">
        <v>1033</v>
      </c>
      <c r="H1936" t="s">
        <v>55</v>
      </c>
      <c r="I1936" t="s">
        <v>969</v>
      </c>
      <c r="K1936" s="2" t="s">
        <v>6</v>
      </c>
      <c r="M1936" s="2"/>
    </row>
    <row r="1937" spans="1:13">
      <c r="A1937" t="s">
        <v>28</v>
      </c>
      <c r="B1937">
        <f ca="1">IF(OR(changes[[#This Row],[Type]]="Checklist",changes[[#This Row],[Type]]="checklist-flat"),1+IF(changes[[#This Row],[Type of change]] = "Edit",COUNTIFS($I$4:changes[[#This Row],[Name]],changes[[#This Row],[Name]], $E$4:changes[[#This Row],[Type of change]], "Edit")),B1936)</f>
        <v>1</v>
      </c>
      <c r="C1937" s="16">
        <v>44785</v>
      </c>
      <c r="D1937" s="1" t="s">
        <v>2393</v>
      </c>
      <c r="E1937" t="s">
        <v>27</v>
      </c>
      <c r="F1937" s="10" t="s">
        <v>918</v>
      </c>
      <c r="G1937" t="s">
        <v>1033</v>
      </c>
      <c r="H1937" t="s">
        <v>214</v>
      </c>
      <c r="I1937" t="s">
        <v>1042</v>
      </c>
      <c r="K1937" s="2" t="s">
        <v>6</v>
      </c>
      <c r="M1937" s="2"/>
    </row>
    <row r="1938" spans="1:13">
      <c r="A1938" t="s">
        <v>28</v>
      </c>
      <c r="B1938">
        <f ca="1">IF(OR(changes[[#This Row],[Type]]="Checklist",changes[[#This Row],[Type]]="checklist-flat"),1+IF(changes[[#This Row],[Type of change]] = "Edit",COUNTIFS($I$4:changes[[#This Row],[Name]],changes[[#This Row],[Name]], $E$4:changes[[#This Row],[Type of change]], "Edit")),B1937)</f>
        <v>1</v>
      </c>
      <c r="C1938" s="16">
        <v>44785</v>
      </c>
      <c r="D1938" s="1" t="s">
        <v>2393</v>
      </c>
      <c r="E1938" t="s">
        <v>27</v>
      </c>
      <c r="F1938" s="10" t="s">
        <v>918</v>
      </c>
      <c r="G1938" t="s">
        <v>1033</v>
      </c>
      <c r="H1938" t="s">
        <v>55</v>
      </c>
      <c r="I1938" t="s">
        <v>930</v>
      </c>
      <c r="K1938" s="2" t="s">
        <v>6</v>
      </c>
      <c r="M1938" s="2"/>
    </row>
    <row r="1939" spans="1:13">
      <c r="A1939" t="s">
        <v>28</v>
      </c>
      <c r="B1939">
        <f ca="1">IF(OR(changes[[#This Row],[Type]]="Checklist",changes[[#This Row],[Type]]="checklist-flat"),1+IF(changes[[#This Row],[Type of change]] = "Edit",COUNTIFS($I$4:changes[[#This Row],[Name]],changes[[#This Row],[Name]], $E$4:changes[[#This Row],[Type of change]], "Edit")),B1938)</f>
        <v>1</v>
      </c>
      <c r="C1939" s="16">
        <v>44785</v>
      </c>
      <c r="D1939" s="1" t="s">
        <v>2393</v>
      </c>
      <c r="E1939" t="s">
        <v>27</v>
      </c>
      <c r="F1939" s="10" t="s">
        <v>918</v>
      </c>
      <c r="G1939" t="s">
        <v>1033</v>
      </c>
      <c r="H1939" t="s">
        <v>420</v>
      </c>
      <c r="I1939" t="s">
        <v>1043</v>
      </c>
      <c r="K1939" s="2" t="s">
        <v>6</v>
      </c>
      <c r="M1939" s="2"/>
    </row>
    <row r="1940" spans="1:13">
      <c r="A1940" t="s">
        <v>28</v>
      </c>
      <c r="B1940">
        <f ca="1">IF(OR(changes[[#This Row],[Type]]="Checklist",changes[[#This Row],[Type]]="checklist-flat"),1+IF(changes[[#This Row],[Type of change]] = "Edit",COUNTIFS($I$4:changes[[#This Row],[Name]],changes[[#This Row],[Name]], $E$4:changes[[#This Row],[Type of change]], "Edit")),B1939)</f>
        <v>1</v>
      </c>
      <c r="C1940" s="16">
        <v>44785</v>
      </c>
      <c r="D1940" s="1" t="s">
        <v>2393</v>
      </c>
      <c r="E1940" t="s">
        <v>27</v>
      </c>
      <c r="F1940" s="10" t="s">
        <v>918</v>
      </c>
      <c r="G1940" t="s">
        <v>1033</v>
      </c>
      <c r="H1940" t="s">
        <v>437</v>
      </c>
      <c r="I1940" t="s">
        <v>965</v>
      </c>
      <c r="J1940" t="s">
        <v>510</v>
      </c>
      <c r="K1940" s="2" t="s">
        <v>6</v>
      </c>
      <c r="M1940" s="2"/>
    </row>
    <row r="1941" spans="1:13">
      <c r="A1941" t="s">
        <v>28</v>
      </c>
      <c r="B1941">
        <f ca="1">IF(OR(changes[[#This Row],[Type]]="Checklist",changes[[#This Row],[Type]]="checklist-flat"),1+IF(changes[[#This Row],[Type of change]] = "Edit",COUNTIFS($I$4:changes[[#This Row],[Name]],changes[[#This Row],[Name]], $E$4:changes[[#This Row],[Type of change]], "Edit")),B1940)</f>
        <v>1</v>
      </c>
      <c r="C1941" s="16">
        <v>44785</v>
      </c>
      <c r="D1941" s="1" t="s">
        <v>2393</v>
      </c>
      <c r="E1941" t="s">
        <v>27</v>
      </c>
      <c r="F1941" s="10" t="s">
        <v>918</v>
      </c>
      <c r="G1941" t="s">
        <v>1033</v>
      </c>
      <c r="H1941" t="s">
        <v>420</v>
      </c>
      <c r="I1941" t="s">
        <v>966</v>
      </c>
      <c r="K1941" s="2" t="s">
        <v>6</v>
      </c>
      <c r="M1941" s="2"/>
    </row>
    <row r="1942" spans="1:13">
      <c r="A1942" t="s">
        <v>28</v>
      </c>
      <c r="B1942">
        <f ca="1">IF(OR(changes[[#This Row],[Type]]="Checklist",changes[[#This Row],[Type]]="checklist-flat"),1+IF(changes[[#This Row],[Type of change]] = "Edit",COUNTIFS($I$4:changes[[#This Row],[Name]],changes[[#This Row],[Name]], $E$4:changes[[#This Row],[Type of change]], "Edit")),B1941)</f>
        <v>1</v>
      </c>
      <c r="C1942" s="16">
        <v>44785</v>
      </c>
      <c r="D1942" s="1" t="s">
        <v>2393</v>
      </c>
      <c r="E1942" t="s">
        <v>27</v>
      </c>
      <c r="F1942" s="10" t="s">
        <v>918</v>
      </c>
      <c r="G1942" t="s">
        <v>1033</v>
      </c>
      <c r="H1942" t="s">
        <v>420</v>
      </c>
      <c r="I1942" t="s">
        <v>967</v>
      </c>
      <c r="K1942" s="2" t="s">
        <v>6</v>
      </c>
      <c r="M1942" s="2"/>
    </row>
    <row r="1943" spans="1:13">
      <c r="A1943" t="s">
        <v>28</v>
      </c>
      <c r="B1943">
        <f ca="1">IF(OR(changes[[#This Row],[Type]]="Checklist",changes[[#This Row],[Type]]="checklist-flat"),1+IF(changes[[#This Row],[Type of change]] = "Edit",COUNTIFS($I$4:changes[[#This Row],[Name]],changes[[#This Row],[Name]], $E$4:changes[[#This Row],[Type of change]], "Edit")),B1942)</f>
        <v>1</v>
      </c>
      <c r="C1943" s="16">
        <v>44785</v>
      </c>
      <c r="D1943" s="1" t="s">
        <v>2393</v>
      </c>
      <c r="E1943" t="s">
        <v>27</v>
      </c>
      <c r="F1943" s="10" t="s">
        <v>918</v>
      </c>
      <c r="G1943" t="s">
        <v>1033</v>
      </c>
      <c r="H1943" t="s">
        <v>55</v>
      </c>
      <c r="I1943" t="s">
        <v>1044</v>
      </c>
      <c r="K1943" s="2" t="s">
        <v>6</v>
      </c>
      <c r="M1943" s="2"/>
    </row>
    <row r="1944" spans="1:13">
      <c r="A1944" t="s">
        <v>28</v>
      </c>
      <c r="B1944">
        <f ca="1">IF(OR(changes[[#This Row],[Type]]="Checklist",changes[[#This Row],[Type]]="checklist-flat"),1+IF(changes[[#This Row],[Type of change]] = "Edit",COUNTIFS($I$4:changes[[#This Row],[Name]],changes[[#This Row],[Name]], $E$4:changes[[#This Row],[Type of change]], "Edit")),B1943)</f>
        <v>1</v>
      </c>
      <c r="C1944" s="16">
        <v>44785</v>
      </c>
      <c r="D1944" s="1" t="s">
        <v>2393</v>
      </c>
      <c r="E1944" t="s">
        <v>27</v>
      </c>
      <c r="F1944" s="10" t="s">
        <v>918</v>
      </c>
      <c r="G1944" t="s">
        <v>1033</v>
      </c>
      <c r="H1944" t="s">
        <v>218</v>
      </c>
      <c r="I1944" t="s">
        <v>1045</v>
      </c>
      <c r="J1944" t="s">
        <v>1046</v>
      </c>
      <c r="K1944" s="2" t="s">
        <v>6</v>
      </c>
      <c r="M1944" s="2"/>
    </row>
    <row r="1945" spans="1:13">
      <c r="A1945" t="s">
        <v>28</v>
      </c>
      <c r="B1945">
        <f ca="1">IF(OR(changes[[#This Row],[Type]]="Checklist",changes[[#This Row],[Type]]="checklist-flat"),1+IF(changes[[#This Row],[Type of change]] = "Edit",COUNTIFS($I$4:changes[[#This Row],[Name]],changes[[#This Row],[Name]], $E$4:changes[[#This Row],[Type of change]], "Edit")),B1944)</f>
        <v>1</v>
      </c>
      <c r="C1945" s="16">
        <v>44785</v>
      </c>
      <c r="D1945" s="1" t="s">
        <v>2393</v>
      </c>
      <c r="E1945" t="s">
        <v>27</v>
      </c>
      <c r="F1945" s="10" t="s">
        <v>918</v>
      </c>
      <c r="G1945" t="s">
        <v>1033</v>
      </c>
      <c r="H1945" t="s">
        <v>1047</v>
      </c>
      <c r="I1945" t="s">
        <v>1022</v>
      </c>
      <c r="K1945" s="2" t="s">
        <v>6</v>
      </c>
      <c r="M1945" s="2"/>
    </row>
    <row r="1946" spans="1:13">
      <c r="A1946" t="s">
        <v>28</v>
      </c>
      <c r="B1946">
        <f ca="1">IF(OR(changes[[#This Row],[Type]]="Checklist",changes[[#This Row],[Type]]="checklist-flat"),1+IF(changes[[#This Row],[Type of change]] = "Edit",COUNTIFS($I$4:changes[[#This Row],[Name]],changes[[#This Row],[Name]], $E$4:changes[[#This Row],[Type of change]], "Edit")),B1945)</f>
        <v>1</v>
      </c>
      <c r="C1946" s="16">
        <v>44785</v>
      </c>
      <c r="D1946" s="1" t="s">
        <v>2393</v>
      </c>
      <c r="E1946" t="s">
        <v>27</v>
      </c>
      <c r="F1946" s="10" t="s">
        <v>918</v>
      </c>
      <c r="G1946" t="s">
        <v>1033</v>
      </c>
      <c r="H1946" t="s">
        <v>55</v>
      </c>
      <c r="I1946" t="s">
        <v>1048</v>
      </c>
      <c r="K1946" s="2" t="s">
        <v>6</v>
      </c>
      <c r="M1946" s="2"/>
    </row>
    <row r="1947" spans="1:13">
      <c r="A1947" t="s">
        <v>28</v>
      </c>
      <c r="B1947">
        <f ca="1">IF(OR(changes[[#This Row],[Type]]="Checklist",changes[[#This Row],[Type]]="checklist-flat"),1+IF(changes[[#This Row],[Type of change]] = "Edit",COUNTIFS($I$4:changes[[#This Row],[Name]],changes[[#This Row],[Name]], $E$4:changes[[#This Row],[Type of change]], "Edit")),B1946)</f>
        <v>1</v>
      </c>
      <c r="C1947" s="16">
        <v>44785</v>
      </c>
      <c r="D1947" s="1" t="s">
        <v>2393</v>
      </c>
      <c r="E1947" t="s">
        <v>27</v>
      </c>
      <c r="F1947" s="10" t="s">
        <v>918</v>
      </c>
      <c r="G1947" t="s">
        <v>1033</v>
      </c>
      <c r="H1947" t="s">
        <v>64</v>
      </c>
      <c r="I1947" t="s">
        <v>933</v>
      </c>
      <c r="K1947" s="2" t="s">
        <v>6</v>
      </c>
      <c r="M1947" s="2"/>
    </row>
    <row r="1948" spans="1:13">
      <c r="A1948" t="s">
        <v>28</v>
      </c>
      <c r="B1948">
        <f ca="1">IF(OR(changes[[#This Row],[Type]]="Checklist",changes[[#This Row],[Type]]="checklist-flat"),1+IF(changes[[#This Row],[Type of change]] = "Edit",COUNTIFS($I$4:changes[[#This Row],[Name]],changes[[#This Row],[Name]], $E$4:changes[[#This Row],[Type of change]], "Edit")),B1947)</f>
        <v>1</v>
      </c>
      <c r="C1948" s="16">
        <v>44785</v>
      </c>
      <c r="D1948" s="1" t="s">
        <v>2393</v>
      </c>
      <c r="E1948" t="s">
        <v>27</v>
      </c>
      <c r="F1948" s="10" t="s">
        <v>918</v>
      </c>
      <c r="G1948" t="s">
        <v>1030</v>
      </c>
      <c r="H1948" t="s">
        <v>478</v>
      </c>
      <c r="I1948" t="s">
        <v>1030</v>
      </c>
      <c r="K1948" s="2" t="s">
        <v>6</v>
      </c>
      <c r="M1948" s="2"/>
    </row>
    <row r="1949" spans="1:13">
      <c r="A1949" t="s">
        <v>28</v>
      </c>
      <c r="B1949">
        <f ca="1">IF(OR(changes[[#This Row],[Type]]="Checklist",changes[[#This Row],[Type]]="checklist-flat"),1+IF(changes[[#This Row],[Type of change]] = "Edit",COUNTIFS($I$4:changes[[#This Row],[Name]],changes[[#This Row],[Name]], $E$4:changes[[#This Row],[Type of change]], "Edit")),B1948)</f>
        <v>1</v>
      </c>
      <c r="C1949" s="16">
        <v>44785</v>
      </c>
      <c r="D1949" s="1" t="s">
        <v>2393</v>
      </c>
      <c r="E1949" t="s">
        <v>27</v>
      </c>
      <c r="F1949" s="10" t="s">
        <v>918</v>
      </c>
      <c r="G1949" t="s">
        <v>1030</v>
      </c>
      <c r="H1949" t="s">
        <v>55</v>
      </c>
      <c r="I1949" t="s">
        <v>1031</v>
      </c>
      <c r="K1949" s="2" t="s">
        <v>6</v>
      </c>
      <c r="M1949" s="2"/>
    </row>
    <row r="1950" spans="1:13">
      <c r="A1950" t="s">
        <v>28</v>
      </c>
      <c r="B1950">
        <f ca="1">IF(OR(changes[[#This Row],[Type]]="Checklist",changes[[#This Row],[Type]]="checklist-flat"),1+IF(changes[[#This Row],[Type of change]] = "Edit",COUNTIFS($I$4:changes[[#This Row],[Name]],changes[[#This Row],[Name]], $E$4:changes[[#This Row],[Type of change]], "Edit")),B1949)</f>
        <v>1</v>
      </c>
      <c r="C1950" s="16">
        <v>44785</v>
      </c>
      <c r="D1950" s="1" t="s">
        <v>2393</v>
      </c>
      <c r="E1950" t="s">
        <v>27</v>
      </c>
      <c r="F1950" s="10" t="s">
        <v>918</v>
      </c>
      <c r="G1950" t="s">
        <v>1030</v>
      </c>
      <c r="H1950" t="s">
        <v>214</v>
      </c>
      <c r="I1950" t="s">
        <v>936</v>
      </c>
      <c r="K1950" s="2" t="s">
        <v>6</v>
      </c>
      <c r="M1950" s="2"/>
    </row>
    <row r="1951" spans="1:13">
      <c r="A1951" t="s">
        <v>28</v>
      </c>
      <c r="B1951">
        <f ca="1">IF(OR(changes[[#This Row],[Type]]="Checklist",changes[[#This Row],[Type]]="checklist-flat"),1+IF(changes[[#This Row],[Type of change]] = "Edit",COUNTIFS($I$4:changes[[#This Row],[Name]],changes[[#This Row],[Name]], $E$4:changes[[#This Row],[Type of change]], "Edit")),B1950)</f>
        <v>1</v>
      </c>
      <c r="C1951" s="16">
        <v>44785</v>
      </c>
      <c r="D1951" s="1" t="s">
        <v>2393</v>
      </c>
      <c r="E1951" t="s">
        <v>27</v>
      </c>
      <c r="F1951" s="10" t="s">
        <v>918</v>
      </c>
      <c r="G1951" t="s">
        <v>1030</v>
      </c>
      <c r="H1951" t="s">
        <v>214</v>
      </c>
      <c r="I1951" t="s">
        <v>975</v>
      </c>
      <c r="K1951" s="2" t="s">
        <v>6</v>
      </c>
      <c r="M1951" s="2"/>
    </row>
    <row r="1952" spans="1:13">
      <c r="A1952" t="s">
        <v>28</v>
      </c>
      <c r="B1952">
        <f ca="1">IF(OR(changes[[#This Row],[Type]]="Checklist",changes[[#This Row],[Type]]="checklist-flat"),1+IF(changes[[#This Row],[Type of change]] = "Edit",COUNTIFS($I$4:changes[[#This Row],[Name]],changes[[#This Row],[Name]], $E$4:changes[[#This Row],[Type of change]], "Edit")),B1951)</f>
        <v>1</v>
      </c>
      <c r="C1952" s="16">
        <v>44785</v>
      </c>
      <c r="D1952" s="1" t="s">
        <v>2393</v>
      </c>
      <c r="E1952" t="s">
        <v>27</v>
      </c>
      <c r="F1952" s="10" t="s">
        <v>918</v>
      </c>
      <c r="G1952" t="s">
        <v>1030</v>
      </c>
      <c r="H1952" t="s">
        <v>214</v>
      </c>
      <c r="I1952" t="s">
        <v>938</v>
      </c>
      <c r="K1952" s="2" t="s">
        <v>6</v>
      </c>
      <c r="M1952" s="2"/>
    </row>
    <row r="1953" spans="1:13">
      <c r="A1953" t="s">
        <v>28</v>
      </c>
      <c r="B1953">
        <f ca="1">IF(OR(changes[[#This Row],[Type]]="Checklist",changes[[#This Row],[Type]]="checklist-flat"),1+IF(changes[[#This Row],[Type of change]] = "Edit",COUNTIFS($I$4:changes[[#This Row],[Name]],changes[[#This Row],[Name]], $E$4:changes[[#This Row],[Type of change]], "Edit")),B1952)</f>
        <v>1</v>
      </c>
      <c r="C1953" s="16">
        <v>44785</v>
      </c>
      <c r="D1953" s="1" t="s">
        <v>2393</v>
      </c>
      <c r="E1953" t="s">
        <v>27</v>
      </c>
      <c r="F1953" s="10" t="s">
        <v>918</v>
      </c>
      <c r="G1953" t="s">
        <v>1030</v>
      </c>
      <c r="H1953" t="s">
        <v>64</v>
      </c>
      <c r="I1953" t="s">
        <v>1032</v>
      </c>
      <c r="K1953" s="2" t="s">
        <v>6</v>
      </c>
      <c r="M1953" s="2"/>
    </row>
    <row r="1954" spans="1:13">
      <c r="A1954" t="s">
        <v>28</v>
      </c>
      <c r="B1954">
        <f ca="1">IF(OR(changes[[#This Row],[Type]]="Checklist",changes[[#This Row],[Type]]="checklist-flat"),1+IF(changes[[#This Row],[Type of change]] = "Edit",COUNTIFS($I$4:changes[[#This Row],[Name]],changes[[#This Row],[Name]], $E$4:changes[[#This Row],[Type of change]], "Edit")),B1953)</f>
        <v>1</v>
      </c>
      <c r="C1954" s="16">
        <v>44785</v>
      </c>
      <c r="D1954" s="1" t="s">
        <v>2393</v>
      </c>
      <c r="E1954" t="s">
        <v>27</v>
      </c>
      <c r="F1954" s="10" t="s">
        <v>918</v>
      </c>
      <c r="G1954" t="s">
        <v>1049</v>
      </c>
      <c r="H1954" t="s">
        <v>478</v>
      </c>
      <c r="I1954" t="s">
        <v>1049</v>
      </c>
      <c r="K1954" s="2" t="s">
        <v>6</v>
      </c>
      <c r="M1954" s="2"/>
    </row>
    <row r="1955" spans="1:13">
      <c r="A1955" t="s">
        <v>28</v>
      </c>
      <c r="B1955">
        <f ca="1">IF(OR(changes[[#This Row],[Type]]="Checklist",changes[[#This Row],[Type]]="checklist-flat"),1+IF(changes[[#This Row],[Type of change]] = "Edit",COUNTIFS($I$4:changes[[#This Row],[Name]],changes[[#This Row],[Name]], $E$4:changes[[#This Row],[Type of change]], "Edit")),B1954)</f>
        <v>1</v>
      </c>
      <c r="C1955" s="16">
        <v>44785</v>
      </c>
      <c r="D1955" s="1" t="s">
        <v>2393</v>
      </c>
      <c r="E1955" t="s">
        <v>27</v>
      </c>
      <c r="F1955" s="10" t="s">
        <v>918</v>
      </c>
      <c r="G1955" t="s">
        <v>1049</v>
      </c>
      <c r="H1955" t="s">
        <v>55</v>
      </c>
      <c r="I1955" t="s">
        <v>959</v>
      </c>
      <c r="K1955" s="2" t="s">
        <v>6</v>
      </c>
      <c r="M1955" s="2"/>
    </row>
    <row r="1956" spans="1:13">
      <c r="A1956" t="s">
        <v>28</v>
      </c>
      <c r="B1956">
        <f ca="1">IF(OR(changes[[#This Row],[Type]]="Checklist",changes[[#This Row],[Type]]="checklist-flat"),1+IF(changes[[#This Row],[Type of change]] = "Edit",COUNTIFS($I$4:changes[[#This Row],[Name]],changes[[#This Row],[Name]], $E$4:changes[[#This Row],[Type of change]], "Edit")),B1955)</f>
        <v>1</v>
      </c>
      <c r="C1956" s="16">
        <v>44785</v>
      </c>
      <c r="D1956" s="1" t="s">
        <v>2393</v>
      </c>
      <c r="E1956" t="s">
        <v>27</v>
      </c>
      <c r="F1956" s="10" t="s">
        <v>918</v>
      </c>
      <c r="G1956" t="s">
        <v>1049</v>
      </c>
      <c r="H1956" t="s">
        <v>214</v>
      </c>
      <c r="I1956" t="s">
        <v>1050</v>
      </c>
      <c r="K1956" s="2" t="s">
        <v>6</v>
      </c>
      <c r="M1956" s="2"/>
    </row>
    <row r="1957" spans="1:13">
      <c r="A1957" t="s">
        <v>28</v>
      </c>
      <c r="B1957">
        <f ca="1">IF(OR(changes[[#This Row],[Type]]="Checklist",changes[[#This Row],[Type]]="checklist-flat"),1+IF(changes[[#This Row],[Type of change]] = "Edit",COUNTIFS($I$4:changes[[#This Row],[Name]],changes[[#This Row],[Name]], $E$4:changes[[#This Row],[Type of change]], "Edit")),B1956)</f>
        <v>1</v>
      </c>
      <c r="C1957" s="16">
        <v>44785</v>
      </c>
      <c r="D1957" s="1" t="s">
        <v>2393</v>
      </c>
      <c r="E1957" t="s">
        <v>27</v>
      </c>
      <c r="F1957" s="10" t="s">
        <v>918</v>
      </c>
      <c r="G1957" t="s">
        <v>1049</v>
      </c>
      <c r="H1957" t="s">
        <v>214</v>
      </c>
      <c r="I1957" t="s">
        <v>1051</v>
      </c>
      <c r="K1957" s="2" t="s">
        <v>6</v>
      </c>
      <c r="M1957" s="2"/>
    </row>
    <row r="1958" spans="1:13">
      <c r="A1958" t="s">
        <v>28</v>
      </c>
      <c r="B1958">
        <f ca="1">IF(OR(changes[[#This Row],[Type]]="Checklist",changes[[#This Row],[Type]]="checklist-flat"),1+IF(changes[[#This Row],[Type of change]] = "Edit",COUNTIFS($I$4:changes[[#This Row],[Name]],changes[[#This Row],[Name]], $E$4:changes[[#This Row],[Type of change]], "Edit")),B1957)</f>
        <v>1</v>
      </c>
      <c r="C1958" s="16">
        <v>44785</v>
      </c>
      <c r="D1958" s="1" t="s">
        <v>2393</v>
      </c>
      <c r="E1958" t="s">
        <v>27</v>
      </c>
      <c r="F1958" s="10" t="s">
        <v>918</v>
      </c>
      <c r="G1958" t="s">
        <v>1049</v>
      </c>
      <c r="H1958" t="s">
        <v>214</v>
      </c>
      <c r="I1958" t="s">
        <v>1052</v>
      </c>
      <c r="K1958" s="2" t="s">
        <v>6</v>
      </c>
      <c r="M1958" s="2"/>
    </row>
    <row r="1959" spans="1:13">
      <c r="A1959" t="s">
        <v>28</v>
      </c>
      <c r="B1959">
        <f ca="1">IF(OR(changes[[#This Row],[Type]]="Checklist",changes[[#This Row],[Type]]="checklist-flat"),1+IF(changes[[#This Row],[Type of change]] = "Edit",COUNTIFS($I$4:changes[[#This Row],[Name]],changes[[#This Row],[Name]], $E$4:changes[[#This Row],[Type of change]], "Edit")),B1958)</f>
        <v>1</v>
      </c>
      <c r="C1959" s="16">
        <v>44785</v>
      </c>
      <c r="D1959" s="1" t="s">
        <v>2393</v>
      </c>
      <c r="E1959" t="s">
        <v>27</v>
      </c>
      <c r="F1959" s="10" t="s">
        <v>918</v>
      </c>
      <c r="G1959" t="s">
        <v>1049</v>
      </c>
      <c r="H1959" t="s">
        <v>55</v>
      </c>
      <c r="I1959" t="s">
        <v>1053</v>
      </c>
      <c r="K1959" s="2" t="s">
        <v>6</v>
      </c>
      <c r="M1959" s="2"/>
    </row>
    <row r="1960" spans="1:13">
      <c r="A1960" t="s">
        <v>28</v>
      </c>
      <c r="B1960">
        <f ca="1">IF(OR(changes[[#This Row],[Type]]="Checklist",changes[[#This Row],[Type]]="checklist-flat"),1+IF(changes[[#This Row],[Type of change]] = "Edit",COUNTIFS($I$4:changes[[#This Row],[Name]],changes[[#This Row],[Name]], $E$4:changes[[#This Row],[Type of change]], "Edit")),B1959)</f>
        <v>1</v>
      </c>
      <c r="C1960" s="16">
        <v>44785</v>
      </c>
      <c r="D1960" s="1" t="s">
        <v>2393</v>
      </c>
      <c r="E1960" t="s">
        <v>27</v>
      </c>
      <c r="F1960" s="10" t="s">
        <v>918</v>
      </c>
      <c r="G1960" t="s">
        <v>1049</v>
      </c>
      <c r="H1960" t="s">
        <v>951</v>
      </c>
      <c r="I1960" t="s">
        <v>1054</v>
      </c>
      <c r="K1960" s="2" t="s">
        <v>6</v>
      </c>
      <c r="M1960" s="2"/>
    </row>
    <row r="1961" spans="1:13">
      <c r="A1961" t="s">
        <v>28</v>
      </c>
      <c r="B1961">
        <f ca="1">IF(OR(changes[[#This Row],[Type]]="Checklist",changes[[#This Row],[Type]]="checklist-flat"),1+IF(changes[[#This Row],[Type of change]] = "Edit",COUNTIFS($I$4:changes[[#This Row],[Name]],changes[[#This Row],[Name]], $E$4:changes[[#This Row],[Type of change]], "Edit")),B1960)</f>
        <v>1</v>
      </c>
      <c r="C1961" s="16">
        <v>44785</v>
      </c>
      <c r="D1961" s="1" t="s">
        <v>2393</v>
      </c>
      <c r="E1961" t="s">
        <v>27</v>
      </c>
      <c r="F1961" s="10" t="s">
        <v>918</v>
      </c>
      <c r="G1961" t="s">
        <v>1049</v>
      </c>
      <c r="H1961" t="s">
        <v>951</v>
      </c>
      <c r="I1961" t="s">
        <v>1055</v>
      </c>
      <c r="J1961" s="22"/>
      <c r="K1961" s="2" t="s">
        <v>6</v>
      </c>
      <c r="M1961" s="2"/>
    </row>
    <row r="1962" spans="1:13">
      <c r="A1962" t="s">
        <v>28</v>
      </c>
      <c r="B1962">
        <f ca="1">IF(OR(changes[[#This Row],[Type]]="Checklist",changes[[#This Row],[Type]]="checklist-flat"),1+IF(changes[[#This Row],[Type of change]] = "Edit",COUNTIFS($I$4:changes[[#This Row],[Name]],changes[[#This Row],[Name]], $E$4:changes[[#This Row],[Type of change]], "Edit")),B1961)</f>
        <v>1</v>
      </c>
      <c r="C1962" s="16">
        <v>44785</v>
      </c>
      <c r="D1962" s="1" t="s">
        <v>2393</v>
      </c>
      <c r="E1962" t="s">
        <v>27</v>
      </c>
      <c r="F1962" s="10" t="s">
        <v>918</v>
      </c>
      <c r="G1962" t="s">
        <v>1049</v>
      </c>
      <c r="H1962" t="s">
        <v>951</v>
      </c>
      <c r="I1962" t="s">
        <v>1056</v>
      </c>
      <c r="J1962" s="22"/>
      <c r="K1962" s="2" t="s">
        <v>6</v>
      </c>
      <c r="M1962" s="2"/>
    </row>
    <row r="1963" spans="1:13">
      <c r="A1963" t="s">
        <v>28</v>
      </c>
      <c r="B1963">
        <f ca="1">IF(OR(changes[[#This Row],[Type]]="Checklist",changes[[#This Row],[Type]]="checklist-flat"),1+IF(changes[[#This Row],[Type of change]] = "Edit",COUNTIFS($I$4:changes[[#This Row],[Name]],changes[[#This Row],[Name]], $E$4:changes[[#This Row],[Type of change]], "Edit")),B1962)</f>
        <v>1</v>
      </c>
      <c r="C1963" s="16">
        <v>44785</v>
      </c>
      <c r="D1963" s="1" t="s">
        <v>2393</v>
      </c>
      <c r="E1963" t="s">
        <v>27</v>
      </c>
      <c r="F1963" s="10" t="s">
        <v>918</v>
      </c>
      <c r="G1963" t="s">
        <v>1049</v>
      </c>
      <c r="H1963" t="s">
        <v>951</v>
      </c>
      <c r="I1963" t="s">
        <v>1057</v>
      </c>
      <c r="J1963" s="22"/>
      <c r="K1963" s="2" t="s">
        <v>6</v>
      </c>
      <c r="M1963" s="2"/>
    </row>
    <row r="1964" spans="1:13">
      <c r="A1964" t="s">
        <v>28</v>
      </c>
      <c r="B1964">
        <f ca="1">IF(OR(changes[[#This Row],[Type]]="Checklist",changes[[#This Row],[Type]]="checklist-flat"),1+IF(changes[[#This Row],[Type of change]] = "Edit",COUNTIFS($I$4:changes[[#This Row],[Name]],changes[[#This Row],[Name]], $E$4:changes[[#This Row],[Type of change]], "Edit")),B1963)</f>
        <v>1</v>
      </c>
      <c r="C1964" s="16">
        <v>44785</v>
      </c>
      <c r="D1964" s="1" t="s">
        <v>2393</v>
      </c>
      <c r="E1964" t="s">
        <v>27</v>
      </c>
      <c r="F1964" s="10" t="s">
        <v>918</v>
      </c>
      <c r="G1964" t="s">
        <v>1049</v>
      </c>
      <c r="H1964" t="s">
        <v>55</v>
      </c>
      <c r="I1964" t="s">
        <v>1058</v>
      </c>
      <c r="K1964" s="2" t="s">
        <v>6</v>
      </c>
      <c r="M1964" s="2"/>
    </row>
    <row r="1965" spans="1:13">
      <c r="A1965" t="s">
        <v>28</v>
      </c>
      <c r="B1965">
        <f ca="1">IF(OR(changes[[#This Row],[Type]]="Checklist",changes[[#This Row],[Type]]="checklist-flat"),1+IF(changes[[#This Row],[Type of change]] = "Edit",COUNTIFS($I$4:changes[[#This Row],[Name]],changes[[#This Row],[Name]], $E$4:changes[[#This Row],[Type of change]], "Edit")),B1964)</f>
        <v>1</v>
      </c>
      <c r="C1965" s="16">
        <v>44785</v>
      </c>
      <c r="D1965" s="1" t="s">
        <v>2393</v>
      </c>
      <c r="E1965" t="s">
        <v>27</v>
      </c>
      <c r="F1965" s="10" t="s">
        <v>918</v>
      </c>
      <c r="G1965" t="s">
        <v>1049</v>
      </c>
      <c r="H1965" t="s">
        <v>951</v>
      </c>
      <c r="I1965" t="s">
        <v>1059</v>
      </c>
      <c r="K1965" s="2" t="s">
        <v>6</v>
      </c>
      <c r="M1965" s="2"/>
    </row>
    <row r="1966" spans="1:13">
      <c r="A1966" t="s">
        <v>28</v>
      </c>
      <c r="B1966">
        <f ca="1">IF(OR(changes[[#This Row],[Type]]="Checklist",changes[[#This Row],[Type]]="checklist-flat"),1+IF(changes[[#This Row],[Type of change]] = "Edit",COUNTIFS($I$4:changes[[#This Row],[Name]],changes[[#This Row],[Name]], $E$4:changes[[#This Row],[Type of change]], "Edit")),B1965)</f>
        <v>1</v>
      </c>
      <c r="C1966" s="16">
        <v>44785</v>
      </c>
      <c r="D1966" s="1" t="s">
        <v>2393</v>
      </c>
      <c r="E1966" t="s">
        <v>27</v>
      </c>
      <c r="F1966" s="10" t="s">
        <v>918</v>
      </c>
      <c r="G1966" t="s">
        <v>1049</v>
      </c>
      <c r="H1966" t="s">
        <v>55</v>
      </c>
      <c r="I1966" t="s">
        <v>1060</v>
      </c>
      <c r="K1966" s="2" t="s">
        <v>6</v>
      </c>
      <c r="M1966" s="2"/>
    </row>
    <row r="1967" spans="1:13">
      <c r="A1967" t="s">
        <v>28</v>
      </c>
      <c r="B1967">
        <f ca="1">IF(OR(changes[[#This Row],[Type]]="Checklist",changes[[#This Row],[Type]]="checklist-flat"),1+IF(changes[[#This Row],[Type of change]] = "Edit",COUNTIFS($I$4:changes[[#This Row],[Name]],changes[[#This Row],[Name]], $E$4:changes[[#This Row],[Type of change]], "Edit")),B1966)</f>
        <v>1</v>
      </c>
      <c r="C1967" s="16">
        <v>44785</v>
      </c>
      <c r="D1967" s="1" t="s">
        <v>2393</v>
      </c>
      <c r="E1967" t="s">
        <v>27</v>
      </c>
      <c r="F1967" s="10" t="s">
        <v>918</v>
      </c>
      <c r="G1967" t="s">
        <v>1049</v>
      </c>
      <c r="H1967" t="s">
        <v>951</v>
      </c>
      <c r="I1967" t="s">
        <v>1061</v>
      </c>
      <c r="K1967" s="2" t="s">
        <v>6</v>
      </c>
      <c r="M1967" s="2"/>
    </row>
    <row r="1968" spans="1:13">
      <c r="A1968" t="s">
        <v>28</v>
      </c>
      <c r="B1968">
        <f ca="1">IF(OR(changes[[#This Row],[Type]]="Checklist",changes[[#This Row],[Type]]="checklist-flat"),1+IF(changes[[#This Row],[Type of change]] = "Edit",COUNTIFS($I$4:changes[[#This Row],[Name]],changes[[#This Row],[Name]], $E$4:changes[[#This Row],[Type of change]], "Edit")),B1967)</f>
        <v>1</v>
      </c>
      <c r="C1968" s="16">
        <v>44785</v>
      </c>
      <c r="D1968" s="1" t="s">
        <v>2393</v>
      </c>
      <c r="E1968" t="s">
        <v>27</v>
      </c>
      <c r="F1968" s="10" t="s">
        <v>918</v>
      </c>
      <c r="G1968" t="s">
        <v>1049</v>
      </c>
      <c r="H1968" t="s">
        <v>951</v>
      </c>
      <c r="I1968" t="s">
        <v>1062</v>
      </c>
      <c r="J1968" s="22"/>
      <c r="K1968" s="2" t="s">
        <v>6</v>
      </c>
      <c r="M1968" s="2"/>
    </row>
    <row r="1969" spans="1:13">
      <c r="A1969" t="s">
        <v>28</v>
      </c>
      <c r="B1969">
        <f ca="1">IF(OR(changes[[#This Row],[Type]]="Checklist",changes[[#This Row],[Type]]="checklist-flat"),1+IF(changes[[#This Row],[Type of change]] = "Edit",COUNTIFS($I$4:changes[[#This Row],[Name]],changes[[#This Row],[Name]], $E$4:changes[[#This Row],[Type of change]], "Edit")),B1968)</f>
        <v>1</v>
      </c>
      <c r="C1969" s="16">
        <v>44785</v>
      </c>
      <c r="D1969" s="1" t="s">
        <v>2393</v>
      </c>
      <c r="E1969" t="s">
        <v>27</v>
      </c>
      <c r="F1969" s="10" t="s">
        <v>918</v>
      </c>
      <c r="G1969" t="s">
        <v>1049</v>
      </c>
      <c r="H1969" t="s">
        <v>951</v>
      </c>
      <c r="I1969" t="s">
        <v>1063</v>
      </c>
      <c r="J1969" s="22"/>
      <c r="K1969" s="2" t="s">
        <v>6</v>
      </c>
      <c r="M1969" s="2"/>
    </row>
    <row r="1970" spans="1:13">
      <c r="A1970" t="s">
        <v>28</v>
      </c>
      <c r="B1970">
        <f ca="1">IF(OR(changes[[#This Row],[Type]]="Checklist",changes[[#This Row],[Type]]="checklist-flat"),1+IF(changes[[#This Row],[Type of change]] = "Edit",COUNTIFS($I$4:changes[[#This Row],[Name]],changes[[#This Row],[Name]], $E$4:changes[[#This Row],[Type of change]], "Edit")),B1969)</f>
        <v>1</v>
      </c>
      <c r="C1970" s="16">
        <v>44785</v>
      </c>
      <c r="D1970" s="1" t="s">
        <v>2393</v>
      </c>
      <c r="E1970" t="s">
        <v>27</v>
      </c>
      <c r="F1970" s="10" t="s">
        <v>918</v>
      </c>
      <c r="G1970" t="s">
        <v>1049</v>
      </c>
      <c r="H1970" t="s">
        <v>951</v>
      </c>
      <c r="I1970" t="s">
        <v>1064</v>
      </c>
      <c r="J1970" s="22"/>
      <c r="K1970" s="2" t="s">
        <v>6</v>
      </c>
      <c r="M1970" s="2"/>
    </row>
    <row r="1971" spans="1:13">
      <c r="A1971" t="s">
        <v>28</v>
      </c>
      <c r="B1971">
        <f ca="1">IF(OR(changes[[#This Row],[Type]]="Checklist",changes[[#This Row],[Type]]="checklist-flat"),1+IF(changes[[#This Row],[Type of change]] = "Edit",COUNTIFS($I$4:changes[[#This Row],[Name]],changes[[#This Row],[Name]], $E$4:changes[[#This Row],[Type of change]], "Edit")),B1970)</f>
        <v>1</v>
      </c>
      <c r="C1971" s="16">
        <v>44785</v>
      </c>
      <c r="D1971" s="1" t="s">
        <v>2393</v>
      </c>
      <c r="E1971" t="s">
        <v>27</v>
      </c>
      <c r="F1971" s="10" t="s">
        <v>918</v>
      </c>
      <c r="G1971" t="s">
        <v>1049</v>
      </c>
      <c r="H1971" t="s">
        <v>951</v>
      </c>
      <c r="I1971" t="s">
        <v>1065</v>
      </c>
      <c r="J1971" s="22"/>
      <c r="K1971" s="2" t="s">
        <v>6</v>
      </c>
      <c r="M1971" s="2"/>
    </row>
    <row r="1972" spans="1:13">
      <c r="A1972" t="s">
        <v>28</v>
      </c>
      <c r="B1972">
        <f ca="1">IF(OR(changes[[#This Row],[Type]]="Checklist",changes[[#This Row],[Type]]="checklist-flat"),1+IF(changes[[#This Row],[Type of change]] = "Edit",COUNTIFS($I$4:changes[[#This Row],[Name]],changes[[#This Row],[Name]], $E$4:changes[[#This Row],[Type of change]], "Edit")),B1971)</f>
        <v>1</v>
      </c>
      <c r="C1972" s="16">
        <v>44785</v>
      </c>
      <c r="D1972" s="1" t="s">
        <v>2393</v>
      </c>
      <c r="E1972" t="s">
        <v>27</v>
      </c>
      <c r="F1972" s="10" t="s">
        <v>918</v>
      </c>
      <c r="G1972" t="s">
        <v>1049</v>
      </c>
      <c r="H1972" t="s">
        <v>55</v>
      </c>
      <c r="I1972" t="s">
        <v>1066</v>
      </c>
      <c r="K1972" s="2" t="s">
        <v>6</v>
      </c>
      <c r="M1972" s="2"/>
    </row>
    <row r="1973" spans="1:13" ht="15.75">
      <c r="A1973" t="s">
        <v>28</v>
      </c>
      <c r="B1973">
        <f ca="1">IF(OR(changes[[#This Row],[Type]]="Checklist",changes[[#This Row],[Type]]="checklist-flat"),1+IF(changes[[#This Row],[Type of change]] = "Edit",COUNTIFS($I$4:changes[[#This Row],[Name]],changes[[#This Row],[Name]], $E$4:changes[[#This Row],[Type of change]], "Edit")),B1972)</f>
        <v>3</v>
      </c>
      <c r="C1973" s="16">
        <v>44799</v>
      </c>
      <c r="D1973" s="1" t="s">
        <v>2393</v>
      </c>
      <c r="E1973" t="s">
        <v>15</v>
      </c>
      <c r="F1973" s="10" t="s">
        <v>9</v>
      </c>
      <c r="G1973" s="21" t="s">
        <v>1853</v>
      </c>
      <c r="H1973" s="19" t="s">
        <v>478</v>
      </c>
      <c r="I1973" s="21" t="s">
        <v>1853</v>
      </c>
      <c r="J1973" s="22"/>
      <c r="K1973" s="2" t="s">
        <v>6</v>
      </c>
      <c r="L1973" t="s">
        <v>2839</v>
      </c>
      <c r="M1973" s="2" t="s">
        <v>2840</v>
      </c>
    </row>
    <row r="1974" spans="1:13" ht="15.75">
      <c r="A1974" t="s">
        <v>28</v>
      </c>
      <c r="B1974">
        <f ca="1">IF(OR(changes[[#This Row],[Type]]="Checklist",changes[[#This Row],[Type]]="checklist-flat"),1+IF(changes[[#This Row],[Type of change]] = "Edit",COUNTIFS($I$4:changes[[#This Row],[Name]],changes[[#This Row],[Name]], $E$4:changes[[#This Row],[Type of change]], "Edit")),B1973)</f>
        <v>3</v>
      </c>
      <c r="C1974" s="16">
        <v>44799</v>
      </c>
      <c r="D1974" s="1" t="s">
        <v>2393</v>
      </c>
      <c r="E1974" t="s">
        <v>15</v>
      </c>
      <c r="F1974" s="10" t="s">
        <v>9</v>
      </c>
      <c r="G1974" s="21" t="s">
        <v>1853</v>
      </c>
      <c r="H1974" s="19" t="s">
        <v>479</v>
      </c>
      <c r="I1974" s="21" t="s">
        <v>1652</v>
      </c>
      <c r="J1974" s="22"/>
      <c r="K1974" s="2" t="s">
        <v>6</v>
      </c>
      <c r="L1974" t="s">
        <v>2839</v>
      </c>
      <c r="M1974" s="2"/>
    </row>
    <row r="1975" spans="1:13" ht="15.75">
      <c r="A1975" t="s">
        <v>28</v>
      </c>
      <c r="B1975">
        <f ca="1">IF(OR(changes[[#This Row],[Type]]="Checklist",changes[[#This Row],[Type]]="checklist-flat"),1+IF(changes[[#This Row],[Type of change]] = "Edit",COUNTIFS($I$4:changes[[#This Row],[Name]],changes[[#This Row],[Name]], $E$4:changes[[#This Row],[Type of change]], "Edit")),B1974)</f>
        <v>3</v>
      </c>
      <c r="C1975" s="16">
        <v>44799</v>
      </c>
      <c r="D1975" s="1" t="s">
        <v>2393</v>
      </c>
      <c r="E1975" t="s">
        <v>15</v>
      </c>
      <c r="F1975" s="10" t="s">
        <v>9</v>
      </c>
      <c r="G1975" s="21" t="s">
        <v>1853</v>
      </c>
      <c r="H1975" s="19" t="s">
        <v>55</v>
      </c>
      <c r="I1975" s="21" t="s">
        <v>1855</v>
      </c>
      <c r="J1975" s="22"/>
      <c r="K1975" s="2" t="s">
        <v>6</v>
      </c>
      <c r="L1975" t="s">
        <v>2839</v>
      </c>
      <c r="M1975" s="2"/>
    </row>
    <row r="1976" spans="1:13" ht="15.75">
      <c r="A1976" t="s">
        <v>28</v>
      </c>
      <c r="B1976">
        <f ca="1">IF(OR(changes[[#This Row],[Type]]="Checklist",changes[[#This Row],[Type]]="checklist-flat"),1+IF(changes[[#This Row],[Type of change]] = "Edit",COUNTIFS($I$4:changes[[#This Row],[Name]],changes[[#This Row],[Name]], $E$4:changes[[#This Row],[Type of change]], "Edit")),B1975)</f>
        <v>3</v>
      </c>
      <c r="C1976" s="16">
        <v>44799</v>
      </c>
      <c r="D1976" s="1" t="s">
        <v>2393</v>
      </c>
      <c r="E1976" t="s">
        <v>15</v>
      </c>
      <c r="F1976" s="10" t="s">
        <v>9</v>
      </c>
      <c r="G1976" s="21" t="s">
        <v>1853</v>
      </c>
      <c r="H1976" s="2" t="s">
        <v>55</v>
      </c>
      <c r="I1976" s="18" t="s">
        <v>1653</v>
      </c>
      <c r="J1976" s="23"/>
      <c r="K1976" s="2" t="s">
        <v>6</v>
      </c>
      <c r="L1976" t="s">
        <v>2839</v>
      </c>
      <c r="M1976" s="2"/>
    </row>
    <row r="1977" spans="1:13" ht="15.75">
      <c r="A1977" t="s">
        <v>28</v>
      </c>
      <c r="B1977">
        <f ca="1">IF(OR(changes[[#This Row],[Type]]="Checklist",changes[[#This Row],[Type]]="checklist-flat"),1+IF(changes[[#This Row],[Type of change]] = "Edit",COUNTIFS($I$4:changes[[#This Row],[Name]],changes[[#This Row],[Name]], $E$4:changes[[#This Row],[Type of change]], "Edit")),B1976)</f>
        <v>3</v>
      </c>
      <c r="C1977" s="16">
        <v>44799</v>
      </c>
      <c r="D1977" s="1" t="s">
        <v>2393</v>
      </c>
      <c r="E1977" t="s">
        <v>15</v>
      </c>
      <c r="F1977" s="10" t="s">
        <v>9</v>
      </c>
      <c r="G1977" s="21" t="s">
        <v>1853</v>
      </c>
      <c r="H1977" s="2" t="s">
        <v>55</v>
      </c>
      <c r="I1977" s="18" t="s">
        <v>1856</v>
      </c>
      <c r="J1977" s="23"/>
      <c r="K1977" s="2" t="s">
        <v>6</v>
      </c>
      <c r="L1977" t="s">
        <v>2839</v>
      </c>
      <c r="M1977" s="2"/>
    </row>
    <row r="1978" spans="1:13" ht="15.75">
      <c r="A1978" t="s">
        <v>28</v>
      </c>
      <c r="B1978">
        <f ca="1">IF(OR(changes[[#This Row],[Type]]="Checklist",changes[[#This Row],[Type]]="checklist-flat"),1+IF(changes[[#This Row],[Type of change]] = "Edit",COUNTIFS($I$4:changes[[#This Row],[Name]],changes[[#This Row],[Name]], $E$4:changes[[#This Row],[Type of change]], "Edit")),B1977)</f>
        <v>3</v>
      </c>
      <c r="C1978" s="16">
        <v>44799</v>
      </c>
      <c r="D1978" s="1" t="s">
        <v>2393</v>
      </c>
      <c r="E1978" t="s">
        <v>15</v>
      </c>
      <c r="F1978" s="10" t="s">
        <v>9</v>
      </c>
      <c r="G1978" s="21" t="s">
        <v>1853</v>
      </c>
      <c r="H1978" s="2" t="s">
        <v>55</v>
      </c>
      <c r="I1978" s="18" t="s">
        <v>1857</v>
      </c>
      <c r="J1978" s="23"/>
      <c r="K1978" s="2" t="s">
        <v>6</v>
      </c>
      <c r="L1978" t="s">
        <v>2839</v>
      </c>
      <c r="M1978" s="2"/>
    </row>
    <row r="1979" spans="1:13" ht="15.75">
      <c r="A1979" t="s">
        <v>28</v>
      </c>
      <c r="B1979">
        <f ca="1">IF(OR(changes[[#This Row],[Type]]="Checklist",changes[[#This Row],[Type]]="checklist-flat"),1+IF(changes[[#This Row],[Type of change]] = "Edit",COUNTIFS($I$4:changes[[#This Row],[Name]],changes[[#This Row],[Name]], $E$4:changes[[#This Row],[Type of change]], "Edit")),B1978)</f>
        <v>3</v>
      </c>
      <c r="C1979" s="16">
        <v>44799</v>
      </c>
      <c r="D1979" s="1" t="s">
        <v>2393</v>
      </c>
      <c r="E1979" t="s">
        <v>15</v>
      </c>
      <c r="F1979" s="10" t="s">
        <v>9</v>
      </c>
      <c r="G1979" s="21" t="s">
        <v>1853</v>
      </c>
      <c r="H1979" s="2" t="s">
        <v>55</v>
      </c>
      <c r="I1979" s="18" t="s">
        <v>2841</v>
      </c>
      <c r="J1979" s="23"/>
      <c r="K1979" s="2" t="s">
        <v>6</v>
      </c>
      <c r="L1979" t="s">
        <v>2839</v>
      </c>
      <c r="M1979" s="2"/>
    </row>
    <row r="1980" spans="1:13" ht="15.75">
      <c r="A1980" t="s">
        <v>28</v>
      </c>
      <c r="B1980">
        <f ca="1">IF(OR(changes[[#This Row],[Type]]="Checklist",changes[[#This Row],[Type]]="checklist-flat"),1+IF(changes[[#This Row],[Type of change]] = "Edit",COUNTIFS($I$4:changes[[#This Row],[Name]],changes[[#This Row],[Name]], $E$4:changes[[#This Row],[Type of change]], "Edit")),B1979)</f>
        <v>3</v>
      </c>
      <c r="C1980" s="16">
        <v>44799</v>
      </c>
      <c r="D1980" s="1" t="s">
        <v>2393</v>
      </c>
      <c r="E1980" t="s">
        <v>15</v>
      </c>
      <c r="F1980" s="10" t="s">
        <v>9</v>
      </c>
      <c r="G1980" s="21" t="s">
        <v>1853</v>
      </c>
      <c r="H1980" s="2" t="s">
        <v>55</v>
      </c>
      <c r="I1980" s="18" t="s">
        <v>1859</v>
      </c>
      <c r="J1980" s="23"/>
      <c r="K1980" s="2" t="s">
        <v>6</v>
      </c>
      <c r="L1980" t="s">
        <v>2839</v>
      </c>
      <c r="M1980" s="2"/>
    </row>
    <row r="1981" spans="1:13" ht="15.75">
      <c r="A1981" t="s">
        <v>28</v>
      </c>
      <c r="B1981">
        <f ca="1">IF(OR(changes[[#This Row],[Type]]="Checklist",changes[[#This Row],[Type]]="checklist-flat"),1+IF(changes[[#This Row],[Type of change]] = "Edit",COUNTIFS($I$4:changes[[#This Row],[Name]],changes[[#This Row],[Name]], $E$4:changes[[#This Row],[Type of change]], "Edit")),B1980)</f>
        <v>3</v>
      </c>
      <c r="C1981" s="16">
        <v>44799</v>
      </c>
      <c r="D1981" s="1" t="s">
        <v>2393</v>
      </c>
      <c r="E1981" t="s">
        <v>15</v>
      </c>
      <c r="F1981" s="10" t="s">
        <v>9</v>
      </c>
      <c r="G1981" s="21" t="s">
        <v>1853</v>
      </c>
      <c r="H1981" s="2" t="s">
        <v>479</v>
      </c>
      <c r="I1981" s="18" t="s">
        <v>1860</v>
      </c>
      <c r="J1981" s="23"/>
      <c r="K1981" s="2" t="s">
        <v>6</v>
      </c>
      <c r="L1981" t="s">
        <v>2839</v>
      </c>
      <c r="M1981" s="2"/>
    </row>
    <row r="1982" spans="1:13" ht="15.75">
      <c r="A1982" t="s">
        <v>28</v>
      </c>
      <c r="B1982">
        <f ca="1">IF(OR(changes[[#This Row],[Type]]="Checklist",changes[[#This Row],[Type]]="checklist-flat"),1+IF(changes[[#This Row],[Type of change]] = "Edit",COUNTIFS($I$4:changes[[#This Row],[Name]],changes[[#This Row],[Name]], $E$4:changes[[#This Row],[Type of change]], "Edit")),B1981)</f>
        <v>3</v>
      </c>
      <c r="C1982" s="16">
        <v>44799</v>
      </c>
      <c r="D1982" s="1" t="s">
        <v>2393</v>
      </c>
      <c r="E1982" t="s">
        <v>15</v>
      </c>
      <c r="F1982" s="10" t="s">
        <v>9</v>
      </c>
      <c r="G1982" s="21" t="s">
        <v>1853</v>
      </c>
      <c r="H1982" s="2" t="s">
        <v>55</v>
      </c>
      <c r="I1982" s="18" t="s">
        <v>1655</v>
      </c>
      <c r="J1982" s="23"/>
      <c r="K1982" s="2" t="s">
        <v>6</v>
      </c>
      <c r="L1982" t="s">
        <v>2839</v>
      </c>
      <c r="M1982" s="2"/>
    </row>
    <row r="1983" spans="1:13" ht="15.75">
      <c r="A1983" t="s">
        <v>28</v>
      </c>
      <c r="B1983">
        <f ca="1">IF(OR(changes[[#This Row],[Type]]="Checklist",changes[[#This Row],[Type]]="checklist-flat"),1+IF(changes[[#This Row],[Type of change]] = "Edit",COUNTIFS($I$4:changes[[#This Row],[Name]],changes[[#This Row],[Name]], $E$4:changes[[#This Row],[Type of change]], "Edit")),B1982)</f>
        <v>3</v>
      </c>
      <c r="C1983" s="16">
        <v>44799</v>
      </c>
      <c r="D1983" s="1" t="s">
        <v>2393</v>
      </c>
      <c r="E1983" t="s">
        <v>15</v>
      </c>
      <c r="F1983" s="10" t="s">
        <v>9</v>
      </c>
      <c r="G1983" s="21" t="s">
        <v>1853</v>
      </c>
      <c r="H1983" s="2" t="s">
        <v>55</v>
      </c>
      <c r="I1983" s="18" t="s">
        <v>1861</v>
      </c>
      <c r="J1983" s="23"/>
      <c r="K1983" s="2" t="s">
        <v>6</v>
      </c>
      <c r="L1983" t="s">
        <v>2839</v>
      </c>
      <c r="M1983" s="2"/>
    </row>
    <row r="1984" spans="1:13" ht="15.75">
      <c r="A1984" t="s">
        <v>28</v>
      </c>
      <c r="B1984">
        <f ca="1">IF(OR(changes[[#This Row],[Type]]="Checklist",changes[[#This Row],[Type]]="checklist-flat"),1+IF(changes[[#This Row],[Type of change]] = "Edit",COUNTIFS($I$4:changes[[#This Row],[Name]],changes[[#This Row],[Name]], $E$4:changes[[#This Row],[Type of change]], "Edit")),B1983)</f>
        <v>3</v>
      </c>
      <c r="C1984" s="16">
        <v>44799</v>
      </c>
      <c r="D1984" s="1" t="s">
        <v>2393</v>
      </c>
      <c r="E1984" t="s">
        <v>15</v>
      </c>
      <c r="F1984" s="10" t="s">
        <v>9</v>
      </c>
      <c r="G1984" s="21" t="s">
        <v>1853</v>
      </c>
      <c r="H1984" s="2" t="s">
        <v>55</v>
      </c>
      <c r="I1984" s="18" t="s">
        <v>1862</v>
      </c>
      <c r="J1984" s="23"/>
      <c r="K1984" s="2" t="s">
        <v>6</v>
      </c>
      <c r="L1984" t="s">
        <v>2839</v>
      </c>
      <c r="M1984" s="2"/>
    </row>
    <row r="1985" spans="1:13" ht="15.75">
      <c r="A1985" t="s">
        <v>28</v>
      </c>
      <c r="B1985">
        <f ca="1">IF(OR(changes[[#This Row],[Type]]="Checklist",changes[[#This Row],[Type]]="checklist-flat"),1+IF(changes[[#This Row],[Type of change]] = "Edit",COUNTIFS($I$4:changes[[#This Row],[Name]],changes[[#This Row],[Name]], $E$4:changes[[#This Row],[Type of change]], "Edit")),B1984)</f>
        <v>3</v>
      </c>
      <c r="C1985" s="16">
        <v>44799</v>
      </c>
      <c r="D1985" s="1" t="s">
        <v>2393</v>
      </c>
      <c r="E1985" t="s">
        <v>15</v>
      </c>
      <c r="F1985" s="10" t="s">
        <v>9</v>
      </c>
      <c r="G1985" s="21" t="s">
        <v>1853</v>
      </c>
      <c r="H1985" s="2" t="s">
        <v>55</v>
      </c>
      <c r="I1985" s="18" t="s">
        <v>1863</v>
      </c>
      <c r="J1985" s="23"/>
      <c r="K1985" s="2" t="s">
        <v>6</v>
      </c>
      <c r="L1985" t="s">
        <v>2839</v>
      </c>
      <c r="M1985" s="2"/>
    </row>
    <row r="1986" spans="1:13" ht="15.75">
      <c r="A1986" t="s">
        <v>28</v>
      </c>
      <c r="B1986">
        <f ca="1">IF(OR(changes[[#This Row],[Type]]="Checklist",changes[[#This Row],[Type]]="checklist-flat"),1+IF(changes[[#This Row],[Type of change]] = "Edit",COUNTIFS($I$4:changes[[#This Row],[Name]],changes[[#This Row],[Name]], $E$4:changes[[#This Row],[Type of change]], "Edit")),B1985)</f>
        <v>3</v>
      </c>
      <c r="C1986" s="16">
        <v>44799</v>
      </c>
      <c r="D1986" s="1" t="s">
        <v>2393</v>
      </c>
      <c r="E1986" t="s">
        <v>15</v>
      </c>
      <c r="F1986" s="10" t="s">
        <v>9</v>
      </c>
      <c r="G1986" s="21" t="s">
        <v>1853</v>
      </c>
      <c r="H1986" s="2" t="s">
        <v>479</v>
      </c>
      <c r="I1986" s="18" t="s">
        <v>1664</v>
      </c>
      <c r="J1986" s="23"/>
      <c r="K1986" s="2" t="s">
        <v>6</v>
      </c>
      <c r="L1986" t="s">
        <v>2839</v>
      </c>
      <c r="M1986" s="2"/>
    </row>
    <row r="1987" spans="1:13" ht="15.75">
      <c r="A1987" t="s">
        <v>28</v>
      </c>
      <c r="B1987">
        <f ca="1">IF(OR(changes[[#This Row],[Type]]="Checklist",changes[[#This Row],[Type]]="checklist-flat"),1+IF(changes[[#This Row],[Type of change]] = "Edit",COUNTIFS($I$4:changes[[#This Row],[Name]],changes[[#This Row],[Name]], $E$4:changes[[#This Row],[Type of change]], "Edit")),B1986)</f>
        <v>3</v>
      </c>
      <c r="C1987" s="16">
        <v>44799</v>
      </c>
      <c r="D1987" s="1" t="s">
        <v>2393</v>
      </c>
      <c r="E1987" t="s">
        <v>15</v>
      </c>
      <c r="F1987" s="10" t="s">
        <v>9</v>
      </c>
      <c r="G1987" s="21" t="s">
        <v>1853</v>
      </c>
      <c r="H1987" s="2" t="s">
        <v>55</v>
      </c>
      <c r="I1987" s="18" t="s">
        <v>1864</v>
      </c>
      <c r="J1987" s="23"/>
      <c r="K1987" s="2" t="s">
        <v>6</v>
      </c>
      <c r="L1987" t="s">
        <v>2839</v>
      </c>
      <c r="M1987" s="2"/>
    </row>
    <row r="1988" spans="1:13" ht="15.75">
      <c r="A1988" t="s">
        <v>28</v>
      </c>
      <c r="B1988">
        <f ca="1">IF(OR(changes[[#This Row],[Type]]="Checklist",changes[[#This Row],[Type]]="checklist-flat"),1+IF(changes[[#This Row],[Type of change]] = "Edit",COUNTIFS($I$4:changes[[#This Row],[Name]],changes[[#This Row],[Name]], $E$4:changes[[#This Row],[Type of change]], "Edit")),B1987)</f>
        <v>3</v>
      </c>
      <c r="C1988" s="16">
        <v>44799</v>
      </c>
      <c r="D1988" s="1" t="s">
        <v>2393</v>
      </c>
      <c r="E1988" t="s">
        <v>15</v>
      </c>
      <c r="F1988" s="10" t="s">
        <v>9</v>
      </c>
      <c r="G1988" s="21" t="s">
        <v>1853</v>
      </c>
      <c r="H1988" s="2" t="s">
        <v>55</v>
      </c>
      <c r="I1988" s="18" t="s">
        <v>1865</v>
      </c>
      <c r="J1988" s="23"/>
      <c r="K1988" s="2" t="s">
        <v>6</v>
      </c>
      <c r="L1988" t="s">
        <v>2839</v>
      </c>
      <c r="M1988" s="2"/>
    </row>
    <row r="1989" spans="1:13" ht="15.75">
      <c r="A1989" t="s">
        <v>28</v>
      </c>
      <c r="B1989">
        <f ca="1">IF(OR(changes[[#This Row],[Type]]="Checklist",changes[[#This Row],[Type]]="checklist-flat"),1+IF(changes[[#This Row],[Type of change]] = "Edit",COUNTIFS($I$4:changes[[#This Row],[Name]],changes[[#This Row],[Name]], $E$4:changes[[#This Row],[Type of change]], "Edit")),B1988)</f>
        <v>3</v>
      </c>
      <c r="C1989" s="16">
        <v>44799</v>
      </c>
      <c r="D1989" s="1" t="s">
        <v>2393</v>
      </c>
      <c r="E1989" t="s">
        <v>15</v>
      </c>
      <c r="F1989" s="10" t="s">
        <v>9</v>
      </c>
      <c r="G1989" s="21" t="s">
        <v>1853</v>
      </c>
      <c r="H1989" s="2" t="s">
        <v>55</v>
      </c>
      <c r="I1989" s="18" t="s">
        <v>2842</v>
      </c>
      <c r="J1989" s="23"/>
      <c r="K1989" s="2" t="s">
        <v>6</v>
      </c>
      <c r="L1989" t="s">
        <v>2839</v>
      </c>
      <c r="M1989" s="2"/>
    </row>
    <row r="1990" spans="1:13" ht="15.75">
      <c r="A1990" t="s">
        <v>28</v>
      </c>
      <c r="B1990">
        <f ca="1">IF(OR(changes[[#This Row],[Type]]="Checklist",changes[[#This Row],[Type]]="checklist-flat"),1+IF(changes[[#This Row],[Type of change]] = "Edit",COUNTIFS($I$4:changes[[#This Row],[Name]],changes[[#This Row],[Name]], $E$4:changes[[#This Row],[Type of change]], "Edit")),B1989)</f>
        <v>3</v>
      </c>
      <c r="C1990" s="16">
        <v>44799</v>
      </c>
      <c r="D1990" s="1" t="s">
        <v>2393</v>
      </c>
      <c r="E1990" t="s">
        <v>15</v>
      </c>
      <c r="F1990" s="10" t="s">
        <v>9</v>
      </c>
      <c r="G1990" s="21" t="s">
        <v>1853</v>
      </c>
      <c r="H1990" s="2" t="s">
        <v>64</v>
      </c>
      <c r="I1990" s="18" t="s">
        <v>94</v>
      </c>
      <c r="J1990" s="23"/>
      <c r="K1990" s="2" t="s">
        <v>6</v>
      </c>
      <c r="L1990" t="s">
        <v>2839</v>
      </c>
      <c r="M1990" s="2"/>
    </row>
    <row r="1991" spans="1:13" ht="15.75">
      <c r="A1991" t="s">
        <v>28</v>
      </c>
      <c r="B1991">
        <f ca="1">IF(OR(changes[[#This Row],[Type]]="Checklist",changes[[#This Row],[Type]]="checklist-flat"),1+IF(changes[[#This Row],[Type of change]] = "Edit",COUNTIFS($I$4:changes[[#This Row],[Name]],changes[[#This Row],[Name]], $E$4:changes[[#This Row],[Type of change]], "Edit")),B1990)</f>
        <v>3</v>
      </c>
      <c r="C1991" s="16">
        <v>44799</v>
      </c>
      <c r="D1991" s="1" t="s">
        <v>2393</v>
      </c>
      <c r="E1991" t="s">
        <v>15</v>
      </c>
      <c r="F1991" s="10" t="s">
        <v>9</v>
      </c>
      <c r="G1991" s="21" t="s">
        <v>1853</v>
      </c>
      <c r="H1991" s="2" t="s">
        <v>479</v>
      </c>
      <c r="I1991" s="18" t="s">
        <v>1668</v>
      </c>
      <c r="J1991" s="23"/>
      <c r="K1991" s="2" t="s">
        <v>6</v>
      </c>
      <c r="L1991" t="s">
        <v>2839</v>
      </c>
      <c r="M1991" s="2"/>
    </row>
    <row r="1992" spans="1:13" ht="15.75">
      <c r="A1992" t="s">
        <v>28</v>
      </c>
      <c r="B1992">
        <f ca="1">IF(OR(changes[[#This Row],[Type]]="Checklist",changes[[#This Row],[Type]]="checklist-flat"),1+IF(changes[[#This Row],[Type of change]] = "Edit",COUNTIFS($I$4:changes[[#This Row],[Name]],changes[[#This Row],[Name]], $E$4:changes[[#This Row],[Type of change]], "Edit")),B1991)</f>
        <v>3</v>
      </c>
      <c r="C1992" s="16">
        <v>44799</v>
      </c>
      <c r="D1992" s="1" t="s">
        <v>2393</v>
      </c>
      <c r="E1992" t="s">
        <v>15</v>
      </c>
      <c r="F1992" s="10" t="s">
        <v>9</v>
      </c>
      <c r="G1992" s="21" t="s">
        <v>1853</v>
      </c>
      <c r="H1992" s="2" t="s">
        <v>55</v>
      </c>
      <c r="I1992" s="18" t="s">
        <v>1868</v>
      </c>
      <c r="J1992" s="23"/>
      <c r="K1992" s="2" t="s">
        <v>6</v>
      </c>
      <c r="L1992" t="s">
        <v>2839</v>
      </c>
      <c r="M1992" s="2"/>
    </row>
    <row r="1993" spans="1:13" ht="15.75">
      <c r="A1993" t="s">
        <v>28</v>
      </c>
      <c r="B1993">
        <f ca="1">IF(OR(changes[[#This Row],[Type]]="Checklist",changes[[#This Row],[Type]]="checklist-flat"),1+IF(changes[[#This Row],[Type of change]] = "Edit",COUNTIFS($I$4:changes[[#This Row],[Name]],changes[[#This Row],[Name]], $E$4:changes[[#This Row],[Type of change]], "Edit")),B1992)</f>
        <v>3</v>
      </c>
      <c r="C1993" s="16">
        <v>44799</v>
      </c>
      <c r="D1993" s="1" t="s">
        <v>2393</v>
      </c>
      <c r="E1993" t="s">
        <v>15</v>
      </c>
      <c r="F1993" s="10" t="s">
        <v>9</v>
      </c>
      <c r="G1993" s="21" t="s">
        <v>1853</v>
      </c>
      <c r="H1993" s="2" t="s">
        <v>55</v>
      </c>
      <c r="I1993" s="18" t="s">
        <v>1869</v>
      </c>
      <c r="J1993" s="23"/>
      <c r="K1993" s="2" t="s">
        <v>6</v>
      </c>
      <c r="L1993" t="s">
        <v>2839</v>
      </c>
      <c r="M1993" s="2"/>
    </row>
    <row r="1994" spans="1:13" ht="15.75">
      <c r="A1994" t="s">
        <v>28</v>
      </c>
      <c r="B1994">
        <f ca="1">IF(OR(changes[[#This Row],[Type]]="Checklist",changes[[#This Row],[Type]]="checklist-flat"),1+IF(changes[[#This Row],[Type of change]] = "Edit",COUNTIFS($I$4:changes[[#This Row],[Name]],changes[[#This Row],[Name]], $E$4:changes[[#This Row],[Type of change]], "Edit")),B1993)</f>
        <v>3</v>
      </c>
      <c r="C1994" s="16">
        <v>44799</v>
      </c>
      <c r="D1994" s="1" t="s">
        <v>2393</v>
      </c>
      <c r="E1994" t="s">
        <v>15</v>
      </c>
      <c r="F1994" s="10" t="s">
        <v>9</v>
      </c>
      <c r="G1994" s="21" t="s">
        <v>1853</v>
      </c>
      <c r="H1994" s="2" t="s">
        <v>55</v>
      </c>
      <c r="I1994" s="18" t="s">
        <v>1870</v>
      </c>
      <c r="J1994" s="23"/>
      <c r="K1994" s="2" t="s">
        <v>6</v>
      </c>
      <c r="L1994" t="s">
        <v>2839</v>
      </c>
      <c r="M1994" s="2"/>
    </row>
    <row r="1995" spans="1:13" ht="15.75">
      <c r="A1995" t="s">
        <v>28</v>
      </c>
      <c r="B1995">
        <f ca="1">IF(OR(changes[[#This Row],[Type]]="Checklist",changes[[#This Row],[Type]]="checklist-flat"),1+IF(changes[[#This Row],[Type of change]] = "Edit",COUNTIFS($I$4:changes[[#This Row],[Name]],changes[[#This Row],[Name]], $E$4:changes[[#This Row],[Type of change]], "Edit")),B1994)</f>
        <v>3</v>
      </c>
      <c r="C1995" s="16">
        <v>44799</v>
      </c>
      <c r="D1995" s="1" t="s">
        <v>2393</v>
      </c>
      <c r="E1995" t="s">
        <v>15</v>
      </c>
      <c r="F1995" s="10" t="s">
        <v>9</v>
      </c>
      <c r="G1995" s="21" t="s">
        <v>1853</v>
      </c>
      <c r="H1995" s="2" t="s">
        <v>55</v>
      </c>
      <c r="I1995" s="18" t="s">
        <v>1871</v>
      </c>
      <c r="J1995" s="23"/>
      <c r="K1995" s="2" t="s">
        <v>6</v>
      </c>
      <c r="L1995" t="s">
        <v>2839</v>
      </c>
      <c r="M1995" s="2"/>
    </row>
    <row r="1996" spans="1:13" ht="15.75">
      <c r="A1996" t="s">
        <v>28</v>
      </c>
      <c r="B1996">
        <f ca="1">IF(OR(changes[[#This Row],[Type]]="Checklist",changes[[#This Row],[Type]]="checklist-flat"),1+IF(changes[[#This Row],[Type of change]] = "Edit",COUNTIFS($I$4:changes[[#This Row],[Name]],changes[[#This Row],[Name]], $E$4:changes[[#This Row],[Type of change]], "Edit")),B1995)</f>
        <v>3</v>
      </c>
      <c r="C1996" s="16">
        <v>44799</v>
      </c>
      <c r="D1996" s="1" t="s">
        <v>2393</v>
      </c>
      <c r="E1996" t="s">
        <v>15</v>
      </c>
      <c r="F1996" s="10" t="s">
        <v>9</v>
      </c>
      <c r="G1996" s="21" t="s">
        <v>1853</v>
      </c>
      <c r="H1996" s="2" t="s">
        <v>55</v>
      </c>
      <c r="I1996" s="18" t="s">
        <v>1872</v>
      </c>
      <c r="J1996" s="23"/>
      <c r="K1996" s="2" t="s">
        <v>6</v>
      </c>
      <c r="L1996" t="s">
        <v>2839</v>
      </c>
      <c r="M1996" s="2"/>
    </row>
    <row r="1997" spans="1:13" ht="15.75">
      <c r="A1997" t="s">
        <v>28</v>
      </c>
      <c r="B1997">
        <f ca="1">IF(OR(changes[[#This Row],[Type]]="Checklist",changes[[#This Row],[Type]]="checklist-flat"),1+IF(changes[[#This Row],[Type of change]] = "Edit",COUNTIFS($I$4:changes[[#This Row],[Name]],changes[[#This Row],[Name]], $E$4:changes[[#This Row],[Type of change]], "Edit")),B1996)</f>
        <v>3</v>
      </c>
      <c r="C1997" s="16">
        <v>44799</v>
      </c>
      <c r="D1997" s="1" t="s">
        <v>2393</v>
      </c>
      <c r="E1997" t="s">
        <v>15</v>
      </c>
      <c r="F1997" s="10" t="s">
        <v>9</v>
      </c>
      <c r="G1997" s="21" t="s">
        <v>1853</v>
      </c>
      <c r="H1997" s="2" t="s">
        <v>55</v>
      </c>
      <c r="I1997" s="18" t="s">
        <v>1672</v>
      </c>
      <c r="J1997" s="23"/>
      <c r="K1997" s="2" t="s">
        <v>6</v>
      </c>
      <c r="L1997" t="s">
        <v>2839</v>
      </c>
      <c r="M1997" s="2"/>
    </row>
    <row r="1998" spans="1:13" ht="15.75">
      <c r="A1998" t="s">
        <v>28</v>
      </c>
      <c r="B1998">
        <f ca="1">IF(OR(changes[[#This Row],[Type]]="Checklist",changes[[#This Row],[Type]]="checklist-flat"),1+IF(changes[[#This Row],[Type of change]] = "Edit",COUNTIFS($I$4:changes[[#This Row],[Name]],changes[[#This Row],[Name]], $E$4:changes[[#This Row],[Type of change]], "Edit")),B1997)</f>
        <v>3</v>
      </c>
      <c r="C1998" s="16">
        <v>44799</v>
      </c>
      <c r="D1998" s="1" t="s">
        <v>2393</v>
      </c>
      <c r="E1998" t="s">
        <v>15</v>
      </c>
      <c r="F1998" s="10" t="s">
        <v>9</v>
      </c>
      <c r="G1998" s="21" t="s">
        <v>1853</v>
      </c>
      <c r="H1998" s="2" t="s">
        <v>55</v>
      </c>
      <c r="I1998" s="18" t="s">
        <v>1873</v>
      </c>
      <c r="J1998" s="23"/>
      <c r="K1998" s="2" t="s">
        <v>6</v>
      </c>
      <c r="L1998" t="s">
        <v>2839</v>
      </c>
      <c r="M1998" s="2"/>
    </row>
    <row r="1999" spans="1:13" ht="15.75">
      <c r="A1999" t="s">
        <v>28</v>
      </c>
      <c r="B1999">
        <f ca="1">IF(OR(changes[[#This Row],[Type]]="Checklist",changes[[#This Row],[Type]]="checklist-flat"),1+IF(changes[[#This Row],[Type of change]] = "Edit",COUNTIFS($I$4:changes[[#This Row],[Name]],changes[[#This Row],[Name]], $E$4:changes[[#This Row],[Type of change]], "Edit")),B1998)</f>
        <v>3</v>
      </c>
      <c r="C1999" s="16">
        <v>44799</v>
      </c>
      <c r="D1999" s="1" t="s">
        <v>2393</v>
      </c>
      <c r="E1999" t="s">
        <v>15</v>
      </c>
      <c r="F1999" s="10" t="s">
        <v>9</v>
      </c>
      <c r="G1999" s="21" t="s">
        <v>1853</v>
      </c>
      <c r="H1999" s="2" t="s">
        <v>55</v>
      </c>
      <c r="I1999" s="18" t="s">
        <v>2843</v>
      </c>
      <c r="J1999" s="23"/>
      <c r="K1999" s="2" t="s">
        <v>6</v>
      </c>
      <c r="L1999" t="s">
        <v>2839</v>
      </c>
      <c r="M1999" s="2"/>
    </row>
    <row r="2000" spans="1:13" ht="15.75">
      <c r="A2000" t="s">
        <v>28</v>
      </c>
      <c r="B2000">
        <f ca="1">IF(OR(changes[[#This Row],[Type]]="Checklist",changes[[#This Row],[Type]]="checklist-flat"),1+IF(changes[[#This Row],[Type of change]] = "Edit",COUNTIFS($I$4:changes[[#This Row],[Name]],changes[[#This Row],[Name]], $E$4:changes[[#This Row],[Type of change]], "Edit")),B1999)</f>
        <v>3</v>
      </c>
      <c r="C2000" s="16">
        <v>44799</v>
      </c>
      <c r="D2000" s="1" t="s">
        <v>2393</v>
      </c>
      <c r="E2000" t="s">
        <v>15</v>
      </c>
      <c r="F2000" s="10" t="s">
        <v>9</v>
      </c>
      <c r="G2000" s="21" t="s">
        <v>1853</v>
      </c>
      <c r="H2000" s="2" t="s">
        <v>64</v>
      </c>
      <c r="I2000" s="18" t="s">
        <v>94</v>
      </c>
      <c r="J2000" s="23"/>
      <c r="K2000" s="2" t="s">
        <v>6</v>
      </c>
      <c r="L2000" t="s">
        <v>2839</v>
      </c>
      <c r="M2000" s="2"/>
    </row>
    <row r="2001" spans="1:13" ht="15.75">
      <c r="A2001" t="s">
        <v>28</v>
      </c>
      <c r="B2001">
        <f ca="1">IF(OR(changes[[#This Row],[Type]]="Checklist",changes[[#This Row],[Type]]="checklist-flat"),1+IF(changes[[#This Row],[Type of change]] = "Edit",COUNTIFS($I$4:changes[[#This Row],[Name]],changes[[#This Row],[Name]], $E$4:changes[[#This Row],[Type of change]], "Edit")),B2000)</f>
        <v>2</v>
      </c>
      <c r="C2001" s="16">
        <v>44799</v>
      </c>
      <c r="D2001" s="1" t="s">
        <v>2393</v>
      </c>
      <c r="E2001" t="s">
        <v>15</v>
      </c>
      <c r="F2001" s="10" t="s">
        <v>52</v>
      </c>
      <c r="G2001" s="21" t="s">
        <v>1651</v>
      </c>
      <c r="H2001" s="19" t="s">
        <v>478</v>
      </c>
      <c r="I2001" s="21" t="s">
        <v>1651</v>
      </c>
      <c r="J2001" s="22"/>
      <c r="K2001" s="2" t="s">
        <v>6</v>
      </c>
      <c r="M2001" s="2" t="s">
        <v>2840</v>
      </c>
    </row>
    <row r="2002" spans="1:13" ht="15.75">
      <c r="A2002" t="s">
        <v>28</v>
      </c>
      <c r="B2002">
        <f ca="1">IF(OR(changes[[#This Row],[Type]]="Checklist",changes[[#This Row],[Type]]="checklist-flat"),1+IF(changes[[#This Row],[Type of change]] = "Edit",COUNTIFS($I$4:changes[[#This Row],[Name]],changes[[#This Row],[Name]], $E$4:changes[[#This Row],[Type of change]], "Edit")),B2001)</f>
        <v>2</v>
      </c>
      <c r="C2002" s="16">
        <v>44799</v>
      </c>
      <c r="D2002" s="1" t="s">
        <v>2393</v>
      </c>
      <c r="E2002" t="s">
        <v>15</v>
      </c>
      <c r="F2002" s="10" t="s">
        <v>52</v>
      </c>
      <c r="G2002" s="21" t="s">
        <v>1651</v>
      </c>
      <c r="H2002" s="2" t="s">
        <v>479</v>
      </c>
      <c r="I2002" s="18" t="s">
        <v>1652</v>
      </c>
      <c r="J2002" s="23"/>
      <c r="K2002" s="2" t="s">
        <v>6</v>
      </c>
      <c r="M2002" s="2"/>
    </row>
    <row r="2003" spans="1:13" ht="15.75">
      <c r="A2003" t="s">
        <v>28</v>
      </c>
      <c r="B2003">
        <f ca="1">IF(OR(changes[[#This Row],[Type]]="Checklist",changes[[#This Row],[Type]]="checklist-flat"),1+IF(changes[[#This Row],[Type of change]] = "Edit",COUNTIFS($I$4:changes[[#This Row],[Name]],changes[[#This Row],[Name]], $E$4:changes[[#This Row],[Type of change]], "Edit")),B2002)</f>
        <v>2</v>
      </c>
      <c r="C2003" s="16">
        <v>44799</v>
      </c>
      <c r="D2003" s="1" t="s">
        <v>2393</v>
      </c>
      <c r="E2003" t="s">
        <v>15</v>
      </c>
      <c r="F2003" s="10" t="s">
        <v>52</v>
      </c>
      <c r="G2003" s="21" t="s">
        <v>1651</v>
      </c>
      <c r="H2003" s="2" t="s">
        <v>55</v>
      </c>
      <c r="I2003" s="18" t="s">
        <v>1653</v>
      </c>
      <c r="J2003" s="23"/>
      <c r="K2003" s="2" t="s">
        <v>6</v>
      </c>
      <c r="M2003" s="2"/>
    </row>
    <row r="2004" spans="1:13" ht="15.75">
      <c r="A2004" t="s">
        <v>28</v>
      </c>
      <c r="B2004">
        <f ca="1">IF(OR(changes[[#This Row],[Type]]="Checklist",changes[[#This Row],[Type]]="checklist-flat"),1+IF(changes[[#This Row],[Type of change]] = "Edit",COUNTIFS($I$4:changes[[#This Row],[Name]],changes[[#This Row],[Name]], $E$4:changes[[#This Row],[Type of change]], "Edit")),B2003)</f>
        <v>2</v>
      </c>
      <c r="C2004" s="16">
        <v>44799</v>
      </c>
      <c r="D2004" s="1" t="s">
        <v>2393</v>
      </c>
      <c r="E2004" t="s">
        <v>15</v>
      </c>
      <c r="F2004" s="10" t="s">
        <v>52</v>
      </c>
      <c r="G2004" s="21" t="s">
        <v>1651</v>
      </c>
      <c r="H2004" s="2" t="s">
        <v>55</v>
      </c>
      <c r="I2004" s="18" t="s">
        <v>1654</v>
      </c>
      <c r="J2004" s="23"/>
      <c r="K2004" s="2" t="s">
        <v>6</v>
      </c>
      <c r="M2004" s="2"/>
    </row>
    <row r="2005" spans="1:13" ht="15.75">
      <c r="A2005" t="s">
        <v>28</v>
      </c>
      <c r="B2005">
        <f ca="1">IF(OR(changes[[#This Row],[Type]]="Checklist",changes[[#This Row],[Type]]="checklist-flat"),1+IF(changes[[#This Row],[Type of change]] = "Edit",COUNTIFS($I$4:changes[[#This Row],[Name]],changes[[#This Row],[Name]], $E$4:changes[[#This Row],[Type of change]], "Edit")),B2004)</f>
        <v>2</v>
      </c>
      <c r="C2005" s="16">
        <v>44799</v>
      </c>
      <c r="D2005" s="1" t="s">
        <v>2393</v>
      </c>
      <c r="E2005" t="s">
        <v>15</v>
      </c>
      <c r="F2005" s="10" t="s">
        <v>52</v>
      </c>
      <c r="G2005" s="21" t="s">
        <v>1651</v>
      </c>
      <c r="H2005" s="2" t="s">
        <v>55</v>
      </c>
      <c r="I2005" s="18" t="s">
        <v>1655</v>
      </c>
      <c r="J2005" s="23"/>
      <c r="K2005" s="2" t="s">
        <v>6</v>
      </c>
      <c r="M2005" s="2"/>
    </row>
    <row r="2006" spans="1:13" ht="15.75">
      <c r="A2006" t="s">
        <v>28</v>
      </c>
      <c r="B2006">
        <f ca="1">IF(OR(changes[[#This Row],[Type]]="Checklist",changes[[#This Row],[Type]]="checklist-flat"),1+IF(changes[[#This Row],[Type of change]] = "Edit",COUNTIFS($I$4:changes[[#This Row],[Name]],changes[[#This Row],[Name]], $E$4:changes[[#This Row],[Type of change]], "Edit")),B2005)</f>
        <v>2</v>
      </c>
      <c r="C2006" s="16">
        <v>44799</v>
      </c>
      <c r="D2006" s="1" t="s">
        <v>2393</v>
      </c>
      <c r="E2006" t="s">
        <v>15</v>
      </c>
      <c r="F2006" s="10" t="s">
        <v>52</v>
      </c>
      <c r="G2006" s="21" t="s">
        <v>1651</v>
      </c>
      <c r="H2006" s="2" t="s">
        <v>55</v>
      </c>
      <c r="I2006" s="18" t="s">
        <v>1656</v>
      </c>
      <c r="J2006" s="23"/>
      <c r="K2006" s="2" t="s">
        <v>6</v>
      </c>
      <c r="M2006" s="2"/>
    </row>
    <row r="2007" spans="1:13" ht="15.75">
      <c r="A2007" t="s">
        <v>28</v>
      </c>
      <c r="B2007">
        <f ca="1">IF(OR(changes[[#This Row],[Type]]="Checklist",changes[[#This Row],[Type]]="checklist-flat"),1+IF(changes[[#This Row],[Type of change]] = "Edit",COUNTIFS($I$4:changes[[#This Row],[Name]],changes[[#This Row],[Name]], $E$4:changes[[#This Row],[Type of change]], "Edit")),B2006)</f>
        <v>2</v>
      </c>
      <c r="C2007" s="16">
        <v>44799</v>
      </c>
      <c r="D2007" s="1" t="s">
        <v>2393</v>
      </c>
      <c r="E2007" t="s">
        <v>15</v>
      </c>
      <c r="F2007" s="10" t="s">
        <v>52</v>
      </c>
      <c r="G2007" s="21" t="s">
        <v>1651</v>
      </c>
      <c r="H2007" s="2" t="s">
        <v>479</v>
      </c>
      <c r="I2007" s="18" t="s">
        <v>1664</v>
      </c>
      <c r="J2007" s="23"/>
      <c r="K2007" s="2" t="s">
        <v>6</v>
      </c>
      <c r="M2007" s="2"/>
    </row>
    <row r="2008" spans="1:13" ht="15.75">
      <c r="A2008" t="s">
        <v>28</v>
      </c>
      <c r="B2008">
        <f ca="1">IF(OR(changes[[#This Row],[Type]]="Checklist",changes[[#This Row],[Type]]="checklist-flat"),1+IF(changes[[#This Row],[Type of change]] = "Edit",COUNTIFS($I$4:changes[[#This Row],[Name]],changes[[#This Row],[Name]], $E$4:changes[[#This Row],[Type of change]], "Edit")),B2007)</f>
        <v>2</v>
      </c>
      <c r="C2008" s="16">
        <v>44799</v>
      </c>
      <c r="D2008" s="1" t="s">
        <v>2393</v>
      </c>
      <c r="E2008" t="s">
        <v>15</v>
      </c>
      <c r="F2008" s="10" t="s">
        <v>52</v>
      </c>
      <c r="G2008" s="21" t="s">
        <v>1651</v>
      </c>
      <c r="H2008" s="2" t="s">
        <v>55</v>
      </c>
      <c r="I2008" s="18" t="s">
        <v>1665</v>
      </c>
      <c r="J2008" s="23"/>
      <c r="K2008" s="2" t="s">
        <v>6</v>
      </c>
      <c r="M2008" s="2"/>
    </row>
    <row r="2009" spans="1:13" ht="15.75">
      <c r="A2009" t="s">
        <v>28</v>
      </c>
      <c r="B2009">
        <f ca="1">IF(OR(changes[[#This Row],[Type]]="Checklist",changes[[#This Row],[Type]]="checklist-flat"),1+IF(changes[[#This Row],[Type of change]] = "Edit",COUNTIFS($I$4:changes[[#This Row],[Name]],changes[[#This Row],[Name]], $E$4:changes[[#This Row],[Type of change]], "Edit")),B2008)</f>
        <v>2</v>
      </c>
      <c r="C2009" s="16">
        <v>44799</v>
      </c>
      <c r="D2009" s="1" t="s">
        <v>2393</v>
      </c>
      <c r="E2009" t="s">
        <v>15</v>
      </c>
      <c r="F2009" s="10" t="s">
        <v>52</v>
      </c>
      <c r="G2009" s="21" t="s">
        <v>1651</v>
      </c>
      <c r="H2009" s="2" t="s">
        <v>55</v>
      </c>
      <c r="I2009" s="18" t="s">
        <v>1666</v>
      </c>
      <c r="J2009" s="23"/>
      <c r="K2009" s="2" t="s">
        <v>6</v>
      </c>
      <c r="M2009" s="2"/>
    </row>
    <row r="2010" spans="1:13" ht="15.75">
      <c r="A2010" t="s">
        <v>28</v>
      </c>
      <c r="B2010">
        <f ca="1">IF(OR(changes[[#This Row],[Type]]="Checklist",changes[[#This Row],[Type]]="checklist-flat"),1+IF(changes[[#This Row],[Type of change]] = "Edit",COUNTIFS($I$4:changes[[#This Row],[Name]],changes[[#This Row],[Name]], $E$4:changes[[#This Row],[Type of change]], "Edit")),B2009)</f>
        <v>2</v>
      </c>
      <c r="C2010" s="16">
        <v>44799</v>
      </c>
      <c r="D2010" s="1" t="s">
        <v>2393</v>
      </c>
      <c r="E2010" t="s">
        <v>15</v>
      </c>
      <c r="F2010" s="10" t="s">
        <v>52</v>
      </c>
      <c r="G2010" s="21" t="s">
        <v>1651</v>
      </c>
      <c r="H2010" s="2" t="s">
        <v>55</v>
      </c>
      <c r="I2010" s="18" t="s">
        <v>1667</v>
      </c>
      <c r="J2010" s="23"/>
      <c r="K2010" s="2" t="s">
        <v>6</v>
      </c>
      <c r="M2010" s="2"/>
    </row>
    <row r="2011" spans="1:13" ht="15.75">
      <c r="A2011" t="s">
        <v>28</v>
      </c>
      <c r="B2011">
        <f ca="1">IF(OR(changes[[#This Row],[Type]]="Checklist",changes[[#This Row],[Type]]="checklist-flat"),1+IF(changes[[#This Row],[Type of change]] = "Edit",COUNTIFS($I$4:changes[[#This Row],[Name]],changes[[#This Row],[Name]], $E$4:changes[[#This Row],[Type of change]], "Edit")),B2010)</f>
        <v>2</v>
      </c>
      <c r="C2011" s="16">
        <v>44799</v>
      </c>
      <c r="D2011" s="1" t="s">
        <v>2393</v>
      </c>
      <c r="E2011" t="s">
        <v>15</v>
      </c>
      <c r="F2011" s="10" t="s">
        <v>52</v>
      </c>
      <c r="G2011" s="21" t="s">
        <v>1651</v>
      </c>
      <c r="H2011" s="2" t="s">
        <v>479</v>
      </c>
      <c r="I2011" s="18" t="s">
        <v>1668</v>
      </c>
      <c r="J2011" s="23"/>
      <c r="K2011" s="2" t="s">
        <v>6</v>
      </c>
      <c r="M2011" s="2"/>
    </row>
    <row r="2012" spans="1:13" ht="15.75">
      <c r="A2012" t="s">
        <v>28</v>
      </c>
      <c r="B2012">
        <f ca="1">IF(OR(changes[[#This Row],[Type]]="Checklist",changes[[#This Row],[Type]]="checklist-flat"),1+IF(changes[[#This Row],[Type of change]] = "Edit",COUNTIFS($I$4:changes[[#This Row],[Name]],changes[[#This Row],[Name]], $E$4:changes[[#This Row],[Type of change]], "Edit")),B2011)</f>
        <v>2</v>
      </c>
      <c r="C2012" s="16">
        <v>44799</v>
      </c>
      <c r="D2012" s="1" t="s">
        <v>2393</v>
      </c>
      <c r="E2012" t="s">
        <v>15</v>
      </c>
      <c r="F2012" s="10" t="s">
        <v>52</v>
      </c>
      <c r="G2012" s="21" t="s">
        <v>1651</v>
      </c>
      <c r="H2012" s="2" t="s">
        <v>55</v>
      </c>
      <c r="I2012" s="18" t="s">
        <v>1669</v>
      </c>
      <c r="J2012" s="23"/>
      <c r="K2012" s="2" t="s">
        <v>6</v>
      </c>
      <c r="M2012" s="2"/>
    </row>
    <row r="2013" spans="1:13" ht="15.75">
      <c r="A2013" t="s">
        <v>28</v>
      </c>
      <c r="B2013">
        <f ca="1">IF(OR(changes[[#This Row],[Type]]="Checklist",changes[[#This Row],[Type]]="checklist-flat"),1+IF(changes[[#This Row],[Type of change]] = "Edit",COUNTIFS($I$4:changes[[#This Row],[Name]],changes[[#This Row],[Name]], $E$4:changes[[#This Row],[Type of change]], "Edit")),B2012)</f>
        <v>2</v>
      </c>
      <c r="C2013" s="16">
        <v>44799</v>
      </c>
      <c r="D2013" s="1" t="s">
        <v>2393</v>
      </c>
      <c r="E2013" t="s">
        <v>15</v>
      </c>
      <c r="F2013" s="10" t="s">
        <v>52</v>
      </c>
      <c r="G2013" s="21" t="s">
        <v>1651</v>
      </c>
      <c r="H2013" s="2" t="s">
        <v>55</v>
      </c>
      <c r="I2013" s="18" t="s">
        <v>1670</v>
      </c>
      <c r="J2013" s="23"/>
      <c r="K2013" s="2" t="s">
        <v>6</v>
      </c>
      <c r="M2013" s="2"/>
    </row>
    <row r="2014" spans="1:13" ht="15.75">
      <c r="A2014" t="s">
        <v>28</v>
      </c>
      <c r="B2014">
        <f ca="1">IF(OR(changes[[#This Row],[Type]]="Checklist",changes[[#This Row],[Type]]="checklist-flat"),1+IF(changes[[#This Row],[Type of change]] = "Edit",COUNTIFS($I$4:changes[[#This Row],[Name]],changes[[#This Row],[Name]], $E$4:changes[[#This Row],[Type of change]], "Edit")),B2013)</f>
        <v>2</v>
      </c>
      <c r="C2014" s="16">
        <v>44799</v>
      </c>
      <c r="D2014" s="1" t="s">
        <v>2393</v>
      </c>
      <c r="E2014" t="s">
        <v>15</v>
      </c>
      <c r="F2014" s="10" t="s">
        <v>52</v>
      </c>
      <c r="G2014" s="21" t="s">
        <v>1651</v>
      </c>
      <c r="H2014" s="2" t="s">
        <v>55</v>
      </c>
      <c r="I2014" s="18" t="s">
        <v>1671</v>
      </c>
      <c r="J2014" s="23"/>
      <c r="K2014" s="2" t="s">
        <v>6</v>
      </c>
      <c r="M2014" s="2"/>
    </row>
    <row r="2015" spans="1:13" ht="15.75">
      <c r="A2015" t="s">
        <v>28</v>
      </c>
      <c r="B2015">
        <f ca="1">IF(OR(changes[[#This Row],[Type]]="Checklist",changes[[#This Row],[Type]]="checklist-flat"),1+IF(changes[[#This Row],[Type of change]] = "Edit",COUNTIFS($I$4:changes[[#This Row],[Name]],changes[[#This Row],[Name]], $E$4:changes[[#This Row],[Type of change]], "Edit")),B2014)</f>
        <v>2</v>
      </c>
      <c r="C2015" s="16">
        <v>44799</v>
      </c>
      <c r="D2015" s="1" t="s">
        <v>2393</v>
      </c>
      <c r="E2015" t="s">
        <v>15</v>
      </c>
      <c r="F2015" s="10" t="s">
        <v>52</v>
      </c>
      <c r="G2015" s="21" t="s">
        <v>1651</v>
      </c>
      <c r="H2015" s="2" t="s">
        <v>55</v>
      </c>
      <c r="I2015" s="18" t="s">
        <v>1672</v>
      </c>
      <c r="J2015" s="23"/>
      <c r="K2015" s="2" t="s">
        <v>6</v>
      </c>
      <c r="M2015" s="2"/>
    </row>
    <row r="2016" spans="1:13" ht="15.75">
      <c r="A2016" t="s">
        <v>28</v>
      </c>
      <c r="B2016">
        <f ca="1">IF(OR(changes[[#This Row],[Type]]="Checklist",changes[[#This Row],[Type]]="checklist-flat"),1+IF(changes[[#This Row],[Type of change]] = "Edit",COUNTIFS($I$4:changes[[#This Row],[Name]],changes[[#This Row],[Name]], $E$4:changes[[#This Row],[Type of change]], "Edit")),B2015)</f>
        <v>2</v>
      </c>
      <c r="C2016" s="16">
        <v>44799</v>
      </c>
      <c r="D2016" s="1" t="s">
        <v>2393</v>
      </c>
      <c r="E2016" t="s">
        <v>15</v>
      </c>
      <c r="F2016" s="10" t="s">
        <v>52</v>
      </c>
      <c r="G2016" s="21" t="s">
        <v>1651</v>
      </c>
      <c r="H2016" s="2" t="s">
        <v>479</v>
      </c>
      <c r="I2016" s="18" t="s">
        <v>1673</v>
      </c>
      <c r="J2016" s="23"/>
      <c r="K2016" s="2" t="s">
        <v>6</v>
      </c>
      <c r="M2016" s="2"/>
    </row>
    <row r="2017" spans="1:13" ht="15.75">
      <c r="A2017" t="s">
        <v>28</v>
      </c>
      <c r="B2017">
        <f ca="1">IF(OR(changes[[#This Row],[Type]]="Checklist",changes[[#This Row],[Type]]="checklist-flat"),1+IF(changes[[#This Row],[Type of change]] = "Edit",COUNTIFS($I$4:changes[[#This Row],[Name]],changes[[#This Row],[Name]], $E$4:changes[[#This Row],[Type of change]], "Edit")),B2016)</f>
        <v>2</v>
      </c>
      <c r="C2017" s="16">
        <v>44799</v>
      </c>
      <c r="D2017" s="1" t="s">
        <v>2393</v>
      </c>
      <c r="E2017" t="s">
        <v>15</v>
      </c>
      <c r="F2017" s="10" t="s">
        <v>52</v>
      </c>
      <c r="G2017" s="21" t="s">
        <v>1651</v>
      </c>
      <c r="H2017" s="2" t="s">
        <v>55</v>
      </c>
      <c r="I2017" s="18" t="s">
        <v>1674</v>
      </c>
      <c r="J2017" s="23"/>
      <c r="K2017" s="2" t="s">
        <v>6</v>
      </c>
      <c r="M2017" s="2"/>
    </row>
    <row r="2018" spans="1:13" ht="15.75">
      <c r="A2018" t="s">
        <v>28</v>
      </c>
      <c r="B2018">
        <f ca="1">IF(OR(changes[[#This Row],[Type]]="Checklist",changes[[#This Row],[Type]]="checklist-flat"),1+IF(changes[[#This Row],[Type of change]] = "Edit",COUNTIFS($I$4:changes[[#This Row],[Name]],changes[[#This Row],[Name]], $E$4:changes[[#This Row],[Type of change]], "Edit")),B2017)</f>
        <v>2</v>
      </c>
      <c r="C2018" s="16">
        <v>44799</v>
      </c>
      <c r="D2018" s="1" t="s">
        <v>2393</v>
      </c>
      <c r="E2018" t="s">
        <v>15</v>
      </c>
      <c r="F2018" s="10" t="s">
        <v>52</v>
      </c>
      <c r="G2018" s="21" t="s">
        <v>1651</v>
      </c>
      <c r="H2018" s="2" t="s">
        <v>55</v>
      </c>
      <c r="I2018" s="18" t="s">
        <v>1675</v>
      </c>
      <c r="J2018" s="23"/>
      <c r="K2018" s="2" t="s">
        <v>6</v>
      </c>
      <c r="M2018" s="2"/>
    </row>
    <row r="2019" spans="1:13" ht="15.75">
      <c r="A2019" t="s">
        <v>28</v>
      </c>
      <c r="B2019">
        <f ca="1">IF(OR(changes[[#This Row],[Type]]="Checklist",changes[[#This Row],[Type]]="checklist-flat"),1+IF(changes[[#This Row],[Type of change]] = "Edit",COUNTIFS($I$4:changes[[#This Row],[Name]],changes[[#This Row],[Name]], $E$4:changes[[#This Row],[Type of change]], "Edit")),B2018)</f>
        <v>2</v>
      </c>
      <c r="C2019" s="16">
        <v>44799</v>
      </c>
      <c r="D2019" s="1" t="s">
        <v>2393</v>
      </c>
      <c r="E2019" t="s">
        <v>15</v>
      </c>
      <c r="F2019" s="10" t="s">
        <v>52</v>
      </c>
      <c r="G2019" s="21" t="s">
        <v>1651</v>
      </c>
      <c r="H2019" s="2" t="s">
        <v>55</v>
      </c>
      <c r="I2019" s="18" t="s">
        <v>1676</v>
      </c>
      <c r="J2019" s="23"/>
      <c r="K2019" s="2" t="s">
        <v>6</v>
      </c>
      <c r="M2019" s="2"/>
    </row>
    <row r="2020" spans="1:13" ht="15.75">
      <c r="A2020" t="s">
        <v>28</v>
      </c>
      <c r="B2020">
        <f ca="1">IF(OR(changes[[#This Row],[Type]]="Checklist",changes[[#This Row],[Type]]="checklist-flat"),1+IF(changes[[#This Row],[Type of change]] = "Edit",COUNTIFS($I$4:changes[[#This Row],[Name]],changes[[#This Row],[Name]], $E$4:changes[[#This Row],[Type of change]], "Edit")),B2019)</f>
        <v>2</v>
      </c>
      <c r="C2020" s="16">
        <v>44799</v>
      </c>
      <c r="D2020" s="1" t="s">
        <v>2393</v>
      </c>
      <c r="E2020" t="s">
        <v>15</v>
      </c>
      <c r="F2020" s="10" t="s">
        <v>52</v>
      </c>
      <c r="G2020" s="21" t="s">
        <v>1651</v>
      </c>
      <c r="H2020" s="2" t="s">
        <v>55</v>
      </c>
      <c r="I2020" s="18" t="s">
        <v>1677</v>
      </c>
      <c r="J2020" s="23"/>
      <c r="K2020" s="2" t="s">
        <v>6</v>
      </c>
      <c r="M2020" s="2"/>
    </row>
    <row r="2021" spans="1:13" ht="15.75">
      <c r="A2021" t="s">
        <v>28</v>
      </c>
      <c r="B2021">
        <f ca="1">IF(OR(changes[[#This Row],[Type]]="Checklist",changes[[#This Row],[Type]]="checklist-flat"),1+IF(changes[[#This Row],[Type of change]] = "Edit",COUNTIFS($I$4:changes[[#This Row],[Name]],changes[[#This Row],[Name]], $E$4:changes[[#This Row],[Type of change]], "Edit")),B2020)</f>
        <v>2</v>
      </c>
      <c r="C2021" s="16">
        <v>44799</v>
      </c>
      <c r="D2021" s="1" t="s">
        <v>2393</v>
      </c>
      <c r="E2021" t="s">
        <v>15</v>
      </c>
      <c r="F2021" s="10" t="s">
        <v>52</v>
      </c>
      <c r="G2021" s="21" t="s">
        <v>1651</v>
      </c>
      <c r="H2021" s="2" t="s">
        <v>64</v>
      </c>
      <c r="I2021" s="18" t="s">
        <v>2844</v>
      </c>
      <c r="J2021" s="23"/>
      <c r="K2021" s="2" t="s">
        <v>6</v>
      </c>
      <c r="M2021" s="2"/>
    </row>
    <row r="2022" spans="1:13" ht="15.75">
      <c r="A2022" t="s">
        <v>28</v>
      </c>
      <c r="B2022">
        <f ca="1">IF(OR(changes[[#This Row],[Type]]="Checklist",changes[[#This Row],[Type]]="checklist-flat"),1+IF(changes[[#This Row],[Type of change]] = "Edit",COUNTIFS($I$4:changes[[#This Row],[Name]],changes[[#This Row],[Name]], $E$4:changes[[#This Row],[Type of change]], "Edit")),B2021)</f>
        <v>2</v>
      </c>
      <c r="C2022" s="16">
        <v>44804</v>
      </c>
      <c r="D2022" s="1" t="s">
        <v>2452</v>
      </c>
      <c r="E2022" t="s">
        <v>15</v>
      </c>
      <c r="F2022" s="10" t="s">
        <v>9</v>
      </c>
      <c r="G2022" s="10" t="s">
        <v>1304</v>
      </c>
      <c r="H2022" s="19" t="s">
        <v>54</v>
      </c>
      <c r="I2022" s="21" t="s">
        <v>1304</v>
      </c>
      <c r="J2022" s="22"/>
      <c r="K2022" s="2" t="s">
        <v>6</v>
      </c>
      <c r="L2022" t="s">
        <v>2845</v>
      </c>
      <c r="M2022" s="2"/>
    </row>
    <row r="2023" spans="1:13" ht="15.75">
      <c r="A2023" t="s">
        <v>28</v>
      </c>
      <c r="B2023">
        <f ca="1">IF(OR(changes[[#This Row],[Type]]="Checklist",changes[[#This Row],[Type]]="checklist-flat"),1+IF(changes[[#This Row],[Type of change]] = "Edit",COUNTIFS($I$4:changes[[#This Row],[Name]],changes[[#This Row],[Name]], $E$4:changes[[#This Row],[Type of change]], "Edit")),B2022)</f>
        <v>2</v>
      </c>
      <c r="C2023" s="16">
        <v>44804</v>
      </c>
      <c r="D2023" s="1" t="s">
        <v>2452</v>
      </c>
      <c r="E2023" t="s">
        <v>15</v>
      </c>
      <c r="F2023" s="10" t="s">
        <v>9</v>
      </c>
      <c r="G2023" s="10" t="s">
        <v>1304</v>
      </c>
      <c r="H2023" s="2" t="s">
        <v>55</v>
      </c>
      <c r="I2023" s="18" t="s">
        <v>1305</v>
      </c>
      <c r="J2023" s="23"/>
      <c r="K2023" s="2" t="s">
        <v>6</v>
      </c>
      <c r="L2023" t="s">
        <v>2845</v>
      </c>
      <c r="M2023" s="2"/>
    </row>
    <row r="2024" spans="1:13" ht="15.75">
      <c r="A2024" t="s">
        <v>28</v>
      </c>
      <c r="B2024">
        <f ca="1">IF(OR(changes[[#This Row],[Type]]="Checklist",changes[[#This Row],[Type]]="checklist-flat"),1+IF(changes[[#This Row],[Type of change]] = "Edit",COUNTIFS($I$4:changes[[#This Row],[Name]],changes[[#This Row],[Name]], $E$4:changes[[#This Row],[Type of change]], "Edit")),B2023)</f>
        <v>2</v>
      </c>
      <c r="C2024" s="16">
        <v>44804</v>
      </c>
      <c r="D2024" s="1" t="s">
        <v>2452</v>
      </c>
      <c r="E2024" t="s">
        <v>15</v>
      </c>
      <c r="F2024" s="10" t="s">
        <v>9</v>
      </c>
      <c r="G2024" s="10" t="s">
        <v>1304</v>
      </c>
      <c r="H2024" s="2" t="s">
        <v>55</v>
      </c>
      <c r="I2024" s="18" t="s">
        <v>1306</v>
      </c>
      <c r="J2024" s="23"/>
      <c r="K2024" s="2" t="s">
        <v>6</v>
      </c>
      <c r="L2024" t="s">
        <v>2845</v>
      </c>
      <c r="M2024" s="2"/>
    </row>
    <row r="2025" spans="1:13" ht="15.75">
      <c r="A2025" t="s">
        <v>28</v>
      </c>
      <c r="B2025">
        <f ca="1">IF(OR(changes[[#This Row],[Type]]="Checklist",changes[[#This Row],[Type]]="checklist-flat"),1+IF(changes[[#This Row],[Type of change]] = "Edit",COUNTIFS($I$4:changes[[#This Row],[Name]],changes[[#This Row],[Name]], $E$4:changes[[#This Row],[Type of change]], "Edit")),B2024)</f>
        <v>2</v>
      </c>
      <c r="C2025" s="16">
        <v>44804</v>
      </c>
      <c r="D2025" s="1" t="s">
        <v>2452</v>
      </c>
      <c r="E2025" t="s">
        <v>15</v>
      </c>
      <c r="F2025" s="10" t="s">
        <v>9</v>
      </c>
      <c r="G2025" s="10" t="s">
        <v>1304</v>
      </c>
      <c r="H2025" s="2" t="s">
        <v>55</v>
      </c>
      <c r="I2025" s="18" t="s">
        <v>1307</v>
      </c>
      <c r="J2025" s="23"/>
      <c r="K2025" s="2" t="s">
        <v>6</v>
      </c>
      <c r="L2025" t="s">
        <v>2845</v>
      </c>
      <c r="M2025" s="2"/>
    </row>
    <row r="2026" spans="1:13" ht="15.75">
      <c r="A2026" t="s">
        <v>28</v>
      </c>
      <c r="B2026">
        <f ca="1">IF(OR(changes[[#This Row],[Type]]="Checklist",changes[[#This Row],[Type]]="checklist-flat"),1+IF(changes[[#This Row],[Type of change]] = "Edit",COUNTIFS($I$4:changes[[#This Row],[Name]],changes[[#This Row],[Name]], $E$4:changes[[#This Row],[Type of change]], "Edit")),B2025)</f>
        <v>2</v>
      </c>
      <c r="C2026" s="16">
        <v>44804</v>
      </c>
      <c r="D2026" s="1" t="s">
        <v>2452</v>
      </c>
      <c r="E2026" t="s">
        <v>15</v>
      </c>
      <c r="F2026" s="10" t="s">
        <v>9</v>
      </c>
      <c r="G2026" s="10" t="s">
        <v>1304</v>
      </c>
      <c r="H2026" s="2" t="s">
        <v>55</v>
      </c>
      <c r="I2026" s="18" t="s">
        <v>1308</v>
      </c>
      <c r="J2026" s="23"/>
      <c r="K2026" s="2" t="s">
        <v>6</v>
      </c>
      <c r="L2026" t="s">
        <v>2845</v>
      </c>
      <c r="M2026" s="2"/>
    </row>
    <row r="2027" spans="1:13" ht="15.75">
      <c r="A2027" t="s">
        <v>28</v>
      </c>
      <c r="B2027">
        <f ca="1">IF(OR(changes[[#This Row],[Type]]="Checklist",changes[[#This Row],[Type]]="checklist-flat"),1+IF(changes[[#This Row],[Type of change]] = "Edit",COUNTIFS($I$4:changes[[#This Row],[Name]],changes[[#This Row],[Name]], $E$4:changes[[#This Row],[Type of change]], "Edit")),B2026)</f>
        <v>2</v>
      </c>
      <c r="C2027" s="16">
        <v>44804</v>
      </c>
      <c r="D2027" s="1" t="s">
        <v>2452</v>
      </c>
      <c r="E2027" t="s">
        <v>15</v>
      </c>
      <c r="F2027" s="10" t="s">
        <v>9</v>
      </c>
      <c r="G2027" s="10" t="s">
        <v>1304</v>
      </c>
      <c r="H2027" s="2" t="s">
        <v>55</v>
      </c>
      <c r="I2027" s="18" t="s">
        <v>1309</v>
      </c>
      <c r="J2027" s="23"/>
      <c r="K2027" s="2" t="s">
        <v>6</v>
      </c>
      <c r="L2027" t="s">
        <v>2845</v>
      </c>
      <c r="M2027" s="2"/>
    </row>
    <row r="2028" spans="1:13" ht="15.75">
      <c r="A2028" t="s">
        <v>28</v>
      </c>
      <c r="B2028">
        <f ca="1">IF(OR(changes[[#This Row],[Type]]="Checklist",changes[[#This Row],[Type]]="checklist-flat"),1+IF(changes[[#This Row],[Type of change]] = "Edit",COUNTIFS($I$4:changes[[#This Row],[Name]],changes[[#This Row],[Name]], $E$4:changes[[#This Row],[Type of change]], "Edit")),B2027)</f>
        <v>2</v>
      </c>
      <c r="C2028" s="16">
        <v>44804</v>
      </c>
      <c r="D2028" s="1" t="s">
        <v>2452</v>
      </c>
      <c r="E2028" t="s">
        <v>15</v>
      </c>
      <c r="F2028" s="10" t="s">
        <v>9</v>
      </c>
      <c r="G2028" s="10" t="s">
        <v>1304</v>
      </c>
      <c r="H2028" s="2" t="s">
        <v>55</v>
      </c>
      <c r="I2028" s="18" t="s">
        <v>1310</v>
      </c>
      <c r="J2028" s="23"/>
      <c r="K2028" s="2" t="s">
        <v>6</v>
      </c>
      <c r="L2028" t="s">
        <v>2845</v>
      </c>
      <c r="M2028" s="2"/>
    </row>
    <row r="2029" spans="1:13" ht="15.75">
      <c r="A2029" t="s">
        <v>28</v>
      </c>
      <c r="B2029">
        <f ca="1">IF(OR(changes[[#This Row],[Type]]="Checklist",changes[[#This Row],[Type]]="checklist-flat"),1+IF(changes[[#This Row],[Type of change]] = "Edit",COUNTIFS($I$4:changes[[#This Row],[Name]],changes[[#This Row],[Name]], $E$4:changes[[#This Row],[Type of change]], "Edit")),B2028)</f>
        <v>2</v>
      </c>
      <c r="C2029" s="16">
        <v>44804</v>
      </c>
      <c r="D2029" s="1" t="s">
        <v>2452</v>
      </c>
      <c r="E2029" t="s">
        <v>15</v>
      </c>
      <c r="F2029" s="10" t="s">
        <v>9</v>
      </c>
      <c r="G2029" s="10" t="s">
        <v>1304</v>
      </c>
      <c r="H2029" s="2" t="s">
        <v>55</v>
      </c>
      <c r="I2029" s="18" t="s">
        <v>1311</v>
      </c>
      <c r="J2029" s="23"/>
      <c r="K2029" s="2" t="s">
        <v>6</v>
      </c>
      <c r="L2029" t="s">
        <v>2845</v>
      </c>
      <c r="M2029" s="2"/>
    </row>
    <row r="2030" spans="1:13" ht="15.75">
      <c r="A2030" t="s">
        <v>28</v>
      </c>
      <c r="B2030">
        <f ca="1">IF(OR(changes[[#This Row],[Type]]="Checklist",changes[[#This Row],[Type]]="checklist-flat"),1+IF(changes[[#This Row],[Type of change]] = "Edit",COUNTIFS($I$4:changes[[#This Row],[Name]],changes[[#This Row],[Name]], $E$4:changes[[#This Row],[Type of change]], "Edit")),B2029)</f>
        <v>2</v>
      </c>
      <c r="C2030" s="16">
        <v>44804</v>
      </c>
      <c r="D2030" s="1" t="s">
        <v>2452</v>
      </c>
      <c r="E2030" t="s">
        <v>15</v>
      </c>
      <c r="F2030" s="10" t="s">
        <v>9</v>
      </c>
      <c r="G2030" s="10" t="s">
        <v>1304</v>
      </c>
      <c r="H2030" s="2" t="s">
        <v>55</v>
      </c>
      <c r="I2030" s="18" t="s">
        <v>1312</v>
      </c>
      <c r="J2030" s="23"/>
      <c r="K2030" s="2" t="s">
        <v>6</v>
      </c>
      <c r="L2030" t="s">
        <v>2845</v>
      </c>
      <c r="M2030" s="2"/>
    </row>
    <row r="2031" spans="1:13" ht="15.75">
      <c r="A2031" t="s">
        <v>28</v>
      </c>
      <c r="B2031">
        <f ca="1">IF(OR(changes[[#This Row],[Type]]="Checklist",changes[[#This Row],[Type]]="checklist-flat"),1+IF(changes[[#This Row],[Type of change]] = "Edit",COUNTIFS($I$4:changes[[#This Row],[Name]],changes[[#This Row],[Name]], $E$4:changes[[#This Row],[Type of change]], "Edit")),B2030)</f>
        <v>2</v>
      </c>
      <c r="C2031" s="16">
        <v>44804</v>
      </c>
      <c r="D2031" s="1" t="s">
        <v>2452</v>
      </c>
      <c r="E2031" t="s">
        <v>15</v>
      </c>
      <c r="F2031" s="10" t="s">
        <v>9</v>
      </c>
      <c r="G2031" s="10" t="s">
        <v>1304</v>
      </c>
      <c r="H2031" s="2" t="s">
        <v>55</v>
      </c>
      <c r="I2031" s="18" t="s">
        <v>1313</v>
      </c>
      <c r="J2031" s="23"/>
      <c r="K2031" s="2" t="s">
        <v>6</v>
      </c>
      <c r="L2031" t="s">
        <v>2845</v>
      </c>
      <c r="M2031" s="2"/>
    </row>
    <row r="2032" spans="1:13" ht="15.75">
      <c r="A2032" t="s">
        <v>28</v>
      </c>
      <c r="B2032">
        <f ca="1">IF(OR(changes[[#This Row],[Type]]="Checklist",changes[[#This Row],[Type]]="checklist-flat"),1+IF(changes[[#This Row],[Type of change]] = "Edit",COUNTIFS($I$4:changes[[#This Row],[Name]],changes[[#This Row],[Name]], $E$4:changes[[#This Row],[Type of change]], "Edit")),B2031)</f>
        <v>2</v>
      </c>
      <c r="C2032" s="16">
        <v>44804</v>
      </c>
      <c r="D2032" s="1" t="s">
        <v>2452</v>
      </c>
      <c r="E2032" t="s">
        <v>15</v>
      </c>
      <c r="F2032" s="10" t="s">
        <v>9</v>
      </c>
      <c r="G2032" s="10" t="s">
        <v>1304</v>
      </c>
      <c r="H2032" s="2" t="s">
        <v>55</v>
      </c>
      <c r="I2032" s="18" t="s">
        <v>1314</v>
      </c>
      <c r="J2032" s="23"/>
      <c r="K2032" s="2" t="s">
        <v>6</v>
      </c>
      <c r="L2032" t="s">
        <v>2845</v>
      </c>
      <c r="M2032" s="2"/>
    </row>
    <row r="2033" spans="1:13" ht="15.75">
      <c r="A2033" t="s">
        <v>28</v>
      </c>
      <c r="B2033">
        <f ca="1">IF(OR(changes[[#This Row],[Type]]="Checklist",changes[[#This Row],[Type]]="checklist-flat"),1+IF(changes[[#This Row],[Type of change]] = "Edit",COUNTIFS($I$4:changes[[#This Row],[Name]],changes[[#This Row],[Name]], $E$4:changes[[#This Row],[Type of change]], "Edit")),B2032)</f>
        <v>2</v>
      </c>
      <c r="C2033" s="16">
        <v>44804</v>
      </c>
      <c r="D2033" s="1" t="s">
        <v>2452</v>
      </c>
      <c r="E2033" t="s">
        <v>15</v>
      </c>
      <c r="F2033" s="10" t="s">
        <v>9</v>
      </c>
      <c r="G2033" s="10" t="s">
        <v>1304</v>
      </c>
      <c r="H2033" s="2" t="s">
        <v>214</v>
      </c>
      <c r="I2033" s="18" t="s">
        <v>1315</v>
      </c>
      <c r="J2033" s="23"/>
      <c r="K2033" s="2" t="s">
        <v>6</v>
      </c>
      <c r="L2033" t="s">
        <v>2845</v>
      </c>
      <c r="M2033" s="2" t="s">
        <v>2846</v>
      </c>
    </row>
    <row r="2034" spans="1:13" ht="15.75">
      <c r="A2034" t="s">
        <v>28</v>
      </c>
      <c r="B2034">
        <f ca="1">IF(OR(changes[[#This Row],[Type]]="Checklist",changes[[#This Row],[Type]]="checklist-flat"),1+IF(changes[[#This Row],[Type of change]] = "Edit",COUNTIFS($I$4:changes[[#This Row],[Name]],changes[[#This Row],[Name]], $E$4:changes[[#This Row],[Type of change]], "Edit")),B2033)</f>
        <v>2</v>
      </c>
      <c r="C2034" s="16">
        <v>44804</v>
      </c>
      <c r="D2034" s="1" t="s">
        <v>2452</v>
      </c>
      <c r="E2034" t="s">
        <v>15</v>
      </c>
      <c r="F2034" s="10" t="s">
        <v>9</v>
      </c>
      <c r="G2034" s="10" t="s">
        <v>1304</v>
      </c>
      <c r="H2034" s="2" t="s">
        <v>55</v>
      </c>
      <c r="I2034" s="18" t="s">
        <v>1316</v>
      </c>
      <c r="J2034" s="23"/>
      <c r="K2034" s="2" t="s">
        <v>6</v>
      </c>
      <c r="L2034" t="s">
        <v>2845</v>
      </c>
      <c r="M2034" s="2"/>
    </row>
    <row r="2035" spans="1:13" ht="15.75">
      <c r="A2035" t="s">
        <v>28</v>
      </c>
      <c r="B2035">
        <f ca="1">IF(OR(changes[[#This Row],[Type]]="Checklist",changes[[#This Row],[Type]]="checklist-flat"),1+IF(changes[[#This Row],[Type of change]] = "Edit",COUNTIFS($I$4:changes[[#This Row],[Name]],changes[[#This Row],[Name]], $E$4:changes[[#This Row],[Type of change]], "Edit")),B2034)</f>
        <v>2</v>
      </c>
      <c r="C2035" s="16">
        <v>44804</v>
      </c>
      <c r="D2035" s="1" t="s">
        <v>2452</v>
      </c>
      <c r="E2035" t="s">
        <v>15</v>
      </c>
      <c r="F2035" s="10" t="s">
        <v>9</v>
      </c>
      <c r="G2035" s="10" t="s">
        <v>1304</v>
      </c>
      <c r="H2035" s="2" t="s">
        <v>55</v>
      </c>
      <c r="I2035" s="18" t="s">
        <v>1317</v>
      </c>
      <c r="J2035" s="23"/>
      <c r="K2035" s="2" t="s">
        <v>6</v>
      </c>
      <c r="L2035" t="s">
        <v>2845</v>
      </c>
      <c r="M2035" s="2"/>
    </row>
    <row r="2036" spans="1:13" ht="15.75">
      <c r="A2036" t="s">
        <v>28</v>
      </c>
      <c r="B2036">
        <f ca="1">IF(OR(changes[[#This Row],[Type]]="Checklist",changes[[#This Row],[Type]]="checklist-flat"),1+IF(changes[[#This Row],[Type of change]] = "Edit",COUNTIFS($I$4:changes[[#This Row],[Name]],changes[[#This Row],[Name]], $E$4:changes[[#This Row],[Type of change]], "Edit")),B2035)</f>
        <v>2</v>
      </c>
      <c r="C2036" s="16">
        <v>44804</v>
      </c>
      <c r="D2036" s="1" t="s">
        <v>2452</v>
      </c>
      <c r="E2036" t="s">
        <v>15</v>
      </c>
      <c r="F2036" s="10" t="s">
        <v>9</v>
      </c>
      <c r="G2036" s="10" t="s">
        <v>1304</v>
      </c>
      <c r="H2036" s="2" t="s">
        <v>55</v>
      </c>
      <c r="I2036" s="18" t="s">
        <v>1318</v>
      </c>
      <c r="J2036" s="23"/>
      <c r="K2036" s="2" t="s">
        <v>6</v>
      </c>
      <c r="L2036" t="s">
        <v>2845</v>
      </c>
      <c r="M2036" s="2"/>
    </row>
    <row r="2037" spans="1:13" ht="15.75">
      <c r="A2037" t="s">
        <v>28</v>
      </c>
      <c r="B2037">
        <f ca="1">IF(OR(changes[[#This Row],[Type]]="Checklist",changes[[#This Row],[Type]]="checklist-flat"),1+IF(changes[[#This Row],[Type of change]] = "Edit",COUNTIFS($I$4:changes[[#This Row],[Name]],changes[[#This Row],[Name]], $E$4:changes[[#This Row],[Type of change]], "Edit")),B2036)</f>
        <v>2</v>
      </c>
      <c r="C2037" s="16">
        <v>44804</v>
      </c>
      <c r="D2037" s="1" t="s">
        <v>2452</v>
      </c>
      <c r="E2037" t="s">
        <v>15</v>
      </c>
      <c r="F2037" s="10" t="s">
        <v>9</v>
      </c>
      <c r="G2037" s="10" t="s">
        <v>1304</v>
      </c>
      <c r="H2037" s="2" t="s">
        <v>55</v>
      </c>
      <c r="I2037" s="18" t="s">
        <v>1319</v>
      </c>
      <c r="J2037" s="23"/>
      <c r="K2037" s="2" t="s">
        <v>6</v>
      </c>
      <c r="L2037" t="s">
        <v>2845</v>
      </c>
      <c r="M2037" s="2"/>
    </row>
    <row r="2038" spans="1:13" ht="15.75">
      <c r="A2038" t="s">
        <v>28</v>
      </c>
      <c r="B2038">
        <f ca="1">IF(OR(changes[[#This Row],[Type]]="Checklist",changes[[#This Row],[Type]]="checklist-flat"),1+IF(changes[[#This Row],[Type of change]] = "Edit",COUNTIFS($I$4:changes[[#This Row],[Name]],changes[[#This Row],[Name]], $E$4:changes[[#This Row],[Type of change]], "Edit")),B2037)</f>
        <v>2</v>
      </c>
      <c r="C2038" s="16">
        <v>44804</v>
      </c>
      <c r="D2038" s="1" t="s">
        <v>2452</v>
      </c>
      <c r="E2038" t="s">
        <v>15</v>
      </c>
      <c r="F2038" s="10" t="s">
        <v>9</v>
      </c>
      <c r="G2038" s="10" t="s">
        <v>1304</v>
      </c>
      <c r="H2038" s="2" t="s">
        <v>55</v>
      </c>
      <c r="I2038" s="18" t="s">
        <v>1320</v>
      </c>
      <c r="J2038" s="23"/>
      <c r="K2038" s="2" t="s">
        <v>6</v>
      </c>
      <c r="L2038" t="s">
        <v>2845</v>
      </c>
      <c r="M2038" s="2"/>
    </row>
    <row r="2039" spans="1:13" ht="15.75">
      <c r="A2039" t="s">
        <v>28</v>
      </c>
      <c r="B2039">
        <f ca="1">IF(OR(changes[[#This Row],[Type]]="Checklist",changes[[#This Row],[Type]]="checklist-flat"),1+IF(changes[[#This Row],[Type of change]] = "Edit",COUNTIFS($I$4:changes[[#This Row],[Name]],changes[[#This Row],[Name]], $E$4:changes[[#This Row],[Type of change]], "Edit")),B2038)</f>
        <v>2</v>
      </c>
      <c r="C2039" s="16">
        <v>44804</v>
      </c>
      <c r="D2039" s="1" t="s">
        <v>2452</v>
      </c>
      <c r="E2039" t="s">
        <v>15</v>
      </c>
      <c r="F2039" s="10" t="s">
        <v>9</v>
      </c>
      <c r="G2039" s="10" t="s">
        <v>1304</v>
      </c>
      <c r="H2039" s="2" t="s">
        <v>55</v>
      </c>
      <c r="I2039" s="18" t="s">
        <v>1321</v>
      </c>
      <c r="J2039" s="23"/>
      <c r="K2039" s="2" t="s">
        <v>6</v>
      </c>
      <c r="L2039" t="s">
        <v>2845</v>
      </c>
      <c r="M2039" s="2"/>
    </row>
    <row r="2040" spans="1:13" ht="15.75">
      <c r="A2040" t="s">
        <v>28</v>
      </c>
      <c r="B2040">
        <f ca="1">IF(OR(changes[[#This Row],[Type]]="Checklist",changes[[#This Row],[Type]]="checklist-flat"),1+IF(changes[[#This Row],[Type of change]] = "Edit",COUNTIFS($I$4:changes[[#This Row],[Name]],changes[[#This Row],[Name]], $E$4:changes[[#This Row],[Type of change]], "Edit")),B2039)</f>
        <v>2</v>
      </c>
      <c r="C2040" s="16">
        <v>44804</v>
      </c>
      <c r="D2040" s="1" t="s">
        <v>2452</v>
      </c>
      <c r="E2040" t="s">
        <v>15</v>
      </c>
      <c r="F2040" s="10" t="s">
        <v>9</v>
      </c>
      <c r="G2040" s="10" t="s">
        <v>1304</v>
      </c>
      <c r="H2040" s="2" t="s">
        <v>55</v>
      </c>
      <c r="I2040" s="18" t="s">
        <v>93</v>
      </c>
      <c r="J2040" s="23"/>
      <c r="K2040" s="2" t="s">
        <v>6</v>
      </c>
      <c r="L2040" t="s">
        <v>2845</v>
      </c>
      <c r="M2040" s="2"/>
    </row>
    <row r="2041" spans="1:13" ht="15.75">
      <c r="A2041" t="s">
        <v>28</v>
      </c>
      <c r="B2041">
        <f ca="1">IF(OR(changes[[#This Row],[Type]]="Checklist",changes[[#This Row],[Type]]="checklist-flat"),1+IF(changes[[#This Row],[Type of change]] = "Edit",COUNTIFS($I$4:changes[[#This Row],[Name]],changes[[#This Row],[Name]], $E$4:changes[[#This Row],[Type of change]], "Edit")),B2040)</f>
        <v>2</v>
      </c>
      <c r="C2041" s="16">
        <v>44804</v>
      </c>
      <c r="D2041" s="1" t="s">
        <v>2452</v>
      </c>
      <c r="E2041" t="s">
        <v>15</v>
      </c>
      <c r="F2041" s="10" t="s">
        <v>9</v>
      </c>
      <c r="G2041" s="10" t="s">
        <v>1304</v>
      </c>
      <c r="H2041" s="2" t="s">
        <v>64</v>
      </c>
      <c r="I2041" s="18" t="s">
        <v>94</v>
      </c>
      <c r="J2041" s="23"/>
      <c r="K2041" s="2" t="s">
        <v>6</v>
      </c>
      <c r="L2041" t="s">
        <v>2845</v>
      </c>
      <c r="M2041" s="2"/>
    </row>
    <row r="2042" spans="1:13" ht="15.75">
      <c r="A2042" t="s">
        <v>28</v>
      </c>
      <c r="B2042">
        <f ca="1">IF(OR(changes[[#This Row],[Type]]="Checklist",changes[[#This Row],[Type]]="checklist-flat"),1+IF(changes[[#This Row],[Type of change]] = "Edit",COUNTIFS($I$4:changes[[#This Row],[Name]],changes[[#This Row],[Name]], $E$4:changes[[#This Row],[Type of change]], "Edit")),B2041)</f>
        <v>1</v>
      </c>
      <c r="C2042" s="16">
        <v>44804</v>
      </c>
      <c r="D2042" s="1" t="s">
        <v>2579</v>
      </c>
      <c r="E2042" t="s">
        <v>27</v>
      </c>
      <c r="F2042" s="10" t="s">
        <v>52</v>
      </c>
      <c r="G2042" s="10" t="s">
        <v>1611</v>
      </c>
      <c r="H2042" s="2" t="s">
        <v>478</v>
      </c>
      <c r="I2042" s="18" t="s">
        <v>1611</v>
      </c>
      <c r="J2042" s="23"/>
      <c r="K2042" s="2" t="s">
        <v>2847</v>
      </c>
      <c r="M2042" s="2"/>
    </row>
    <row r="2043" spans="1:13" ht="15.75">
      <c r="A2043" t="s">
        <v>28</v>
      </c>
      <c r="B2043">
        <f ca="1">IF(OR(changes[[#This Row],[Type]]="Checklist",changes[[#This Row],[Type]]="checklist-flat"),1+IF(changes[[#This Row],[Type of change]] = "Edit",COUNTIFS($I$4:changes[[#This Row],[Name]],changes[[#This Row],[Name]], $E$4:changes[[#This Row],[Type of change]], "Edit")),B2042)</f>
        <v>1</v>
      </c>
      <c r="C2043" s="16">
        <v>44804</v>
      </c>
      <c r="D2043" s="1" t="s">
        <v>2579</v>
      </c>
      <c r="E2043" t="s">
        <v>27</v>
      </c>
      <c r="F2043" s="10" t="s">
        <v>52</v>
      </c>
      <c r="G2043" s="10" t="s">
        <v>1611</v>
      </c>
      <c r="H2043" s="2" t="s">
        <v>479</v>
      </c>
      <c r="I2043" s="18" t="s">
        <v>1612</v>
      </c>
      <c r="J2043" s="23"/>
      <c r="K2043" s="2" t="s">
        <v>2848</v>
      </c>
      <c r="M2043" s="2"/>
    </row>
    <row r="2044" spans="1:13" ht="15.75">
      <c r="A2044" t="s">
        <v>28</v>
      </c>
      <c r="B2044">
        <f ca="1">IF(OR(changes[[#This Row],[Type]]="Checklist",changes[[#This Row],[Type]]="checklist-flat"),1+IF(changes[[#This Row],[Type of change]] = "Edit",COUNTIFS($I$4:changes[[#This Row],[Name]],changes[[#This Row],[Name]], $E$4:changes[[#This Row],[Type of change]], "Edit")),B2043)</f>
        <v>1</v>
      </c>
      <c r="C2044" s="16">
        <v>44804</v>
      </c>
      <c r="D2044" s="1" t="s">
        <v>2579</v>
      </c>
      <c r="E2044" t="s">
        <v>27</v>
      </c>
      <c r="F2044" s="10" t="s">
        <v>52</v>
      </c>
      <c r="G2044" s="10" t="s">
        <v>1611</v>
      </c>
      <c r="H2044" s="19" t="s">
        <v>722</v>
      </c>
      <c r="I2044" s="18" t="s">
        <v>1612</v>
      </c>
      <c r="J2044" s="22"/>
      <c r="K2044" s="2" t="s">
        <v>2848</v>
      </c>
      <c r="M2044" s="42" t="s">
        <v>2849</v>
      </c>
    </row>
    <row r="2045" spans="1:13" ht="15.75">
      <c r="A2045" t="s">
        <v>28</v>
      </c>
      <c r="B2045">
        <f ca="1">IF(OR(changes[[#This Row],[Type]]="Checklist",changes[[#This Row],[Type]]="checklist-flat"),1+IF(changes[[#This Row],[Type of change]] = "Edit",COUNTIFS($I$4:changes[[#This Row],[Name]],changes[[#This Row],[Name]], $E$4:changes[[#This Row],[Type of change]], "Edit")),B2044)</f>
        <v>1</v>
      </c>
      <c r="C2045" s="16">
        <v>44804</v>
      </c>
      <c r="D2045" s="1" t="s">
        <v>2579</v>
      </c>
      <c r="E2045" t="s">
        <v>27</v>
      </c>
      <c r="F2045" s="10" t="s">
        <v>52</v>
      </c>
      <c r="G2045" s="10" t="s">
        <v>1611</v>
      </c>
      <c r="H2045" s="2" t="s">
        <v>214</v>
      </c>
      <c r="I2045" s="18" t="s">
        <v>1613</v>
      </c>
      <c r="J2045" s="23"/>
      <c r="K2045" s="2" t="s">
        <v>2848</v>
      </c>
      <c r="M2045" s="43" t="s">
        <v>2850</v>
      </c>
    </row>
    <row r="2046" spans="1:13" ht="15.75">
      <c r="A2046" t="s">
        <v>28</v>
      </c>
      <c r="B2046">
        <f ca="1">IF(OR(changes[[#This Row],[Type]]="Checklist",changes[[#This Row],[Type]]="checklist-flat"),1+IF(changes[[#This Row],[Type of change]] = "Edit",COUNTIFS($I$4:changes[[#This Row],[Name]],changes[[#This Row],[Name]], $E$4:changes[[#This Row],[Type of change]], "Edit")),B2045)</f>
        <v>1</v>
      </c>
      <c r="C2046" s="16">
        <v>44804</v>
      </c>
      <c r="D2046" s="1" t="s">
        <v>2579</v>
      </c>
      <c r="E2046" t="s">
        <v>27</v>
      </c>
      <c r="F2046" s="10" t="s">
        <v>52</v>
      </c>
      <c r="G2046" s="10" t="s">
        <v>1611</v>
      </c>
      <c r="H2046" s="2" t="s">
        <v>214</v>
      </c>
      <c r="I2046" s="18" t="s">
        <v>1614</v>
      </c>
      <c r="J2046" s="23"/>
      <c r="K2046" s="2" t="s">
        <v>2848</v>
      </c>
      <c r="M2046" s="2"/>
    </row>
    <row r="2047" spans="1:13" ht="15.75">
      <c r="A2047" t="s">
        <v>28</v>
      </c>
      <c r="B2047">
        <f ca="1">IF(OR(changes[[#This Row],[Type]]="Checklist",changes[[#This Row],[Type]]="checklist-flat"),1+IF(changes[[#This Row],[Type of change]] = "Edit",COUNTIFS($I$4:changes[[#This Row],[Name]],changes[[#This Row],[Name]], $E$4:changes[[#This Row],[Type of change]], "Edit")),B2046)</f>
        <v>1</v>
      </c>
      <c r="C2047" s="16">
        <v>44804</v>
      </c>
      <c r="D2047" s="1" t="s">
        <v>2579</v>
      </c>
      <c r="E2047" t="s">
        <v>27</v>
      </c>
      <c r="F2047" s="10" t="s">
        <v>52</v>
      </c>
      <c r="G2047" s="10" t="s">
        <v>1611</v>
      </c>
      <c r="H2047" s="2" t="s">
        <v>479</v>
      </c>
      <c r="I2047" s="18" t="s">
        <v>1617</v>
      </c>
      <c r="J2047" s="23"/>
      <c r="K2047" s="2" t="s">
        <v>2848</v>
      </c>
      <c r="M2047" s="2"/>
    </row>
    <row r="2048" spans="1:13" ht="15.75">
      <c r="A2048" t="s">
        <v>28</v>
      </c>
      <c r="B2048">
        <f ca="1">IF(OR(changes[[#This Row],[Type]]="Checklist",changes[[#This Row],[Type]]="checklist-flat"),1+IF(changes[[#This Row],[Type of change]] = "Edit",COUNTIFS($I$4:changes[[#This Row],[Name]],changes[[#This Row],[Name]], $E$4:changes[[#This Row],[Type of change]], "Edit")),B2047)</f>
        <v>1</v>
      </c>
      <c r="C2048" s="16">
        <v>44804</v>
      </c>
      <c r="D2048" s="1" t="s">
        <v>2579</v>
      </c>
      <c r="E2048" t="s">
        <v>27</v>
      </c>
      <c r="F2048" s="10" t="s">
        <v>52</v>
      </c>
      <c r="G2048" s="10" t="s">
        <v>1611</v>
      </c>
      <c r="H2048" s="19" t="s">
        <v>722</v>
      </c>
      <c r="I2048" s="21" t="s">
        <v>1617</v>
      </c>
      <c r="J2048" s="22"/>
      <c r="K2048" s="2" t="s">
        <v>2848</v>
      </c>
      <c r="M2048" s="2"/>
    </row>
    <row r="2049" spans="1:13" ht="15.75">
      <c r="A2049" t="s">
        <v>28</v>
      </c>
      <c r="B2049">
        <f ca="1">IF(OR(changes[[#This Row],[Type]]="Checklist",changes[[#This Row],[Type]]="checklist-flat"),1+IF(changes[[#This Row],[Type of change]] = "Edit",COUNTIFS($I$4:changes[[#This Row],[Name]],changes[[#This Row],[Name]], $E$4:changes[[#This Row],[Type of change]], "Edit")),B2048)</f>
        <v>1</v>
      </c>
      <c r="C2049" s="16">
        <v>44804</v>
      </c>
      <c r="D2049" s="1" t="s">
        <v>2579</v>
      </c>
      <c r="E2049" t="s">
        <v>27</v>
      </c>
      <c r="F2049" s="10" t="s">
        <v>52</v>
      </c>
      <c r="G2049" s="10" t="s">
        <v>1611</v>
      </c>
      <c r="H2049" s="2" t="s">
        <v>214</v>
      </c>
      <c r="I2049" s="18" t="s">
        <v>1618</v>
      </c>
      <c r="J2049" s="23"/>
      <c r="K2049" s="2" t="s">
        <v>2848</v>
      </c>
      <c r="M2049" s="42" t="s">
        <v>2851</v>
      </c>
    </row>
    <row r="2050" spans="1:13" ht="15.75">
      <c r="A2050" t="s">
        <v>28</v>
      </c>
      <c r="B2050">
        <f ca="1">IF(OR(changes[[#This Row],[Type]]="Checklist",changes[[#This Row],[Type]]="checklist-flat"),1+IF(changes[[#This Row],[Type of change]] = "Edit",COUNTIFS($I$4:changes[[#This Row],[Name]],changes[[#This Row],[Name]], $E$4:changes[[#This Row],[Type of change]], "Edit")),B2049)</f>
        <v>1</v>
      </c>
      <c r="C2050" s="16">
        <v>44804</v>
      </c>
      <c r="D2050" s="1" t="s">
        <v>2579</v>
      </c>
      <c r="E2050" t="s">
        <v>27</v>
      </c>
      <c r="F2050" s="10" t="s">
        <v>52</v>
      </c>
      <c r="G2050" s="10" t="s">
        <v>1611</v>
      </c>
      <c r="H2050" s="2" t="s">
        <v>214</v>
      </c>
      <c r="I2050" s="18" t="s">
        <v>1619</v>
      </c>
      <c r="J2050" s="23"/>
      <c r="K2050" s="2" t="s">
        <v>2848</v>
      </c>
      <c r="M2050" s="2"/>
    </row>
    <row r="2051" spans="1:13" ht="15.75">
      <c r="A2051" t="s">
        <v>28</v>
      </c>
      <c r="B2051">
        <f ca="1">IF(OR(changes[[#This Row],[Type]]="Checklist",changes[[#This Row],[Type]]="checklist-flat"),1+IF(changes[[#This Row],[Type of change]] = "Edit",COUNTIFS($I$4:changes[[#This Row],[Name]],changes[[#This Row],[Name]], $E$4:changes[[#This Row],[Type of change]], "Edit")),B2050)</f>
        <v>1</v>
      </c>
      <c r="C2051" s="16">
        <v>44804</v>
      </c>
      <c r="D2051" s="1" t="s">
        <v>2579</v>
      </c>
      <c r="E2051" t="s">
        <v>27</v>
      </c>
      <c r="F2051" s="10" t="s">
        <v>52</v>
      </c>
      <c r="G2051" s="10" t="s">
        <v>1611</v>
      </c>
      <c r="H2051" s="2" t="s">
        <v>214</v>
      </c>
      <c r="I2051" s="18" t="s">
        <v>1620</v>
      </c>
      <c r="J2051" s="23"/>
      <c r="K2051" s="2" t="s">
        <v>2848</v>
      </c>
      <c r="M2051" s="2"/>
    </row>
    <row r="2052" spans="1:13" ht="15.75">
      <c r="A2052" t="s">
        <v>28</v>
      </c>
      <c r="B2052">
        <f ca="1">IF(OR(changes[[#This Row],[Type]]="Checklist",changes[[#This Row],[Type]]="checklist-flat"),1+IF(changes[[#This Row],[Type of change]] = "Edit",COUNTIFS($I$4:changes[[#This Row],[Name]],changes[[#This Row],[Name]], $E$4:changes[[#This Row],[Type of change]], "Edit")),B2051)</f>
        <v>1</v>
      </c>
      <c r="C2052" s="16">
        <v>44804</v>
      </c>
      <c r="D2052" s="1" t="s">
        <v>2579</v>
      </c>
      <c r="E2052" t="s">
        <v>27</v>
      </c>
      <c r="F2052" s="10" t="s">
        <v>52</v>
      </c>
      <c r="G2052" s="10" t="s">
        <v>1611</v>
      </c>
      <c r="H2052" s="2" t="s">
        <v>55</v>
      </c>
      <c r="I2052" s="18" t="s">
        <v>1621</v>
      </c>
      <c r="J2052" s="23"/>
      <c r="K2052" s="2" t="s">
        <v>2848</v>
      </c>
      <c r="M2052" s="2"/>
    </row>
    <row r="2053" spans="1:13" ht="15.75">
      <c r="A2053" t="s">
        <v>28</v>
      </c>
      <c r="B2053">
        <f ca="1">IF(OR(changes[[#This Row],[Type]]="Checklist",changes[[#This Row],[Type]]="checklist-flat"),1+IF(changes[[#This Row],[Type of change]] = "Edit",COUNTIFS($I$4:changes[[#This Row],[Name]],changes[[#This Row],[Name]], $E$4:changes[[#This Row],[Type of change]], "Edit")),B2052)</f>
        <v>1</v>
      </c>
      <c r="C2053" s="16">
        <v>44804</v>
      </c>
      <c r="D2053" s="1" t="s">
        <v>2579</v>
      </c>
      <c r="E2053" t="s">
        <v>27</v>
      </c>
      <c r="F2053" s="10" t="s">
        <v>52</v>
      </c>
      <c r="G2053" s="10" t="s">
        <v>1611</v>
      </c>
      <c r="H2053" s="2" t="s">
        <v>479</v>
      </c>
      <c r="I2053" s="18" t="s">
        <v>1622</v>
      </c>
      <c r="J2053" s="23"/>
      <c r="K2053" s="2" t="s">
        <v>2848</v>
      </c>
      <c r="M2053" s="2"/>
    </row>
    <row r="2054" spans="1:13" ht="15.75">
      <c r="A2054" t="s">
        <v>28</v>
      </c>
      <c r="B2054">
        <f ca="1">IF(OR(changes[[#This Row],[Type]]="Checklist",changes[[#This Row],[Type]]="checklist-flat"),1+IF(changes[[#This Row],[Type of change]] = "Edit",COUNTIFS($I$4:changes[[#This Row],[Name]],changes[[#This Row],[Name]], $E$4:changes[[#This Row],[Type of change]], "Edit")),B2053)</f>
        <v>1</v>
      </c>
      <c r="C2054" s="16">
        <v>44804</v>
      </c>
      <c r="D2054" s="1" t="s">
        <v>2579</v>
      </c>
      <c r="E2054" t="s">
        <v>27</v>
      </c>
      <c r="F2054" s="10" t="s">
        <v>52</v>
      </c>
      <c r="G2054" s="10" t="s">
        <v>1611</v>
      </c>
      <c r="H2054" s="2" t="s">
        <v>55</v>
      </c>
      <c r="I2054" s="18" t="s">
        <v>1623</v>
      </c>
      <c r="J2054" s="23"/>
      <c r="K2054" s="2" t="s">
        <v>2848</v>
      </c>
      <c r="M2054" s="2"/>
    </row>
    <row r="2055" spans="1:13" ht="15.75">
      <c r="A2055" t="s">
        <v>28</v>
      </c>
      <c r="B2055">
        <f ca="1">IF(OR(changes[[#This Row],[Type]]="Checklist",changes[[#This Row],[Type]]="checklist-flat"),1+IF(changes[[#This Row],[Type of change]] = "Edit",COUNTIFS($I$4:changes[[#This Row],[Name]],changes[[#This Row],[Name]], $E$4:changes[[#This Row],[Type of change]], "Edit")),B2054)</f>
        <v>1</v>
      </c>
      <c r="C2055" s="16">
        <v>44804</v>
      </c>
      <c r="D2055" s="1" t="s">
        <v>2579</v>
      </c>
      <c r="E2055" t="s">
        <v>27</v>
      </c>
      <c r="F2055" s="10" t="s">
        <v>52</v>
      </c>
      <c r="G2055" s="10" t="s">
        <v>1611</v>
      </c>
      <c r="H2055" s="2" t="s">
        <v>55</v>
      </c>
      <c r="I2055" s="18" t="s">
        <v>1624</v>
      </c>
      <c r="J2055" s="23"/>
      <c r="K2055" s="2" t="s">
        <v>2848</v>
      </c>
      <c r="M2055" s="2"/>
    </row>
    <row r="2056" spans="1:13" ht="15.75">
      <c r="A2056" t="s">
        <v>28</v>
      </c>
      <c r="B2056">
        <f ca="1">IF(OR(changes[[#This Row],[Type]]="Checklist",changes[[#This Row],[Type]]="checklist-flat"),1+IF(changes[[#This Row],[Type of change]] = "Edit",COUNTIFS($I$4:changes[[#This Row],[Name]],changes[[#This Row],[Name]], $E$4:changes[[#This Row],[Type of change]], "Edit")),B2055)</f>
        <v>1</v>
      </c>
      <c r="C2056" s="16">
        <v>44804</v>
      </c>
      <c r="D2056" s="1" t="s">
        <v>2579</v>
      </c>
      <c r="E2056" t="s">
        <v>27</v>
      </c>
      <c r="F2056" s="10" t="s">
        <v>52</v>
      </c>
      <c r="G2056" s="10" t="s">
        <v>1611</v>
      </c>
      <c r="H2056" s="2" t="s">
        <v>55</v>
      </c>
      <c r="I2056" s="18" t="s">
        <v>1625</v>
      </c>
      <c r="J2056" s="23"/>
      <c r="K2056" s="2" t="s">
        <v>2848</v>
      </c>
      <c r="M2056" s="2"/>
    </row>
    <row r="2057" spans="1:13" ht="15.75">
      <c r="A2057" t="s">
        <v>28</v>
      </c>
      <c r="B2057">
        <f ca="1">IF(OR(changes[[#This Row],[Type]]="Checklist",changes[[#This Row],[Type]]="checklist-flat"),1+IF(changes[[#This Row],[Type of change]] = "Edit",COUNTIFS($I$4:changes[[#This Row],[Name]],changes[[#This Row],[Name]], $E$4:changes[[#This Row],[Type of change]], "Edit")),B2056)</f>
        <v>1</v>
      </c>
      <c r="C2057" s="16">
        <v>44804</v>
      </c>
      <c r="D2057" s="1" t="s">
        <v>2579</v>
      </c>
      <c r="E2057" t="s">
        <v>27</v>
      </c>
      <c r="F2057" s="10" t="s">
        <v>52</v>
      </c>
      <c r="G2057" s="10" t="s">
        <v>1611</v>
      </c>
      <c r="H2057" s="2" t="s">
        <v>55</v>
      </c>
      <c r="I2057" s="18" t="s">
        <v>1626</v>
      </c>
      <c r="J2057" s="23"/>
      <c r="K2057" s="2" t="s">
        <v>2848</v>
      </c>
      <c r="M2057" s="2"/>
    </row>
    <row r="2058" spans="1:13" ht="15.75">
      <c r="A2058" t="s">
        <v>28</v>
      </c>
      <c r="B2058">
        <f ca="1">IF(OR(changes[[#This Row],[Type]]="Checklist",changes[[#This Row],[Type]]="checklist-flat"),1+IF(changes[[#This Row],[Type of change]] = "Edit",COUNTIFS($I$4:changes[[#This Row],[Name]],changes[[#This Row],[Name]], $E$4:changes[[#This Row],[Type of change]], "Edit")),B2057)</f>
        <v>1</v>
      </c>
      <c r="C2058" s="16">
        <v>44804</v>
      </c>
      <c r="D2058" s="1" t="s">
        <v>2579</v>
      </c>
      <c r="E2058" t="s">
        <v>27</v>
      </c>
      <c r="F2058" s="10" t="s">
        <v>52</v>
      </c>
      <c r="G2058" s="10" t="s">
        <v>1611</v>
      </c>
      <c r="H2058" s="2" t="s">
        <v>55</v>
      </c>
      <c r="I2058" s="18" t="s">
        <v>1627</v>
      </c>
      <c r="J2058" s="23"/>
      <c r="K2058" s="2" t="s">
        <v>2848</v>
      </c>
      <c r="M2058" s="2"/>
    </row>
    <row r="2059" spans="1:13" ht="15.75">
      <c r="A2059" t="s">
        <v>28</v>
      </c>
      <c r="B2059">
        <f ca="1">IF(OR(changes[[#This Row],[Type]]="Checklist",changes[[#This Row],[Type]]="checklist-flat"),1+IF(changes[[#This Row],[Type of change]] = "Edit",COUNTIFS($I$4:changes[[#This Row],[Name]],changes[[#This Row],[Name]], $E$4:changes[[#This Row],[Type of change]], "Edit")),B2058)</f>
        <v>1</v>
      </c>
      <c r="C2059" s="16">
        <v>44804</v>
      </c>
      <c r="D2059" s="1" t="s">
        <v>2579</v>
      </c>
      <c r="E2059" t="s">
        <v>27</v>
      </c>
      <c r="F2059" s="10" t="s">
        <v>52</v>
      </c>
      <c r="G2059" s="10" t="s">
        <v>1611</v>
      </c>
      <c r="H2059" s="2" t="s">
        <v>55</v>
      </c>
      <c r="I2059" s="18" t="s">
        <v>1628</v>
      </c>
      <c r="J2059" s="23"/>
      <c r="K2059" s="2" t="s">
        <v>2848</v>
      </c>
      <c r="M2059" s="2"/>
    </row>
    <row r="2060" spans="1:13" ht="15.75">
      <c r="A2060" t="s">
        <v>28</v>
      </c>
      <c r="B2060">
        <f ca="1">IF(OR(changes[[#This Row],[Type]]="Checklist",changes[[#This Row],[Type]]="checklist-flat"),1+IF(changes[[#This Row],[Type of change]] = "Edit",COUNTIFS($I$4:changes[[#This Row],[Name]],changes[[#This Row],[Name]], $E$4:changes[[#This Row],[Type of change]], "Edit")),B2059)</f>
        <v>1</v>
      </c>
      <c r="C2060" s="16">
        <v>44804</v>
      </c>
      <c r="D2060" s="1" t="s">
        <v>2579</v>
      </c>
      <c r="E2060" t="s">
        <v>27</v>
      </c>
      <c r="F2060" s="10" t="s">
        <v>52</v>
      </c>
      <c r="G2060" s="10" t="s">
        <v>1611</v>
      </c>
      <c r="H2060" s="2" t="s">
        <v>64</v>
      </c>
      <c r="I2060" s="18" t="s">
        <v>1610</v>
      </c>
      <c r="J2060" s="23"/>
      <c r="K2060" s="2" t="s">
        <v>2848</v>
      </c>
      <c r="M2060" s="2"/>
    </row>
    <row r="2061" spans="1:13" ht="15.75">
      <c r="A2061" t="s">
        <v>28</v>
      </c>
      <c r="B2061">
        <f ca="1">IF(OR(changes[[#This Row],[Type]]="Checklist",changes[[#This Row],[Type]]="checklist-flat"),1+IF(changes[[#This Row],[Type of change]] = "Edit",COUNTIFS($I$4:changes[[#This Row],[Name]],changes[[#This Row],[Name]], $E$4:changes[[#This Row],[Type of change]], "Edit")),B2060)</f>
        <v>1</v>
      </c>
      <c r="C2061" s="16">
        <v>44804</v>
      </c>
      <c r="D2061" s="1" t="s">
        <v>2579</v>
      </c>
      <c r="E2061" t="s">
        <v>27</v>
      </c>
      <c r="F2061" s="10" t="s">
        <v>52</v>
      </c>
      <c r="G2061" s="10" t="s">
        <v>2852</v>
      </c>
      <c r="H2061" s="2" t="s">
        <v>478</v>
      </c>
      <c r="I2061" s="18" t="s">
        <v>2852</v>
      </c>
      <c r="J2061" s="23"/>
      <c r="K2061" s="2" t="s">
        <v>2848</v>
      </c>
      <c r="M2061" s="2"/>
    </row>
    <row r="2062" spans="1:13" ht="15.75">
      <c r="A2062" t="s">
        <v>28</v>
      </c>
      <c r="B2062">
        <f ca="1">IF(OR(changes[[#This Row],[Type]]="Checklist",changes[[#This Row],[Type]]="checklist-flat"),1+IF(changes[[#This Row],[Type of change]] = "Edit",COUNTIFS($I$4:changes[[#This Row],[Name]],changes[[#This Row],[Name]], $E$4:changes[[#This Row],[Type of change]], "Edit")),B2061)</f>
        <v>1</v>
      </c>
      <c r="C2062" s="16">
        <v>44804</v>
      </c>
      <c r="D2062" s="1" t="s">
        <v>2579</v>
      </c>
      <c r="E2062" t="s">
        <v>27</v>
      </c>
      <c r="F2062" s="10" t="s">
        <v>52</v>
      </c>
      <c r="G2062" s="10" t="s">
        <v>2852</v>
      </c>
      <c r="H2062" s="2" t="s">
        <v>479</v>
      </c>
      <c r="I2062" s="18" t="s">
        <v>1586</v>
      </c>
      <c r="J2062" s="23"/>
      <c r="K2062" s="2" t="s">
        <v>2848</v>
      </c>
      <c r="M2062" s="2"/>
    </row>
    <row r="2063" spans="1:13" ht="15.75">
      <c r="A2063" t="s">
        <v>28</v>
      </c>
      <c r="B2063">
        <f ca="1">IF(OR(changes[[#This Row],[Type]]="Checklist",changes[[#This Row],[Type]]="checklist-flat"),1+IF(changes[[#This Row],[Type of change]] = "Edit",COUNTIFS($I$4:changes[[#This Row],[Name]],changes[[#This Row],[Name]], $E$4:changes[[#This Row],[Type of change]], "Edit")),B2062)</f>
        <v>1</v>
      </c>
      <c r="C2063" s="16">
        <v>44804</v>
      </c>
      <c r="D2063" s="1" t="s">
        <v>2579</v>
      </c>
      <c r="E2063" t="s">
        <v>27</v>
      </c>
      <c r="F2063" s="10" t="s">
        <v>52</v>
      </c>
      <c r="G2063" s="10" t="s">
        <v>2852</v>
      </c>
      <c r="H2063" s="19" t="s">
        <v>722</v>
      </c>
      <c r="I2063" s="21" t="s">
        <v>1586</v>
      </c>
      <c r="J2063" s="22"/>
      <c r="K2063" s="2" t="s">
        <v>2848</v>
      </c>
      <c r="M2063" s="2"/>
    </row>
    <row r="2064" spans="1:13" ht="15.75">
      <c r="A2064" t="s">
        <v>28</v>
      </c>
      <c r="B2064">
        <f ca="1">IF(OR(changes[[#This Row],[Type]]="Checklist",changes[[#This Row],[Type]]="checklist-flat"),1+IF(changes[[#This Row],[Type of change]] = "Edit",COUNTIFS($I$4:changes[[#This Row],[Name]],changes[[#This Row],[Name]], $E$4:changes[[#This Row],[Type of change]], "Edit")),B2063)</f>
        <v>1</v>
      </c>
      <c r="C2064" s="16">
        <v>44804</v>
      </c>
      <c r="D2064" s="1" t="s">
        <v>2579</v>
      </c>
      <c r="E2064" t="s">
        <v>27</v>
      </c>
      <c r="F2064" s="10" t="s">
        <v>52</v>
      </c>
      <c r="G2064" s="10" t="s">
        <v>2852</v>
      </c>
      <c r="H2064" s="2" t="s">
        <v>214</v>
      </c>
      <c r="I2064" s="18" t="s">
        <v>1587</v>
      </c>
      <c r="J2064" s="23"/>
      <c r="K2064" s="2" t="s">
        <v>2848</v>
      </c>
      <c r="M2064" s="42" t="s">
        <v>2851</v>
      </c>
    </row>
    <row r="2065" spans="1:13" ht="15.75">
      <c r="A2065" t="s">
        <v>28</v>
      </c>
      <c r="B2065">
        <f ca="1">IF(OR(changes[[#This Row],[Type]]="Checklist",changes[[#This Row],[Type]]="checklist-flat"),1+IF(changes[[#This Row],[Type of change]] = "Edit",COUNTIFS($I$4:changes[[#This Row],[Name]],changes[[#This Row],[Name]], $E$4:changes[[#This Row],[Type of change]], "Edit")),B2064)</f>
        <v>1</v>
      </c>
      <c r="C2065" s="16">
        <v>44804</v>
      </c>
      <c r="D2065" s="1" t="s">
        <v>2579</v>
      </c>
      <c r="E2065" t="s">
        <v>27</v>
      </c>
      <c r="F2065" s="10" t="s">
        <v>52</v>
      </c>
      <c r="G2065" s="10" t="s">
        <v>2852</v>
      </c>
      <c r="H2065" s="2" t="s">
        <v>99</v>
      </c>
      <c r="I2065" s="18" t="s">
        <v>1588</v>
      </c>
      <c r="J2065" s="23"/>
      <c r="K2065" s="2" t="s">
        <v>2848</v>
      </c>
      <c r="M2065" s="42" t="s">
        <v>2853</v>
      </c>
    </row>
    <row r="2066" spans="1:13" ht="15.75">
      <c r="A2066" t="s">
        <v>28</v>
      </c>
      <c r="B2066">
        <f ca="1">IF(OR(changes[[#This Row],[Type]]="Checklist",changes[[#This Row],[Type]]="checklist-flat"),1+IF(changes[[#This Row],[Type of change]] = "Edit",COUNTIFS($I$4:changes[[#This Row],[Name]],changes[[#This Row],[Name]], $E$4:changes[[#This Row],[Type of change]], "Edit")),B2065)</f>
        <v>1</v>
      </c>
      <c r="C2066" s="16">
        <v>44804</v>
      </c>
      <c r="D2066" s="1" t="s">
        <v>2579</v>
      </c>
      <c r="E2066" t="s">
        <v>27</v>
      </c>
      <c r="F2066" s="10" t="s">
        <v>52</v>
      </c>
      <c r="G2066" s="10" t="s">
        <v>2852</v>
      </c>
      <c r="H2066" s="2" t="s">
        <v>99</v>
      </c>
      <c r="I2066" s="18" t="s">
        <v>1589</v>
      </c>
      <c r="J2066" s="23"/>
      <c r="K2066" s="2" t="s">
        <v>2848</v>
      </c>
      <c r="M2066" s="42" t="s">
        <v>2853</v>
      </c>
    </row>
    <row r="2067" spans="1:13" ht="15.75">
      <c r="A2067" t="s">
        <v>28</v>
      </c>
      <c r="B2067">
        <f ca="1">IF(OR(changes[[#This Row],[Type]]="Checklist",changes[[#This Row],[Type]]="checklist-flat"),1+IF(changes[[#This Row],[Type of change]] = "Edit",COUNTIFS($I$4:changes[[#This Row],[Name]],changes[[#This Row],[Name]], $E$4:changes[[#This Row],[Type of change]], "Edit")),B2066)</f>
        <v>1</v>
      </c>
      <c r="C2067" s="16">
        <v>44804</v>
      </c>
      <c r="D2067" s="1" t="s">
        <v>2579</v>
      </c>
      <c r="E2067" t="s">
        <v>27</v>
      </c>
      <c r="F2067" s="10" t="s">
        <v>52</v>
      </c>
      <c r="G2067" s="10" t="s">
        <v>2852</v>
      </c>
      <c r="H2067" s="2" t="s">
        <v>55</v>
      </c>
      <c r="I2067" s="18" t="s">
        <v>1590</v>
      </c>
      <c r="J2067" s="23"/>
      <c r="K2067" s="2" t="s">
        <v>2848</v>
      </c>
      <c r="M2067" s="2"/>
    </row>
    <row r="2068" spans="1:13" ht="15.75">
      <c r="A2068" t="s">
        <v>28</v>
      </c>
      <c r="B2068">
        <f ca="1">IF(OR(changes[[#This Row],[Type]]="Checklist",changes[[#This Row],[Type]]="checklist-flat"),1+IF(changes[[#This Row],[Type of change]] = "Edit",COUNTIFS($I$4:changes[[#This Row],[Name]],changes[[#This Row],[Name]], $E$4:changes[[#This Row],[Type of change]], "Edit")),B2067)</f>
        <v>1</v>
      </c>
      <c r="C2068" s="16">
        <v>44804</v>
      </c>
      <c r="D2068" s="1" t="s">
        <v>2579</v>
      </c>
      <c r="E2068" t="s">
        <v>27</v>
      </c>
      <c r="F2068" s="10" t="s">
        <v>52</v>
      </c>
      <c r="G2068" s="10" t="s">
        <v>2852</v>
      </c>
      <c r="H2068" s="2" t="s">
        <v>55</v>
      </c>
      <c r="I2068" s="18" t="s">
        <v>1591</v>
      </c>
      <c r="J2068" s="23"/>
      <c r="K2068" s="2" t="s">
        <v>2848</v>
      </c>
      <c r="M2068" s="2"/>
    </row>
    <row r="2069" spans="1:13" ht="15.75">
      <c r="A2069" t="s">
        <v>28</v>
      </c>
      <c r="B2069">
        <f ca="1">IF(OR(changes[[#This Row],[Type]]="Checklist",changes[[#This Row],[Type]]="checklist-flat"),1+IF(changes[[#This Row],[Type of change]] = "Edit",COUNTIFS($I$4:changes[[#This Row],[Name]],changes[[#This Row],[Name]], $E$4:changes[[#This Row],[Type of change]], "Edit")),B2068)</f>
        <v>1</v>
      </c>
      <c r="C2069" s="16">
        <v>44804</v>
      </c>
      <c r="D2069" s="1" t="s">
        <v>2579</v>
      </c>
      <c r="E2069" t="s">
        <v>27</v>
      </c>
      <c r="F2069" s="10" t="s">
        <v>52</v>
      </c>
      <c r="G2069" s="10" t="s">
        <v>2852</v>
      </c>
      <c r="H2069" s="2" t="s">
        <v>55</v>
      </c>
      <c r="I2069" s="18" t="s">
        <v>1592</v>
      </c>
      <c r="J2069" s="23"/>
      <c r="K2069" s="2" t="s">
        <v>2848</v>
      </c>
      <c r="M2069" s="2"/>
    </row>
    <row r="2070" spans="1:13" ht="15.75">
      <c r="A2070" t="s">
        <v>28</v>
      </c>
      <c r="B2070">
        <f ca="1">IF(OR(changes[[#This Row],[Type]]="Checklist",changes[[#This Row],[Type]]="checklist-flat"),1+IF(changes[[#This Row],[Type of change]] = "Edit",COUNTIFS($I$4:changes[[#This Row],[Name]],changes[[#This Row],[Name]], $E$4:changes[[#This Row],[Type of change]], "Edit")),B2069)</f>
        <v>1</v>
      </c>
      <c r="C2070" s="16">
        <v>44804</v>
      </c>
      <c r="D2070" s="1" t="s">
        <v>2579</v>
      </c>
      <c r="E2070" t="s">
        <v>27</v>
      </c>
      <c r="F2070" s="10" t="s">
        <v>52</v>
      </c>
      <c r="G2070" s="10" t="s">
        <v>2852</v>
      </c>
      <c r="H2070" s="2" t="s">
        <v>55</v>
      </c>
      <c r="I2070" s="18" t="s">
        <v>1593</v>
      </c>
      <c r="J2070" s="23"/>
      <c r="K2070" s="2" t="s">
        <v>2848</v>
      </c>
      <c r="M2070" s="2"/>
    </row>
    <row r="2071" spans="1:13" ht="15.75">
      <c r="A2071" t="s">
        <v>28</v>
      </c>
      <c r="B2071">
        <f ca="1">IF(OR(changes[[#This Row],[Type]]="Checklist",changes[[#This Row],[Type]]="checklist-flat"),1+IF(changes[[#This Row],[Type of change]] = "Edit",COUNTIFS($I$4:changes[[#This Row],[Name]],changes[[#This Row],[Name]], $E$4:changes[[#This Row],[Type of change]], "Edit")),B2070)</f>
        <v>1</v>
      </c>
      <c r="C2071" s="16">
        <v>44804</v>
      </c>
      <c r="D2071" s="1" t="s">
        <v>2579</v>
      </c>
      <c r="E2071" t="s">
        <v>27</v>
      </c>
      <c r="F2071" s="10" t="s">
        <v>52</v>
      </c>
      <c r="G2071" s="10" t="s">
        <v>2852</v>
      </c>
      <c r="H2071" s="2" t="s">
        <v>55</v>
      </c>
      <c r="I2071" s="18" t="s">
        <v>1594</v>
      </c>
      <c r="J2071" s="23"/>
      <c r="K2071" s="2" t="s">
        <v>2848</v>
      </c>
      <c r="M2071" s="2"/>
    </row>
    <row r="2072" spans="1:13" ht="15.75">
      <c r="A2072" t="s">
        <v>28</v>
      </c>
      <c r="B2072">
        <f ca="1">IF(OR(changes[[#This Row],[Type]]="Checklist",changes[[#This Row],[Type]]="checklist-flat"),1+IF(changes[[#This Row],[Type of change]] = "Edit",COUNTIFS($I$4:changes[[#This Row],[Name]],changes[[#This Row],[Name]], $E$4:changes[[#This Row],[Type of change]], "Edit")),B2071)</f>
        <v>1</v>
      </c>
      <c r="C2072" s="16">
        <v>44804</v>
      </c>
      <c r="D2072" s="1" t="s">
        <v>2579</v>
      </c>
      <c r="E2072" t="s">
        <v>27</v>
      </c>
      <c r="F2072" s="10" t="s">
        <v>52</v>
      </c>
      <c r="G2072" s="10" t="s">
        <v>2852</v>
      </c>
      <c r="H2072" s="2" t="s">
        <v>479</v>
      </c>
      <c r="I2072" s="18" t="s">
        <v>1596</v>
      </c>
      <c r="J2072" s="23"/>
      <c r="K2072" s="2" t="s">
        <v>2848</v>
      </c>
      <c r="M2072" s="2"/>
    </row>
    <row r="2073" spans="1:13" ht="15.75">
      <c r="A2073" t="s">
        <v>28</v>
      </c>
      <c r="B2073">
        <f ca="1">IF(OR(changes[[#This Row],[Type]]="Checklist",changes[[#This Row],[Type]]="checklist-flat"),1+IF(changes[[#This Row],[Type of change]] = "Edit",COUNTIFS($I$4:changes[[#This Row],[Name]],changes[[#This Row],[Name]], $E$4:changes[[#This Row],[Type of change]], "Edit")),B2072)</f>
        <v>1</v>
      </c>
      <c r="C2073" s="16">
        <v>44804</v>
      </c>
      <c r="D2073" s="1" t="s">
        <v>2579</v>
      </c>
      <c r="E2073" t="s">
        <v>27</v>
      </c>
      <c r="F2073" s="10" t="s">
        <v>52</v>
      </c>
      <c r="G2073" s="10" t="s">
        <v>2852</v>
      </c>
      <c r="H2073" s="2" t="s">
        <v>55</v>
      </c>
      <c r="I2073" s="18" t="s">
        <v>1597</v>
      </c>
      <c r="J2073" s="23"/>
      <c r="K2073" s="2" t="s">
        <v>2848</v>
      </c>
      <c r="M2073" s="2"/>
    </row>
    <row r="2074" spans="1:13" ht="15.75">
      <c r="A2074" t="s">
        <v>28</v>
      </c>
      <c r="B2074">
        <f ca="1">IF(OR(changes[[#This Row],[Type]]="Checklist",changes[[#This Row],[Type]]="checklist-flat"),1+IF(changes[[#This Row],[Type of change]] = "Edit",COUNTIFS($I$4:changes[[#This Row],[Name]],changes[[#This Row],[Name]], $E$4:changes[[#This Row],[Type of change]], "Edit")),B2073)</f>
        <v>1</v>
      </c>
      <c r="C2074" s="16">
        <v>44804</v>
      </c>
      <c r="D2074" s="1" t="s">
        <v>2579</v>
      </c>
      <c r="E2074" t="s">
        <v>27</v>
      </c>
      <c r="F2074" s="10" t="s">
        <v>52</v>
      </c>
      <c r="G2074" s="10" t="s">
        <v>2852</v>
      </c>
      <c r="H2074" s="2" t="s">
        <v>55</v>
      </c>
      <c r="I2074" s="18" t="s">
        <v>1598</v>
      </c>
      <c r="J2074" s="23"/>
      <c r="K2074" s="2" t="s">
        <v>2848</v>
      </c>
      <c r="M2074" s="2"/>
    </row>
    <row r="2075" spans="1:13" ht="15.75">
      <c r="A2075" t="s">
        <v>28</v>
      </c>
      <c r="B2075">
        <f ca="1">IF(OR(changes[[#This Row],[Type]]="Checklist",changes[[#This Row],[Type]]="checklist-flat"),1+IF(changes[[#This Row],[Type of change]] = "Edit",COUNTIFS($I$4:changes[[#This Row],[Name]],changes[[#This Row],[Name]], $E$4:changes[[#This Row],[Type of change]], "Edit")),B2074)</f>
        <v>1</v>
      </c>
      <c r="C2075" s="16">
        <v>44804</v>
      </c>
      <c r="D2075" s="1" t="s">
        <v>2579</v>
      </c>
      <c r="E2075" t="s">
        <v>27</v>
      </c>
      <c r="F2075" s="10" t="s">
        <v>52</v>
      </c>
      <c r="G2075" s="10" t="s">
        <v>2852</v>
      </c>
      <c r="H2075" s="2" t="s">
        <v>55</v>
      </c>
      <c r="I2075" s="18" t="s">
        <v>1599</v>
      </c>
      <c r="J2075" s="23"/>
      <c r="K2075" s="2" t="s">
        <v>2848</v>
      </c>
      <c r="M2075" s="2"/>
    </row>
    <row r="2076" spans="1:13" ht="15.75">
      <c r="A2076" t="s">
        <v>28</v>
      </c>
      <c r="B2076">
        <f ca="1">IF(OR(changes[[#This Row],[Type]]="Checklist",changes[[#This Row],[Type]]="checklist-flat"),1+IF(changes[[#This Row],[Type of change]] = "Edit",COUNTIFS($I$4:changes[[#This Row],[Name]],changes[[#This Row],[Name]], $E$4:changes[[#This Row],[Type of change]], "Edit")),B2075)</f>
        <v>1</v>
      </c>
      <c r="C2076" s="16">
        <v>44804</v>
      </c>
      <c r="D2076" s="1" t="s">
        <v>2579</v>
      </c>
      <c r="E2076" t="s">
        <v>27</v>
      </c>
      <c r="F2076" s="10" t="s">
        <v>52</v>
      </c>
      <c r="G2076" s="10" t="s">
        <v>2852</v>
      </c>
      <c r="H2076" s="2" t="s">
        <v>55</v>
      </c>
      <c r="I2076" s="18" t="s">
        <v>1600</v>
      </c>
      <c r="J2076" s="23"/>
      <c r="K2076" s="2" t="s">
        <v>2848</v>
      </c>
      <c r="M2076" s="2"/>
    </row>
    <row r="2077" spans="1:13" ht="15.75">
      <c r="A2077" t="s">
        <v>28</v>
      </c>
      <c r="B2077">
        <f ca="1">IF(OR(changes[[#This Row],[Type]]="Checklist",changes[[#This Row],[Type]]="checklist-flat"),1+IF(changes[[#This Row],[Type of change]] = "Edit",COUNTIFS($I$4:changes[[#This Row],[Name]],changes[[#This Row],[Name]], $E$4:changes[[#This Row],[Type of change]], "Edit")),B2076)</f>
        <v>1</v>
      </c>
      <c r="C2077" s="16">
        <v>44804</v>
      </c>
      <c r="D2077" s="1" t="s">
        <v>2579</v>
      </c>
      <c r="E2077" t="s">
        <v>27</v>
      </c>
      <c r="F2077" s="10" t="s">
        <v>52</v>
      </c>
      <c r="G2077" s="10" t="s">
        <v>2852</v>
      </c>
      <c r="H2077" s="2" t="s">
        <v>55</v>
      </c>
      <c r="I2077" s="18" t="s">
        <v>1601</v>
      </c>
      <c r="J2077" s="23"/>
      <c r="K2077" s="2" t="s">
        <v>2848</v>
      </c>
      <c r="M2077" s="2"/>
    </row>
    <row r="2078" spans="1:13" ht="15.75">
      <c r="A2078" t="s">
        <v>28</v>
      </c>
      <c r="B2078">
        <f ca="1">IF(OR(changes[[#This Row],[Type]]="Checklist",changes[[#This Row],[Type]]="checklist-flat"),1+IF(changes[[#This Row],[Type of change]] = "Edit",COUNTIFS($I$4:changes[[#This Row],[Name]],changes[[#This Row],[Name]], $E$4:changes[[#This Row],[Type of change]], "Edit")),B2077)</f>
        <v>1</v>
      </c>
      <c r="C2078" s="16">
        <v>44804</v>
      </c>
      <c r="D2078" s="1" t="s">
        <v>2579</v>
      </c>
      <c r="E2078" t="s">
        <v>27</v>
      </c>
      <c r="F2078" s="10" t="s">
        <v>52</v>
      </c>
      <c r="G2078" s="10" t="s">
        <v>2852</v>
      </c>
      <c r="H2078" s="2" t="s">
        <v>55</v>
      </c>
      <c r="I2078" s="18" t="s">
        <v>1602</v>
      </c>
      <c r="J2078" s="23"/>
      <c r="K2078" s="2" t="s">
        <v>2848</v>
      </c>
      <c r="M2078" s="2"/>
    </row>
    <row r="2079" spans="1:13" ht="15.75">
      <c r="A2079" t="s">
        <v>28</v>
      </c>
      <c r="B2079">
        <f ca="1">IF(OR(changes[[#This Row],[Type]]="Checklist",changes[[#This Row],[Type]]="checklist-flat"),1+IF(changes[[#This Row],[Type of change]] = "Edit",COUNTIFS($I$4:changes[[#This Row],[Name]],changes[[#This Row],[Name]], $E$4:changes[[#This Row],[Type of change]], "Edit")),B2078)</f>
        <v>1</v>
      </c>
      <c r="C2079" s="16">
        <v>44804</v>
      </c>
      <c r="D2079" s="1" t="s">
        <v>2579</v>
      </c>
      <c r="E2079" t="s">
        <v>27</v>
      </c>
      <c r="F2079" s="10" t="s">
        <v>52</v>
      </c>
      <c r="G2079" s="10" t="s">
        <v>2852</v>
      </c>
      <c r="H2079" s="2" t="s">
        <v>55</v>
      </c>
      <c r="I2079" s="18" t="s">
        <v>1603</v>
      </c>
      <c r="J2079" s="23"/>
      <c r="K2079" s="2" t="s">
        <v>2848</v>
      </c>
      <c r="M2079" s="2"/>
    </row>
    <row r="2080" spans="1:13" ht="15.75">
      <c r="A2080" t="s">
        <v>28</v>
      </c>
      <c r="B2080">
        <f ca="1">IF(OR(changes[[#This Row],[Type]]="Checklist",changes[[#This Row],[Type]]="checklist-flat"),1+IF(changes[[#This Row],[Type of change]] = "Edit",COUNTIFS($I$4:changes[[#This Row],[Name]],changes[[#This Row],[Name]], $E$4:changes[[#This Row],[Type of change]], "Edit")),B2079)</f>
        <v>1</v>
      </c>
      <c r="C2080" s="16">
        <v>44804</v>
      </c>
      <c r="D2080" s="1" t="s">
        <v>2579</v>
      </c>
      <c r="E2080" t="s">
        <v>27</v>
      </c>
      <c r="F2080" s="10" t="s">
        <v>52</v>
      </c>
      <c r="G2080" s="10" t="s">
        <v>2852</v>
      </c>
      <c r="H2080" s="2" t="s">
        <v>55</v>
      </c>
      <c r="I2080" s="18" t="s">
        <v>1604</v>
      </c>
      <c r="J2080" s="23"/>
      <c r="K2080" s="2" t="s">
        <v>2848</v>
      </c>
      <c r="M2080" s="2"/>
    </row>
    <row r="2081" spans="1:13" ht="15.75">
      <c r="A2081" t="s">
        <v>28</v>
      </c>
      <c r="B2081">
        <f ca="1">IF(OR(changes[[#This Row],[Type]]="Checklist",changes[[#This Row],[Type]]="checklist-flat"),1+IF(changes[[#This Row],[Type of change]] = "Edit",COUNTIFS($I$4:changes[[#This Row],[Name]],changes[[#This Row],[Name]], $E$4:changes[[#This Row],[Type of change]], "Edit")),B2080)</f>
        <v>1</v>
      </c>
      <c r="C2081" s="16">
        <v>44804</v>
      </c>
      <c r="D2081" s="1" t="s">
        <v>2579</v>
      </c>
      <c r="E2081" t="s">
        <v>27</v>
      </c>
      <c r="F2081" s="10" t="s">
        <v>52</v>
      </c>
      <c r="G2081" s="10" t="s">
        <v>2852</v>
      </c>
      <c r="H2081" s="2" t="s">
        <v>479</v>
      </c>
      <c r="I2081" s="18" t="s">
        <v>1605</v>
      </c>
      <c r="J2081" s="23"/>
      <c r="K2081" s="2" t="s">
        <v>2848</v>
      </c>
      <c r="M2081" s="2"/>
    </row>
    <row r="2082" spans="1:13" ht="15.75">
      <c r="A2082" t="s">
        <v>28</v>
      </c>
      <c r="B2082">
        <f ca="1">IF(OR(changes[[#This Row],[Type]]="Checklist",changes[[#This Row],[Type]]="checklist-flat"),1+IF(changes[[#This Row],[Type of change]] = "Edit",COUNTIFS($I$4:changes[[#This Row],[Name]],changes[[#This Row],[Name]], $E$4:changes[[#This Row],[Type of change]], "Edit")),B2081)</f>
        <v>1</v>
      </c>
      <c r="C2082" s="16">
        <v>44804</v>
      </c>
      <c r="D2082" s="1" t="s">
        <v>2579</v>
      </c>
      <c r="E2082" t="s">
        <v>27</v>
      </c>
      <c r="F2082" s="10" t="s">
        <v>52</v>
      </c>
      <c r="G2082" s="10" t="s">
        <v>2852</v>
      </c>
      <c r="H2082" s="19" t="s">
        <v>722</v>
      </c>
      <c r="I2082" s="21" t="s">
        <v>1605</v>
      </c>
      <c r="J2082" s="22"/>
      <c r="K2082" s="2" t="s">
        <v>2848</v>
      </c>
      <c r="M2082" s="2"/>
    </row>
    <row r="2083" spans="1:13" ht="15.75">
      <c r="A2083" t="s">
        <v>28</v>
      </c>
      <c r="B2083">
        <f ca="1">IF(OR(changes[[#This Row],[Type]]="Checklist",changes[[#This Row],[Type]]="checklist-flat"),1+IF(changes[[#This Row],[Type of change]] = "Edit",COUNTIFS($I$4:changes[[#This Row],[Name]],changes[[#This Row],[Name]], $E$4:changes[[#This Row],[Type of change]], "Edit")),B2082)</f>
        <v>1</v>
      </c>
      <c r="C2083" s="16">
        <v>44804</v>
      </c>
      <c r="D2083" s="1" t="s">
        <v>2579</v>
      </c>
      <c r="E2083" t="s">
        <v>27</v>
      </c>
      <c r="F2083" s="10" t="s">
        <v>52</v>
      </c>
      <c r="G2083" s="10" t="s">
        <v>2852</v>
      </c>
      <c r="H2083" s="2" t="s">
        <v>214</v>
      </c>
      <c r="I2083" s="18" t="s">
        <v>1606</v>
      </c>
      <c r="J2083" s="23"/>
      <c r="K2083" s="2" t="s">
        <v>2848</v>
      </c>
      <c r="M2083" s="42" t="s">
        <v>2851</v>
      </c>
    </row>
    <row r="2084" spans="1:13" ht="15.75">
      <c r="A2084" t="s">
        <v>28</v>
      </c>
      <c r="B2084">
        <f ca="1">IF(OR(changes[[#This Row],[Type]]="Checklist",changes[[#This Row],[Type]]="checklist-flat"),1+IF(changes[[#This Row],[Type of change]] = "Edit",COUNTIFS($I$4:changes[[#This Row],[Name]],changes[[#This Row],[Name]], $E$4:changes[[#This Row],[Type of change]], "Edit")),B2083)</f>
        <v>1</v>
      </c>
      <c r="C2084" s="16">
        <v>44804</v>
      </c>
      <c r="D2084" s="1" t="s">
        <v>2579</v>
      </c>
      <c r="E2084" t="s">
        <v>27</v>
      </c>
      <c r="F2084" s="10" t="s">
        <v>52</v>
      </c>
      <c r="G2084" s="10" t="s">
        <v>2852</v>
      </c>
      <c r="H2084" s="2" t="s">
        <v>55</v>
      </c>
      <c r="I2084" s="18" t="s">
        <v>1607</v>
      </c>
      <c r="J2084" s="23"/>
      <c r="K2084" s="2" t="s">
        <v>2848</v>
      </c>
      <c r="M2084" s="2"/>
    </row>
    <row r="2085" spans="1:13" ht="15.75">
      <c r="A2085" t="s">
        <v>28</v>
      </c>
      <c r="B2085">
        <f ca="1">IF(OR(changes[[#This Row],[Type]]="Checklist",changes[[#This Row],[Type]]="checklist-flat"),1+IF(changes[[#This Row],[Type of change]] = "Edit",COUNTIFS($I$4:changes[[#This Row],[Name]],changes[[#This Row],[Name]], $E$4:changes[[#This Row],[Type of change]], "Edit")),B2084)</f>
        <v>1</v>
      </c>
      <c r="C2085" s="16">
        <v>44804</v>
      </c>
      <c r="D2085" s="1" t="s">
        <v>2579</v>
      </c>
      <c r="E2085" t="s">
        <v>27</v>
      </c>
      <c r="F2085" s="10" t="s">
        <v>52</v>
      </c>
      <c r="G2085" s="10" t="s">
        <v>2852</v>
      </c>
      <c r="H2085" s="2" t="s">
        <v>55</v>
      </c>
      <c r="I2085" s="18" t="s">
        <v>1608</v>
      </c>
      <c r="J2085" s="23"/>
      <c r="K2085" s="2" t="s">
        <v>2848</v>
      </c>
      <c r="M2085" s="2"/>
    </row>
    <row r="2086" spans="1:13" ht="15.75">
      <c r="A2086" t="s">
        <v>28</v>
      </c>
      <c r="B2086">
        <f ca="1">IF(OR(changes[[#This Row],[Type]]="Checklist",changes[[#This Row],[Type]]="checklist-flat"),1+IF(changes[[#This Row],[Type of change]] = "Edit",COUNTIFS($I$4:changes[[#This Row],[Name]],changes[[#This Row],[Name]], $E$4:changes[[#This Row],[Type of change]], "Edit")),B2085)</f>
        <v>1</v>
      </c>
      <c r="C2086" s="16">
        <v>44804</v>
      </c>
      <c r="D2086" s="1" t="s">
        <v>2579</v>
      </c>
      <c r="E2086" t="s">
        <v>27</v>
      </c>
      <c r="F2086" s="10" t="s">
        <v>52</v>
      </c>
      <c r="G2086" s="10" t="s">
        <v>2852</v>
      </c>
      <c r="H2086" s="2" t="s">
        <v>55</v>
      </c>
      <c r="I2086" s="18" t="s">
        <v>1609</v>
      </c>
      <c r="J2086" s="23"/>
      <c r="K2086" s="2" t="s">
        <v>2848</v>
      </c>
      <c r="M2086" s="2"/>
    </row>
    <row r="2087" spans="1:13" ht="15.75">
      <c r="A2087" t="s">
        <v>28</v>
      </c>
      <c r="B2087">
        <f ca="1">IF(OR(changes[[#This Row],[Type]]="Checklist",changes[[#This Row],[Type]]="checklist-flat"),1+IF(changes[[#This Row],[Type of change]] = "Edit",COUNTIFS($I$4:changes[[#This Row],[Name]],changes[[#This Row],[Name]], $E$4:changes[[#This Row],[Type of change]], "Edit")),B2086)</f>
        <v>1</v>
      </c>
      <c r="C2087" s="16">
        <v>44804</v>
      </c>
      <c r="D2087" s="1" t="s">
        <v>2579</v>
      </c>
      <c r="E2087" t="s">
        <v>27</v>
      </c>
      <c r="F2087" s="10" t="s">
        <v>52</v>
      </c>
      <c r="G2087" s="10" t="s">
        <v>2852</v>
      </c>
      <c r="H2087" s="2" t="s">
        <v>64</v>
      </c>
      <c r="I2087" s="18" t="s">
        <v>1610</v>
      </c>
      <c r="J2087" s="23"/>
      <c r="K2087" s="2" t="s">
        <v>2848</v>
      </c>
      <c r="M2087" s="2"/>
    </row>
    <row r="2088" spans="1:13" ht="15.75">
      <c r="A2088" t="s">
        <v>28</v>
      </c>
      <c r="B2088">
        <f ca="1">IF(OR(changes[[#This Row],[Type]]="Checklist",changes[[#This Row],[Type]]="checklist-flat"),1+IF(changes[[#This Row],[Type of change]] = "Edit",COUNTIFS($I$4:changes[[#This Row],[Name]],changes[[#This Row],[Name]], $E$4:changes[[#This Row],[Type of change]], "Edit")),B2087)</f>
        <v>1</v>
      </c>
      <c r="C2088" s="16">
        <v>44804</v>
      </c>
      <c r="D2088" s="1" t="s">
        <v>2579</v>
      </c>
      <c r="E2088" t="s">
        <v>27</v>
      </c>
      <c r="F2088" s="10" t="s">
        <v>52</v>
      </c>
      <c r="G2088" s="10" t="s">
        <v>469</v>
      </c>
      <c r="H2088" s="2" t="s">
        <v>478</v>
      </c>
      <c r="I2088" s="18" t="s">
        <v>469</v>
      </c>
      <c r="J2088" s="23"/>
      <c r="K2088" s="2" t="s">
        <v>2848</v>
      </c>
      <c r="M2088" s="2"/>
    </row>
    <row r="2089" spans="1:13" ht="15.75">
      <c r="A2089" t="s">
        <v>28</v>
      </c>
      <c r="B2089">
        <f ca="1">IF(OR(changes[[#This Row],[Type]]="Checklist",changes[[#This Row],[Type]]="checklist-flat"),1+IF(changes[[#This Row],[Type of change]] = "Edit",COUNTIFS($I$4:changes[[#This Row],[Name]],changes[[#This Row],[Name]], $E$4:changes[[#This Row],[Type of change]], "Edit")),B2088)</f>
        <v>1</v>
      </c>
      <c r="C2089" s="16">
        <v>44804</v>
      </c>
      <c r="D2089" s="1" t="s">
        <v>2579</v>
      </c>
      <c r="E2089" t="s">
        <v>27</v>
      </c>
      <c r="F2089" s="10" t="s">
        <v>52</v>
      </c>
      <c r="G2089" s="10" t="s">
        <v>469</v>
      </c>
      <c r="H2089" s="2" t="s">
        <v>55</v>
      </c>
      <c r="I2089" s="18" t="s">
        <v>471</v>
      </c>
      <c r="J2089" s="23"/>
      <c r="K2089" s="2" t="s">
        <v>2848</v>
      </c>
      <c r="M2089" s="2"/>
    </row>
    <row r="2090" spans="1:13" ht="15.75">
      <c r="A2090" t="s">
        <v>28</v>
      </c>
      <c r="B2090">
        <f ca="1">IF(OR(changes[[#This Row],[Type]]="Checklist",changes[[#This Row],[Type]]="checklist-flat"),1+IF(changes[[#This Row],[Type of change]] = "Edit",COUNTIFS($I$4:changes[[#This Row],[Name]],changes[[#This Row],[Name]], $E$4:changes[[#This Row],[Type of change]], "Edit")),B2089)</f>
        <v>1</v>
      </c>
      <c r="C2090" s="16">
        <v>44804</v>
      </c>
      <c r="D2090" s="1" t="s">
        <v>2579</v>
      </c>
      <c r="E2090" t="s">
        <v>27</v>
      </c>
      <c r="F2090" s="10" t="s">
        <v>52</v>
      </c>
      <c r="G2090" s="10" t="s">
        <v>469</v>
      </c>
      <c r="H2090" s="2" t="s">
        <v>55</v>
      </c>
      <c r="I2090" s="18" t="s">
        <v>472</v>
      </c>
      <c r="J2090" s="23"/>
      <c r="K2090" s="2" t="s">
        <v>2848</v>
      </c>
      <c r="M2090" s="2"/>
    </row>
    <row r="2091" spans="1:13" ht="15.75">
      <c r="A2091" t="s">
        <v>28</v>
      </c>
      <c r="B2091">
        <f ca="1">IF(OR(changes[[#This Row],[Type]]="Checklist",changes[[#This Row],[Type]]="checklist-flat"),1+IF(changes[[#This Row],[Type of change]] = "Edit",COUNTIFS($I$4:changes[[#This Row],[Name]],changes[[#This Row],[Name]], $E$4:changes[[#This Row],[Type of change]], "Edit")),B2090)</f>
        <v>1</v>
      </c>
      <c r="C2091" s="16">
        <v>44804</v>
      </c>
      <c r="D2091" s="1" t="s">
        <v>2579</v>
      </c>
      <c r="E2091" t="s">
        <v>27</v>
      </c>
      <c r="F2091" s="10" t="s">
        <v>52</v>
      </c>
      <c r="G2091" s="10" t="s">
        <v>469</v>
      </c>
      <c r="H2091" s="2" t="s">
        <v>55</v>
      </c>
      <c r="I2091" s="18" t="s">
        <v>473</v>
      </c>
      <c r="J2091" s="23"/>
      <c r="K2091" s="2" t="s">
        <v>2848</v>
      </c>
      <c r="M2091" s="2"/>
    </row>
    <row r="2092" spans="1:13" ht="15.75">
      <c r="A2092" t="s">
        <v>28</v>
      </c>
      <c r="B2092">
        <f ca="1">IF(OR(changes[[#This Row],[Type]]="Checklist",changes[[#This Row],[Type]]="checklist-flat"),1+IF(changes[[#This Row],[Type of change]] = "Edit",COUNTIFS($I$4:changes[[#This Row],[Name]],changes[[#This Row],[Name]], $E$4:changes[[#This Row],[Type of change]], "Edit")),B2091)</f>
        <v>1</v>
      </c>
      <c r="C2092" s="16">
        <v>44804</v>
      </c>
      <c r="D2092" s="1" t="s">
        <v>2579</v>
      </c>
      <c r="E2092" t="s">
        <v>27</v>
      </c>
      <c r="F2092" s="10" t="s">
        <v>52</v>
      </c>
      <c r="G2092" s="10" t="s">
        <v>469</v>
      </c>
      <c r="H2092" s="2" t="s">
        <v>55</v>
      </c>
      <c r="I2092" s="18" t="s">
        <v>474</v>
      </c>
      <c r="J2092" s="23"/>
      <c r="K2092" s="2" t="s">
        <v>2848</v>
      </c>
      <c r="M2092" s="2"/>
    </row>
    <row r="2093" spans="1:13" ht="15.75">
      <c r="A2093" t="s">
        <v>28</v>
      </c>
      <c r="B2093">
        <f ca="1">IF(OR(changes[[#This Row],[Type]]="Checklist",changes[[#This Row],[Type]]="checklist-flat"),1+IF(changes[[#This Row],[Type of change]] = "Edit",COUNTIFS($I$4:changes[[#This Row],[Name]],changes[[#This Row],[Name]], $E$4:changes[[#This Row],[Type of change]], "Edit")),B2092)</f>
        <v>1</v>
      </c>
      <c r="C2093" s="16">
        <v>44804</v>
      </c>
      <c r="D2093" s="1" t="s">
        <v>2579</v>
      </c>
      <c r="E2093" t="s">
        <v>27</v>
      </c>
      <c r="F2093" s="10" t="s">
        <v>52</v>
      </c>
      <c r="G2093" s="10" t="s">
        <v>469</v>
      </c>
      <c r="H2093" s="2" t="s">
        <v>55</v>
      </c>
      <c r="I2093" s="18" t="s">
        <v>2405</v>
      </c>
      <c r="J2093" s="23"/>
      <c r="K2093" s="2" t="s">
        <v>2848</v>
      </c>
      <c r="M2093" s="2"/>
    </row>
    <row r="2094" spans="1:13" ht="15.75">
      <c r="A2094" t="s">
        <v>28</v>
      </c>
      <c r="B2094">
        <f ca="1">IF(OR(changes[[#This Row],[Type]]="Checklist",changes[[#This Row],[Type]]="checklist-flat"),1+IF(changes[[#This Row],[Type of change]] = "Edit",COUNTIFS($I$4:changes[[#This Row],[Name]],changes[[#This Row],[Name]], $E$4:changes[[#This Row],[Type of change]], "Edit")),B2093)</f>
        <v>1</v>
      </c>
      <c r="C2094" s="16">
        <v>44804</v>
      </c>
      <c r="D2094" s="1" t="s">
        <v>2579</v>
      </c>
      <c r="E2094" t="s">
        <v>27</v>
      </c>
      <c r="F2094" s="10" t="s">
        <v>52</v>
      </c>
      <c r="G2094" s="10" t="s">
        <v>469</v>
      </c>
      <c r="H2094" s="2" t="s">
        <v>55</v>
      </c>
      <c r="I2094" s="18" t="s">
        <v>476</v>
      </c>
      <c r="J2094" s="23"/>
      <c r="K2094" s="2" t="s">
        <v>2848</v>
      </c>
      <c r="M2094" s="2"/>
    </row>
    <row r="2095" spans="1:13" ht="15.75">
      <c r="A2095" t="s">
        <v>28</v>
      </c>
      <c r="B2095">
        <f ca="1">IF(OR(changes[[#This Row],[Type]]="Checklist",changes[[#This Row],[Type]]="checklist-flat"),1+IF(changes[[#This Row],[Type of change]] = "Edit",COUNTIFS($I$4:changes[[#This Row],[Name]],changes[[#This Row],[Name]], $E$4:changes[[#This Row],[Type of change]], "Edit")),B2094)</f>
        <v>1</v>
      </c>
      <c r="C2095" s="16">
        <v>44804</v>
      </c>
      <c r="D2095" s="1" t="s">
        <v>2579</v>
      </c>
      <c r="E2095" t="s">
        <v>27</v>
      </c>
      <c r="F2095" s="10" t="s">
        <v>52</v>
      </c>
      <c r="G2095" s="10" t="s">
        <v>469</v>
      </c>
      <c r="H2095" s="2" t="s">
        <v>64</v>
      </c>
      <c r="I2095" s="18" t="s">
        <v>94</v>
      </c>
      <c r="J2095" s="23"/>
      <c r="K2095" s="2" t="s">
        <v>2848</v>
      </c>
      <c r="M2095" s="2"/>
    </row>
    <row r="2096" spans="1:13" ht="15.75">
      <c r="A2096" t="s">
        <v>28</v>
      </c>
      <c r="B2096">
        <f ca="1">IF(OR(changes[[#This Row],[Type]]="Checklist",changes[[#This Row],[Type]]="checklist-flat"),1+IF(changes[[#This Row],[Type of change]] = "Edit",COUNTIFS($I$4:changes[[#This Row],[Name]],changes[[#This Row],[Name]], $E$4:changes[[#This Row],[Type of change]], "Edit")),B2095)</f>
        <v>1</v>
      </c>
      <c r="C2096" s="16">
        <v>44804</v>
      </c>
      <c r="D2096" s="1" t="s">
        <v>2579</v>
      </c>
      <c r="E2096" t="s">
        <v>27</v>
      </c>
      <c r="F2096" s="10" t="s">
        <v>52</v>
      </c>
      <c r="G2096" s="10" t="s">
        <v>1768</v>
      </c>
      <c r="H2096" s="2" t="s">
        <v>478</v>
      </c>
      <c r="I2096" s="18" t="s">
        <v>1768</v>
      </c>
      <c r="J2096" s="23"/>
      <c r="K2096" s="2" t="s">
        <v>2848</v>
      </c>
      <c r="M2096" s="2"/>
    </row>
    <row r="2097" spans="1:13" ht="15.75">
      <c r="A2097" t="s">
        <v>28</v>
      </c>
      <c r="B2097">
        <f ca="1">IF(OR(changes[[#This Row],[Type]]="Checklist",changes[[#This Row],[Type]]="checklist-flat"),1+IF(changes[[#This Row],[Type of change]] = "Edit",COUNTIFS($I$4:changes[[#This Row],[Name]],changes[[#This Row],[Name]], $E$4:changes[[#This Row],[Type of change]], "Edit")),B2096)</f>
        <v>1</v>
      </c>
      <c r="C2097" s="16">
        <v>44804</v>
      </c>
      <c r="D2097" s="1" t="s">
        <v>2579</v>
      </c>
      <c r="E2097" t="s">
        <v>27</v>
      </c>
      <c r="F2097" s="10" t="s">
        <v>52</v>
      </c>
      <c r="G2097" s="10" t="s">
        <v>1768</v>
      </c>
      <c r="H2097" s="2" t="s">
        <v>55</v>
      </c>
      <c r="I2097" s="18" t="s">
        <v>1769</v>
      </c>
      <c r="J2097" s="23"/>
      <c r="K2097" s="2" t="s">
        <v>2848</v>
      </c>
      <c r="M2097" s="2"/>
    </row>
    <row r="2098" spans="1:13" ht="15.75">
      <c r="A2098" t="s">
        <v>28</v>
      </c>
      <c r="B2098">
        <f ca="1">IF(OR(changes[[#This Row],[Type]]="Checklist",changes[[#This Row],[Type]]="checklist-flat"),1+IF(changes[[#This Row],[Type of change]] = "Edit",COUNTIFS($I$4:changes[[#This Row],[Name]],changes[[#This Row],[Name]], $E$4:changes[[#This Row],[Type of change]], "Edit")),B2097)</f>
        <v>1</v>
      </c>
      <c r="C2098" s="16">
        <v>44804</v>
      </c>
      <c r="D2098" s="1" t="s">
        <v>2579</v>
      </c>
      <c r="E2098" t="s">
        <v>27</v>
      </c>
      <c r="F2098" s="10" t="s">
        <v>52</v>
      </c>
      <c r="G2098" s="10" t="s">
        <v>1768</v>
      </c>
      <c r="H2098" s="2" t="s">
        <v>55</v>
      </c>
      <c r="I2098" s="18" t="s">
        <v>1770</v>
      </c>
      <c r="J2098" s="23"/>
      <c r="K2098" s="2" t="s">
        <v>2848</v>
      </c>
      <c r="M2098" s="2"/>
    </row>
    <row r="2099" spans="1:13" ht="15.75">
      <c r="A2099" t="s">
        <v>28</v>
      </c>
      <c r="B2099">
        <f ca="1">IF(OR(changes[[#This Row],[Type]]="Checklist",changes[[#This Row],[Type]]="checklist-flat"),1+IF(changes[[#This Row],[Type of change]] = "Edit",COUNTIFS($I$4:changes[[#This Row],[Name]],changes[[#This Row],[Name]], $E$4:changes[[#This Row],[Type of change]], "Edit")),B2098)</f>
        <v>1</v>
      </c>
      <c r="C2099" s="16">
        <v>44804</v>
      </c>
      <c r="D2099" s="1" t="s">
        <v>2579</v>
      </c>
      <c r="E2099" t="s">
        <v>27</v>
      </c>
      <c r="F2099" s="10" t="s">
        <v>52</v>
      </c>
      <c r="G2099" s="10" t="s">
        <v>1768</v>
      </c>
      <c r="H2099" s="2" t="s">
        <v>55</v>
      </c>
      <c r="I2099" s="18" t="s">
        <v>1771</v>
      </c>
      <c r="J2099" s="23"/>
      <c r="K2099" s="2" t="s">
        <v>2848</v>
      </c>
      <c r="M2099" s="2"/>
    </row>
    <row r="2100" spans="1:13" ht="15.75">
      <c r="A2100" t="s">
        <v>28</v>
      </c>
      <c r="B2100">
        <f ca="1">IF(OR(changes[[#This Row],[Type]]="Checklist",changes[[#This Row],[Type]]="checklist-flat"),1+IF(changes[[#This Row],[Type of change]] = "Edit",COUNTIFS($I$4:changes[[#This Row],[Name]],changes[[#This Row],[Name]], $E$4:changes[[#This Row],[Type of change]], "Edit")),B2099)</f>
        <v>1</v>
      </c>
      <c r="C2100" s="16">
        <v>44804</v>
      </c>
      <c r="D2100" s="1" t="s">
        <v>2579</v>
      </c>
      <c r="E2100" t="s">
        <v>27</v>
      </c>
      <c r="F2100" s="10" t="s">
        <v>52</v>
      </c>
      <c r="G2100" s="10" t="s">
        <v>1768</v>
      </c>
      <c r="H2100" s="2" t="s">
        <v>55</v>
      </c>
      <c r="I2100" s="18" t="s">
        <v>1772</v>
      </c>
      <c r="J2100" s="23"/>
      <c r="K2100" s="2" t="s">
        <v>2848</v>
      </c>
      <c r="M2100" s="2"/>
    </row>
    <row r="2101" spans="1:13" ht="15.75">
      <c r="A2101" t="s">
        <v>28</v>
      </c>
      <c r="B2101">
        <f ca="1">IF(OR(changes[[#This Row],[Type]]="Checklist",changes[[#This Row],[Type]]="checklist-flat"),1+IF(changes[[#This Row],[Type of change]] = "Edit",COUNTIFS($I$4:changes[[#This Row],[Name]],changes[[#This Row],[Name]], $E$4:changes[[#This Row],[Type of change]], "Edit")),B2100)</f>
        <v>1</v>
      </c>
      <c r="C2101" s="16">
        <v>44804</v>
      </c>
      <c r="D2101" s="1" t="s">
        <v>2579</v>
      </c>
      <c r="E2101" t="s">
        <v>27</v>
      </c>
      <c r="F2101" s="10" t="s">
        <v>52</v>
      </c>
      <c r="G2101" s="10" t="s">
        <v>1768</v>
      </c>
      <c r="H2101" s="2" t="s">
        <v>55</v>
      </c>
      <c r="I2101" s="18" t="s">
        <v>1773</v>
      </c>
      <c r="J2101" s="23"/>
      <c r="K2101" s="2" t="s">
        <v>2848</v>
      </c>
      <c r="M2101" s="2"/>
    </row>
    <row r="2102" spans="1:13" ht="15.75">
      <c r="A2102" t="s">
        <v>28</v>
      </c>
      <c r="B2102">
        <f ca="1">IF(OR(changes[[#This Row],[Type]]="Checklist",changes[[#This Row],[Type]]="checklist-flat"),1+IF(changes[[#This Row],[Type of change]] = "Edit",COUNTIFS($I$4:changes[[#This Row],[Name]],changes[[#This Row],[Name]], $E$4:changes[[#This Row],[Type of change]], "Edit")),B2101)</f>
        <v>1</v>
      </c>
      <c r="C2102" s="16">
        <v>44804</v>
      </c>
      <c r="D2102" s="1" t="s">
        <v>2579</v>
      </c>
      <c r="E2102" t="s">
        <v>27</v>
      </c>
      <c r="F2102" s="10" t="s">
        <v>52</v>
      </c>
      <c r="G2102" s="10" t="s">
        <v>1768</v>
      </c>
      <c r="H2102" s="2" t="s">
        <v>55</v>
      </c>
      <c r="I2102" s="18" t="s">
        <v>1774</v>
      </c>
      <c r="J2102" s="23"/>
      <c r="K2102" s="2" t="s">
        <v>2848</v>
      </c>
      <c r="M2102" s="2"/>
    </row>
    <row r="2103" spans="1:13" ht="15.75">
      <c r="A2103" t="s">
        <v>28</v>
      </c>
      <c r="B2103">
        <f ca="1">IF(OR(changes[[#This Row],[Type]]="Checklist",changes[[#This Row],[Type]]="checklist-flat"),1+IF(changes[[#This Row],[Type of change]] = "Edit",COUNTIFS($I$4:changes[[#This Row],[Name]],changes[[#This Row],[Name]], $E$4:changes[[#This Row],[Type of change]], "Edit")),B2102)</f>
        <v>1</v>
      </c>
      <c r="C2103" s="16">
        <v>44804</v>
      </c>
      <c r="D2103" s="1" t="s">
        <v>2579</v>
      </c>
      <c r="E2103" t="s">
        <v>27</v>
      </c>
      <c r="F2103" s="10" t="s">
        <v>52</v>
      </c>
      <c r="G2103" s="10" t="s">
        <v>1768</v>
      </c>
      <c r="H2103" s="2" t="s">
        <v>55</v>
      </c>
      <c r="I2103" s="18" t="s">
        <v>1775</v>
      </c>
      <c r="J2103" s="23"/>
      <c r="K2103" s="2" t="s">
        <v>2848</v>
      </c>
      <c r="M2103" s="2"/>
    </row>
    <row r="2104" spans="1:13" ht="15.75">
      <c r="A2104" t="s">
        <v>28</v>
      </c>
      <c r="B2104">
        <f ca="1">IF(OR(changes[[#This Row],[Type]]="Checklist",changes[[#This Row],[Type]]="checklist-flat"),1+IF(changes[[#This Row],[Type of change]] = "Edit",COUNTIFS($I$4:changes[[#This Row],[Name]],changes[[#This Row],[Name]], $E$4:changes[[#This Row],[Type of change]], "Edit")),B2103)</f>
        <v>1</v>
      </c>
      <c r="C2104" s="16">
        <v>44804</v>
      </c>
      <c r="D2104" s="1" t="s">
        <v>2579</v>
      </c>
      <c r="E2104" t="s">
        <v>27</v>
      </c>
      <c r="F2104" s="10" t="s">
        <v>52</v>
      </c>
      <c r="G2104" s="10" t="s">
        <v>1768</v>
      </c>
      <c r="H2104" s="2" t="s">
        <v>55</v>
      </c>
      <c r="I2104" s="18" t="s">
        <v>2854</v>
      </c>
      <c r="J2104" s="23"/>
      <c r="K2104" s="2" t="s">
        <v>2848</v>
      </c>
      <c r="M2104" s="2"/>
    </row>
    <row r="2105" spans="1:13" ht="15.75">
      <c r="A2105" t="s">
        <v>28</v>
      </c>
      <c r="B2105">
        <f ca="1">IF(OR(changes[[#This Row],[Type]]="Checklist",changes[[#This Row],[Type]]="checklist-flat"),1+IF(changes[[#This Row],[Type of change]] = "Edit",COUNTIFS($I$4:changes[[#This Row],[Name]],changes[[#This Row],[Name]], $E$4:changes[[#This Row],[Type of change]], "Edit")),B2104)</f>
        <v>1</v>
      </c>
      <c r="C2105" s="16">
        <v>44804</v>
      </c>
      <c r="D2105" s="1" t="s">
        <v>2579</v>
      </c>
      <c r="E2105" t="s">
        <v>27</v>
      </c>
      <c r="F2105" s="10" t="s">
        <v>52</v>
      </c>
      <c r="G2105" s="10" t="s">
        <v>1768</v>
      </c>
      <c r="H2105" s="2" t="s">
        <v>55</v>
      </c>
      <c r="I2105" s="18" t="s">
        <v>1777</v>
      </c>
      <c r="J2105" s="23"/>
      <c r="K2105" s="2" t="s">
        <v>2848</v>
      </c>
      <c r="M2105" s="2"/>
    </row>
    <row r="2106" spans="1:13" ht="15.75">
      <c r="A2106" t="s">
        <v>28</v>
      </c>
      <c r="B2106">
        <f ca="1">IF(OR(changes[[#This Row],[Type]]="Checklist",changes[[#This Row],[Type]]="checklist-flat"),1+IF(changes[[#This Row],[Type of change]] = "Edit",COUNTIFS($I$4:changes[[#This Row],[Name]],changes[[#This Row],[Name]], $E$4:changes[[#This Row],[Type of change]], "Edit")),B2105)</f>
        <v>1</v>
      </c>
      <c r="C2106" s="16">
        <v>44804</v>
      </c>
      <c r="D2106" s="1" t="s">
        <v>2579</v>
      </c>
      <c r="E2106" t="s">
        <v>27</v>
      </c>
      <c r="F2106" s="10" t="s">
        <v>52</v>
      </c>
      <c r="G2106" s="10" t="s">
        <v>1768</v>
      </c>
      <c r="H2106" s="2" t="s">
        <v>64</v>
      </c>
      <c r="I2106" s="18" t="s">
        <v>94</v>
      </c>
      <c r="J2106" s="23"/>
      <c r="K2106" s="2" t="s">
        <v>2848</v>
      </c>
      <c r="M2106" s="2"/>
    </row>
    <row r="2107" spans="1:13" ht="15.75">
      <c r="A2107" t="s">
        <v>28</v>
      </c>
      <c r="B2107">
        <f ca="1">IF(OR(changes[[#This Row],[Type]]="Checklist",changes[[#This Row],[Type]]="checklist-flat"),1+IF(changes[[#This Row],[Type of change]] = "Edit",COUNTIFS($I$4:changes[[#This Row],[Name]],changes[[#This Row],[Name]], $E$4:changes[[#This Row],[Type of change]], "Edit")),B2106)</f>
        <v>1</v>
      </c>
      <c r="C2107" s="16">
        <v>44804</v>
      </c>
      <c r="D2107" s="1" t="s">
        <v>2579</v>
      </c>
      <c r="E2107" t="s">
        <v>27</v>
      </c>
      <c r="F2107" s="10" t="s">
        <v>2855</v>
      </c>
      <c r="G2107" s="10" t="s">
        <v>1534</v>
      </c>
      <c r="H2107" s="2" t="s">
        <v>47</v>
      </c>
      <c r="I2107" s="18" t="s">
        <v>1534</v>
      </c>
      <c r="J2107" s="23"/>
      <c r="K2107" s="2" t="s">
        <v>2848</v>
      </c>
      <c r="M2107" s="2"/>
    </row>
    <row r="2108" spans="1:13" ht="15.75">
      <c r="A2108" t="s">
        <v>28</v>
      </c>
      <c r="B2108">
        <f ca="1">IF(OR(changes[[#This Row],[Type]]="Checklist",changes[[#This Row],[Type]]="checklist-flat"),1+IF(changes[[#This Row],[Type of change]] = "Edit",COUNTIFS($I$4:changes[[#This Row],[Name]],changes[[#This Row],[Name]], $E$4:changes[[#This Row],[Type of change]], "Edit")),B2107)</f>
        <v>1</v>
      </c>
      <c r="C2108" s="16">
        <v>44804</v>
      </c>
      <c r="D2108" s="1" t="s">
        <v>2579</v>
      </c>
      <c r="E2108" t="s">
        <v>27</v>
      </c>
      <c r="F2108" s="10" t="s">
        <v>2855</v>
      </c>
      <c r="G2108" s="10" t="s">
        <v>1534</v>
      </c>
      <c r="H2108" s="2" t="s">
        <v>479</v>
      </c>
      <c r="I2108" s="18" t="s">
        <v>1535</v>
      </c>
      <c r="J2108" s="23"/>
      <c r="K2108" s="2" t="s">
        <v>2848</v>
      </c>
      <c r="M2108" s="2"/>
    </row>
    <row r="2109" spans="1:13" ht="15.75">
      <c r="A2109" t="s">
        <v>28</v>
      </c>
      <c r="B2109">
        <f ca="1">IF(OR(changes[[#This Row],[Type]]="Checklist",changes[[#This Row],[Type]]="checklist-flat"),1+IF(changes[[#This Row],[Type of change]] = "Edit",COUNTIFS($I$4:changes[[#This Row],[Name]],changes[[#This Row],[Name]], $E$4:changes[[#This Row],[Type of change]], "Edit")),B2108)</f>
        <v>1</v>
      </c>
      <c r="C2109" s="16">
        <v>44804</v>
      </c>
      <c r="D2109" s="1" t="s">
        <v>2579</v>
      </c>
      <c r="E2109" t="s">
        <v>27</v>
      </c>
      <c r="F2109" s="10" t="s">
        <v>2855</v>
      </c>
      <c r="G2109" s="10" t="s">
        <v>1534</v>
      </c>
      <c r="H2109" s="2" t="s">
        <v>55</v>
      </c>
      <c r="I2109" s="18" t="s">
        <v>1536</v>
      </c>
      <c r="J2109" s="23"/>
      <c r="K2109" s="2" t="s">
        <v>2848</v>
      </c>
      <c r="M2109" s="2"/>
    </row>
    <row r="2110" spans="1:13" ht="15.75">
      <c r="A2110" t="s">
        <v>28</v>
      </c>
      <c r="B2110">
        <f ca="1">IF(OR(changes[[#This Row],[Type]]="Checklist",changes[[#This Row],[Type]]="checklist-flat"),1+IF(changes[[#This Row],[Type of change]] = "Edit",COUNTIFS($I$4:changes[[#This Row],[Name]],changes[[#This Row],[Name]], $E$4:changes[[#This Row],[Type of change]], "Edit")),B2109)</f>
        <v>1</v>
      </c>
      <c r="C2110" s="16">
        <v>44804</v>
      </c>
      <c r="D2110" s="1" t="s">
        <v>2579</v>
      </c>
      <c r="E2110" t="s">
        <v>27</v>
      </c>
      <c r="F2110" s="10" t="s">
        <v>2855</v>
      </c>
      <c r="G2110" s="10" t="s">
        <v>1534</v>
      </c>
      <c r="H2110" s="2" t="s">
        <v>55</v>
      </c>
      <c r="I2110" s="18" t="s">
        <v>1537</v>
      </c>
      <c r="J2110" s="23"/>
      <c r="K2110" s="2" t="s">
        <v>2848</v>
      </c>
      <c r="M2110" s="2"/>
    </row>
    <row r="2111" spans="1:13" ht="15.75">
      <c r="A2111" t="s">
        <v>28</v>
      </c>
      <c r="B2111">
        <f ca="1">IF(OR(changes[[#This Row],[Type]]="Checklist",changes[[#This Row],[Type]]="checklist-flat"),1+IF(changes[[#This Row],[Type of change]] = "Edit",COUNTIFS($I$4:changes[[#This Row],[Name]],changes[[#This Row],[Name]], $E$4:changes[[#This Row],[Type of change]], "Edit")),B2110)</f>
        <v>1</v>
      </c>
      <c r="C2111" s="16">
        <v>44804</v>
      </c>
      <c r="D2111" s="1" t="s">
        <v>2579</v>
      </c>
      <c r="E2111" t="s">
        <v>27</v>
      </c>
      <c r="F2111" s="10" t="s">
        <v>2855</v>
      </c>
      <c r="G2111" s="10" t="s">
        <v>1534</v>
      </c>
      <c r="H2111" s="2" t="s">
        <v>55</v>
      </c>
      <c r="I2111" s="18" t="s">
        <v>1538</v>
      </c>
      <c r="J2111" s="23"/>
      <c r="K2111" s="2" t="s">
        <v>2848</v>
      </c>
      <c r="M2111" s="2"/>
    </row>
    <row r="2112" spans="1:13" ht="15.75">
      <c r="A2112" t="s">
        <v>28</v>
      </c>
      <c r="B2112">
        <f ca="1">IF(OR(changes[[#This Row],[Type]]="Checklist",changes[[#This Row],[Type]]="checklist-flat"),1+IF(changes[[#This Row],[Type of change]] = "Edit",COUNTIFS($I$4:changes[[#This Row],[Name]],changes[[#This Row],[Name]], $E$4:changes[[#This Row],[Type of change]], "Edit")),B2111)</f>
        <v>1</v>
      </c>
      <c r="C2112" s="16">
        <v>44804</v>
      </c>
      <c r="D2112" s="1" t="s">
        <v>2579</v>
      </c>
      <c r="E2112" t="s">
        <v>27</v>
      </c>
      <c r="F2112" s="10" t="s">
        <v>2855</v>
      </c>
      <c r="G2112" s="10" t="s">
        <v>1534</v>
      </c>
      <c r="H2112" s="2" t="s">
        <v>479</v>
      </c>
      <c r="I2112" s="18" t="s">
        <v>1539</v>
      </c>
      <c r="J2112" s="23"/>
      <c r="K2112" s="2" t="s">
        <v>2848</v>
      </c>
      <c r="M2112" s="2"/>
    </row>
    <row r="2113" spans="1:13" ht="15.75">
      <c r="A2113" t="s">
        <v>28</v>
      </c>
      <c r="B2113">
        <f ca="1">IF(OR(changes[[#This Row],[Type]]="Checklist",changes[[#This Row],[Type]]="checklist-flat"),1+IF(changes[[#This Row],[Type of change]] = "Edit",COUNTIFS($I$4:changes[[#This Row],[Name]],changes[[#This Row],[Name]], $E$4:changes[[#This Row],[Type of change]], "Edit")),B2112)</f>
        <v>1</v>
      </c>
      <c r="C2113" s="16">
        <v>44804</v>
      </c>
      <c r="D2113" s="1" t="s">
        <v>2579</v>
      </c>
      <c r="E2113" t="s">
        <v>27</v>
      </c>
      <c r="F2113" s="10" t="s">
        <v>2855</v>
      </c>
      <c r="G2113" s="10" t="s">
        <v>1534</v>
      </c>
      <c r="H2113" s="19" t="s">
        <v>722</v>
      </c>
      <c r="I2113" s="21" t="s">
        <v>1539</v>
      </c>
      <c r="J2113" s="22"/>
      <c r="K2113" s="2" t="s">
        <v>2848</v>
      </c>
      <c r="M2113" s="2"/>
    </row>
    <row r="2114" spans="1:13" ht="15.75">
      <c r="A2114" t="s">
        <v>28</v>
      </c>
      <c r="B2114">
        <f ca="1">IF(OR(changes[[#This Row],[Type]]="Checklist",changes[[#This Row],[Type]]="checklist-flat"),1+IF(changes[[#This Row],[Type of change]] = "Edit",COUNTIFS($I$4:changes[[#This Row],[Name]],changes[[#This Row],[Name]], $E$4:changes[[#This Row],[Type of change]], "Edit")),B2113)</f>
        <v>1</v>
      </c>
      <c r="C2114" s="16">
        <v>44804</v>
      </c>
      <c r="D2114" s="1" t="s">
        <v>2579</v>
      </c>
      <c r="E2114" t="s">
        <v>27</v>
      </c>
      <c r="F2114" s="10" t="s">
        <v>2855</v>
      </c>
      <c r="G2114" s="10" t="s">
        <v>1534</v>
      </c>
      <c r="H2114" s="2" t="s">
        <v>64</v>
      </c>
      <c r="I2114" s="18" t="s">
        <v>1540</v>
      </c>
      <c r="J2114" s="23"/>
      <c r="K2114" s="2" t="s">
        <v>2848</v>
      </c>
      <c r="M2114" s="42" t="s">
        <v>2856</v>
      </c>
    </row>
    <row r="2115" spans="1:13" ht="15.75">
      <c r="A2115" t="s">
        <v>28</v>
      </c>
      <c r="B2115">
        <f ca="1">IF(OR(changes[[#This Row],[Type]]="Checklist",changes[[#This Row],[Type]]="checklist-flat"),1+IF(changes[[#This Row],[Type of change]] = "Edit",COUNTIFS($I$4:changes[[#This Row],[Name]],changes[[#This Row],[Name]], $E$4:changes[[#This Row],[Type of change]], "Edit")),B2114)</f>
        <v>1</v>
      </c>
      <c r="C2115" s="16">
        <v>44804</v>
      </c>
      <c r="D2115" s="1" t="s">
        <v>2579</v>
      </c>
      <c r="E2115" t="s">
        <v>27</v>
      </c>
      <c r="F2115" s="10" t="s">
        <v>2855</v>
      </c>
      <c r="G2115" s="10" t="s">
        <v>1534</v>
      </c>
      <c r="H2115" s="2" t="s">
        <v>55</v>
      </c>
      <c r="I2115" s="18" t="s">
        <v>1541</v>
      </c>
      <c r="J2115" s="23"/>
      <c r="K2115" s="2" t="s">
        <v>2848</v>
      </c>
      <c r="M2115" s="2"/>
    </row>
    <row r="2116" spans="1:13" ht="15.75">
      <c r="A2116" t="s">
        <v>28</v>
      </c>
      <c r="B2116">
        <f ca="1">IF(OR(changes[[#This Row],[Type]]="Checklist",changes[[#This Row],[Type]]="checklist-flat"),1+IF(changes[[#This Row],[Type of change]] = "Edit",COUNTIFS($I$4:changes[[#This Row],[Name]],changes[[#This Row],[Name]], $E$4:changes[[#This Row],[Type of change]], "Edit")),B2115)</f>
        <v>1</v>
      </c>
      <c r="C2116" s="16">
        <v>44804</v>
      </c>
      <c r="D2116" s="1" t="s">
        <v>2579</v>
      </c>
      <c r="E2116" t="s">
        <v>27</v>
      </c>
      <c r="F2116" s="10" t="s">
        <v>2855</v>
      </c>
      <c r="G2116" s="10" t="s">
        <v>1534</v>
      </c>
      <c r="H2116" s="2" t="s">
        <v>55</v>
      </c>
      <c r="I2116" s="18" t="s">
        <v>1542</v>
      </c>
      <c r="J2116" s="23"/>
      <c r="K2116" s="2" t="s">
        <v>2848</v>
      </c>
      <c r="M2116" s="2"/>
    </row>
    <row r="2117" spans="1:13" ht="15.75">
      <c r="A2117" t="s">
        <v>28</v>
      </c>
      <c r="B2117">
        <f ca="1">IF(OR(changes[[#This Row],[Type]]="Checklist",changes[[#This Row],[Type]]="checklist-flat"),1+IF(changes[[#This Row],[Type of change]] = "Edit",COUNTIFS($I$4:changes[[#This Row],[Name]],changes[[#This Row],[Name]], $E$4:changes[[#This Row],[Type of change]], "Edit")),B2116)</f>
        <v>1</v>
      </c>
      <c r="C2117" s="16">
        <v>44804</v>
      </c>
      <c r="D2117" s="1" t="s">
        <v>2579</v>
      </c>
      <c r="E2117" t="s">
        <v>27</v>
      </c>
      <c r="F2117" s="10" t="s">
        <v>2855</v>
      </c>
      <c r="G2117" s="10" t="s">
        <v>1534</v>
      </c>
      <c r="H2117" s="2" t="s">
        <v>55</v>
      </c>
      <c r="I2117" s="18" t="s">
        <v>1543</v>
      </c>
      <c r="J2117" s="23"/>
      <c r="K2117" s="2" t="s">
        <v>2848</v>
      </c>
      <c r="M2117" s="2"/>
    </row>
    <row r="2118" spans="1:13" ht="15.75">
      <c r="A2118" t="s">
        <v>28</v>
      </c>
      <c r="B2118">
        <f ca="1">IF(OR(changes[[#This Row],[Type]]="Checklist",changes[[#This Row],[Type]]="checklist-flat"),1+IF(changes[[#This Row],[Type of change]] = "Edit",COUNTIFS($I$4:changes[[#This Row],[Name]],changes[[#This Row],[Name]], $E$4:changes[[#This Row],[Type of change]], "Edit")),B2117)</f>
        <v>1</v>
      </c>
      <c r="C2118" s="16">
        <v>44804</v>
      </c>
      <c r="D2118" s="1" t="s">
        <v>2579</v>
      </c>
      <c r="E2118" t="s">
        <v>27</v>
      </c>
      <c r="F2118" s="10" t="s">
        <v>2855</v>
      </c>
      <c r="G2118" s="10" t="s">
        <v>1534</v>
      </c>
      <c r="H2118" s="2" t="s">
        <v>55</v>
      </c>
      <c r="I2118" s="18" t="s">
        <v>1544</v>
      </c>
      <c r="J2118" s="23"/>
      <c r="K2118" s="2" t="s">
        <v>2848</v>
      </c>
      <c r="M2118" s="2"/>
    </row>
    <row r="2119" spans="1:13" ht="15.75">
      <c r="A2119" t="s">
        <v>28</v>
      </c>
      <c r="B2119">
        <f ca="1">IF(OR(changes[[#This Row],[Type]]="Checklist",changes[[#This Row],[Type]]="checklist-flat"),1+IF(changes[[#This Row],[Type of change]] = "Edit",COUNTIFS($I$4:changes[[#This Row],[Name]],changes[[#This Row],[Name]], $E$4:changes[[#This Row],[Type of change]], "Edit")),B2118)</f>
        <v>1</v>
      </c>
      <c r="C2119" s="16">
        <v>44804</v>
      </c>
      <c r="D2119" s="1" t="s">
        <v>2579</v>
      </c>
      <c r="E2119" t="s">
        <v>27</v>
      </c>
      <c r="F2119" s="10" t="s">
        <v>2855</v>
      </c>
      <c r="G2119" s="10" t="s">
        <v>1534</v>
      </c>
      <c r="H2119" s="2" t="s">
        <v>55</v>
      </c>
      <c r="I2119" s="18" t="s">
        <v>1545</v>
      </c>
      <c r="J2119" s="23"/>
      <c r="K2119" s="2" t="s">
        <v>2848</v>
      </c>
      <c r="M2119" s="2"/>
    </row>
    <row r="2120" spans="1:13" ht="15.75">
      <c r="A2120" t="s">
        <v>28</v>
      </c>
      <c r="B2120">
        <f ca="1">IF(OR(changes[[#This Row],[Type]]="Checklist",changes[[#This Row],[Type]]="checklist-flat"),1+IF(changes[[#This Row],[Type of change]] = "Edit",COUNTIFS($I$4:changes[[#This Row],[Name]],changes[[#This Row],[Name]], $E$4:changes[[#This Row],[Type of change]], "Edit")),B2119)</f>
        <v>1</v>
      </c>
      <c r="C2120" s="16">
        <v>44804</v>
      </c>
      <c r="D2120" s="1" t="s">
        <v>2579</v>
      </c>
      <c r="E2120" t="s">
        <v>27</v>
      </c>
      <c r="F2120" s="10" t="s">
        <v>2855</v>
      </c>
      <c r="G2120" s="10" t="s">
        <v>1534</v>
      </c>
      <c r="H2120" s="2" t="s">
        <v>64</v>
      </c>
      <c r="I2120" s="18" t="s">
        <v>1546</v>
      </c>
      <c r="J2120" s="23"/>
      <c r="K2120" s="2" t="s">
        <v>2848</v>
      </c>
      <c r="M2120" s="2"/>
    </row>
    <row r="2121" spans="1:13" ht="15.75">
      <c r="A2121" t="s">
        <v>28</v>
      </c>
      <c r="B2121">
        <f ca="1">IF(OR(changes[[#This Row],[Type]]="Checklist",changes[[#This Row],[Type]]="checklist-flat"),1+IF(changes[[#This Row],[Type of change]] = "Edit",COUNTIFS($I$4:changes[[#This Row],[Name]],changes[[#This Row],[Name]], $E$4:changes[[#This Row],[Type of change]], "Edit")),B2120)</f>
        <v>1</v>
      </c>
      <c r="C2121" s="16">
        <v>44804</v>
      </c>
      <c r="D2121" s="1" t="s">
        <v>2579</v>
      </c>
      <c r="E2121" t="s">
        <v>27</v>
      </c>
      <c r="F2121" s="10" t="s">
        <v>2855</v>
      </c>
      <c r="G2121" s="10" t="s">
        <v>1534</v>
      </c>
      <c r="H2121" s="2" t="s">
        <v>479</v>
      </c>
      <c r="I2121" s="18" t="s">
        <v>1547</v>
      </c>
      <c r="J2121" s="23"/>
      <c r="K2121" s="2" t="s">
        <v>2848</v>
      </c>
      <c r="M2121" s="2"/>
    </row>
    <row r="2122" spans="1:13" ht="15.75">
      <c r="A2122" t="s">
        <v>28</v>
      </c>
      <c r="B2122">
        <f ca="1">IF(OR(changes[[#This Row],[Type]]="Checklist",changes[[#This Row],[Type]]="checklist-flat"),1+IF(changes[[#This Row],[Type of change]] = "Edit",COUNTIFS($I$4:changes[[#This Row],[Name]],changes[[#This Row],[Name]], $E$4:changes[[#This Row],[Type of change]], "Edit")),B2121)</f>
        <v>1</v>
      </c>
      <c r="C2122" s="16">
        <v>44804</v>
      </c>
      <c r="D2122" s="1" t="s">
        <v>2579</v>
      </c>
      <c r="E2122" t="s">
        <v>27</v>
      </c>
      <c r="F2122" s="10" t="s">
        <v>2855</v>
      </c>
      <c r="G2122" s="10" t="s">
        <v>1534</v>
      </c>
      <c r="H2122" s="2" t="s">
        <v>55</v>
      </c>
      <c r="I2122" s="18" t="s">
        <v>1548</v>
      </c>
      <c r="J2122" s="23"/>
      <c r="K2122" s="2" t="s">
        <v>2848</v>
      </c>
      <c r="M2122" s="2"/>
    </row>
    <row r="2123" spans="1:13" ht="15.75">
      <c r="A2123" t="s">
        <v>28</v>
      </c>
      <c r="B2123">
        <f ca="1">IF(OR(changes[[#This Row],[Type]]="Checklist",changes[[#This Row],[Type]]="checklist-flat"),1+IF(changes[[#This Row],[Type of change]] = "Edit",COUNTIFS($I$4:changes[[#This Row],[Name]],changes[[#This Row],[Name]], $E$4:changes[[#This Row],[Type of change]], "Edit")),B2122)</f>
        <v>1</v>
      </c>
      <c r="C2123" s="16">
        <v>44804</v>
      </c>
      <c r="D2123" s="1" t="s">
        <v>2579</v>
      </c>
      <c r="E2123" t="s">
        <v>27</v>
      </c>
      <c r="F2123" s="10" t="s">
        <v>2855</v>
      </c>
      <c r="G2123" s="10" t="s">
        <v>1534</v>
      </c>
      <c r="H2123" s="2" t="s">
        <v>55</v>
      </c>
      <c r="I2123" s="18" t="s">
        <v>1549</v>
      </c>
      <c r="J2123" s="23"/>
      <c r="K2123" s="2" t="s">
        <v>2848</v>
      </c>
      <c r="M2123" s="2"/>
    </row>
    <row r="2124" spans="1:13" ht="15.75">
      <c r="A2124" t="s">
        <v>28</v>
      </c>
      <c r="B2124">
        <f ca="1">IF(OR(changes[[#This Row],[Type]]="Checklist",changes[[#This Row],[Type]]="checklist-flat"),1+IF(changes[[#This Row],[Type of change]] = "Edit",COUNTIFS($I$4:changes[[#This Row],[Name]],changes[[#This Row],[Name]], $E$4:changes[[#This Row],[Type of change]], "Edit")),B2123)</f>
        <v>1</v>
      </c>
      <c r="C2124" s="16">
        <v>44804</v>
      </c>
      <c r="D2124" s="1" t="s">
        <v>2579</v>
      </c>
      <c r="E2124" t="s">
        <v>27</v>
      </c>
      <c r="F2124" s="10" t="s">
        <v>2855</v>
      </c>
      <c r="G2124" s="10" t="s">
        <v>1534</v>
      </c>
      <c r="H2124" s="2" t="s">
        <v>479</v>
      </c>
      <c r="I2124" s="18" t="s">
        <v>1550</v>
      </c>
      <c r="J2124" s="23"/>
      <c r="K2124" s="2" t="s">
        <v>2848</v>
      </c>
      <c r="M2124" s="2"/>
    </row>
    <row r="2125" spans="1:13" ht="15.75">
      <c r="A2125" t="s">
        <v>28</v>
      </c>
      <c r="B2125">
        <f ca="1">IF(OR(changes[[#This Row],[Type]]="Checklist",changes[[#This Row],[Type]]="checklist-flat"),1+IF(changes[[#This Row],[Type of change]] = "Edit",COUNTIFS($I$4:changes[[#This Row],[Name]],changes[[#This Row],[Name]], $E$4:changes[[#This Row],[Type of change]], "Edit")),B2124)</f>
        <v>1</v>
      </c>
      <c r="C2125" s="16">
        <v>44804</v>
      </c>
      <c r="D2125" s="1" t="s">
        <v>2579</v>
      </c>
      <c r="E2125" t="s">
        <v>27</v>
      </c>
      <c r="F2125" s="10" t="s">
        <v>2855</v>
      </c>
      <c r="G2125" s="10" t="s">
        <v>1534</v>
      </c>
      <c r="H2125" s="2" t="s">
        <v>55</v>
      </c>
      <c r="I2125" s="18" t="s">
        <v>1551</v>
      </c>
      <c r="J2125" s="23"/>
      <c r="K2125" s="2" t="s">
        <v>2848</v>
      </c>
      <c r="M2125" s="2"/>
    </row>
    <row r="2126" spans="1:13" ht="15.75">
      <c r="A2126" t="s">
        <v>28</v>
      </c>
      <c r="B2126">
        <f ca="1">IF(OR(changes[[#This Row],[Type]]="Checklist",changes[[#This Row],[Type]]="checklist-flat"),1+IF(changes[[#This Row],[Type of change]] = "Edit",COUNTIFS($I$4:changes[[#This Row],[Name]],changes[[#This Row],[Name]], $E$4:changes[[#This Row],[Type of change]], "Edit")),B2125)</f>
        <v>1</v>
      </c>
      <c r="C2126" s="16">
        <v>44804</v>
      </c>
      <c r="D2126" s="1" t="s">
        <v>2579</v>
      </c>
      <c r="E2126" t="s">
        <v>27</v>
      </c>
      <c r="F2126" s="10" t="s">
        <v>2855</v>
      </c>
      <c r="G2126" s="10" t="s">
        <v>1534</v>
      </c>
      <c r="H2126" s="2" t="s">
        <v>55</v>
      </c>
      <c r="I2126" s="18" t="s">
        <v>1552</v>
      </c>
      <c r="J2126" s="23"/>
      <c r="K2126" s="2" t="s">
        <v>2848</v>
      </c>
      <c r="M2126" s="2"/>
    </row>
    <row r="2127" spans="1:13" ht="15.75">
      <c r="A2127" t="s">
        <v>28</v>
      </c>
      <c r="B2127">
        <f ca="1">IF(OR(changes[[#This Row],[Type]]="Checklist",changes[[#This Row],[Type]]="checklist-flat"),1+IF(changes[[#This Row],[Type of change]] = "Edit",COUNTIFS($I$4:changes[[#This Row],[Name]],changes[[#This Row],[Name]], $E$4:changes[[#This Row],[Type of change]], "Edit")),B2126)</f>
        <v>1</v>
      </c>
      <c r="C2127" s="16">
        <v>44804</v>
      </c>
      <c r="D2127" s="1" t="s">
        <v>2579</v>
      </c>
      <c r="E2127" t="s">
        <v>27</v>
      </c>
      <c r="F2127" s="10" t="s">
        <v>2855</v>
      </c>
      <c r="G2127" s="10" t="s">
        <v>1534</v>
      </c>
      <c r="H2127" s="2" t="s">
        <v>64</v>
      </c>
      <c r="I2127" s="18" t="s">
        <v>1553</v>
      </c>
      <c r="J2127" s="23"/>
      <c r="K2127" s="2" t="s">
        <v>2848</v>
      </c>
      <c r="M2127" s="2"/>
    </row>
    <row r="2128" spans="1:13" ht="15.75">
      <c r="A2128" t="s">
        <v>28</v>
      </c>
      <c r="B2128">
        <f ca="1">IF(OR(changes[[#This Row],[Type]]="Checklist",changes[[#This Row],[Type]]="checklist-flat"),1+IF(changes[[#This Row],[Type of change]] = "Edit",COUNTIFS($I$4:changes[[#This Row],[Name]],changes[[#This Row],[Name]], $E$4:changes[[#This Row],[Type of change]], "Edit")),B2127)</f>
        <v>1</v>
      </c>
      <c r="C2128" s="16">
        <v>44804</v>
      </c>
      <c r="D2128" s="1" t="s">
        <v>2579</v>
      </c>
      <c r="E2128" t="s">
        <v>27</v>
      </c>
      <c r="F2128" s="10" t="s">
        <v>2855</v>
      </c>
      <c r="G2128" s="10" t="s">
        <v>1534</v>
      </c>
      <c r="H2128" s="2" t="s">
        <v>55</v>
      </c>
      <c r="I2128" s="18" t="s">
        <v>1554</v>
      </c>
      <c r="J2128" s="23"/>
      <c r="K2128" s="2" t="s">
        <v>2848</v>
      </c>
      <c r="M2128" s="2"/>
    </row>
    <row r="2129" spans="1:13" ht="15.75">
      <c r="A2129" t="s">
        <v>28</v>
      </c>
      <c r="B2129">
        <f ca="1">IF(OR(changes[[#This Row],[Type]]="Checklist",changes[[#This Row],[Type]]="checklist-flat"),1+IF(changes[[#This Row],[Type of change]] = "Edit",COUNTIFS($I$4:changes[[#This Row],[Name]],changes[[#This Row],[Name]], $E$4:changes[[#This Row],[Type of change]], "Edit")),B2128)</f>
        <v>1</v>
      </c>
      <c r="C2129" s="16">
        <v>44804</v>
      </c>
      <c r="D2129" s="1" t="s">
        <v>2579</v>
      </c>
      <c r="E2129" t="s">
        <v>27</v>
      </c>
      <c r="F2129" s="10" t="s">
        <v>2855</v>
      </c>
      <c r="G2129" s="10" t="s">
        <v>1534</v>
      </c>
      <c r="H2129" s="2" t="s">
        <v>64</v>
      </c>
      <c r="I2129" s="18" t="s">
        <v>1555</v>
      </c>
      <c r="J2129" s="23"/>
      <c r="K2129" s="2" t="s">
        <v>2848</v>
      </c>
      <c r="M2129" s="2"/>
    </row>
    <row r="2130" spans="1:13" ht="15.75">
      <c r="A2130" t="s">
        <v>28</v>
      </c>
      <c r="B2130">
        <f ca="1">IF(OR(changes[[#This Row],[Type]]="Checklist",changes[[#This Row],[Type]]="checklist-flat"),1+IF(changes[[#This Row],[Type of change]] = "Edit",COUNTIFS($I$4:changes[[#This Row],[Name]],changes[[#This Row],[Name]], $E$4:changes[[#This Row],[Type of change]], "Edit")),B2129)</f>
        <v>1</v>
      </c>
      <c r="C2130" s="16">
        <v>44804</v>
      </c>
      <c r="D2130" s="1" t="s">
        <v>2579</v>
      </c>
      <c r="E2130" t="s">
        <v>27</v>
      </c>
      <c r="F2130" s="10" t="s">
        <v>2855</v>
      </c>
      <c r="G2130" s="10" t="s">
        <v>1534</v>
      </c>
      <c r="H2130" s="2" t="s">
        <v>55</v>
      </c>
      <c r="I2130" s="18" t="s">
        <v>1556</v>
      </c>
      <c r="J2130" s="23"/>
      <c r="K2130" s="2" t="s">
        <v>2848</v>
      </c>
      <c r="M2130" s="2"/>
    </row>
    <row r="2131" spans="1:13" ht="15.75">
      <c r="A2131" t="s">
        <v>28</v>
      </c>
      <c r="B2131">
        <f ca="1">IF(OR(changes[[#This Row],[Type]]="Checklist",changes[[#This Row],[Type]]="checklist-flat"),1+IF(changes[[#This Row],[Type of change]] = "Edit",COUNTIFS($I$4:changes[[#This Row],[Name]],changes[[#This Row],[Name]], $E$4:changes[[#This Row],[Type of change]], "Edit")),B2130)</f>
        <v>1</v>
      </c>
      <c r="C2131" s="16">
        <v>44804</v>
      </c>
      <c r="D2131" s="1" t="s">
        <v>2579</v>
      </c>
      <c r="E2131" t="s">
        <v>27</v>
      </c>
      <c r="F2131" s="10" t="s">
        <v>2855</v>
      </c>
      <c r="G2131" s="10" t="s">
        <v>1534</v>
      </c>
      <c r="H2131" s="2" t="s">
        <v>55</v>
      </c>
      <c r="I2131" s="18" t="s">
        <v>1557</v>
      </c>
      <c r="J2131" s="23"/>
      <c r="K2131" s="2" t="s">
        <v>2848</v>
      </c>
      <c r="M2131" s="2"/>
    </row>
    <row r="2132" spans="1:13" ht="15.75">
      <c r="A2132" t="s">
        <v>28</v>
      </c>
      <c r="B2132">
        <f ca="1">IF(OR(changes[[#This Row],[Type]]="Checklist",changes[[#This Row],[Type]]="checklist-flat"),1+IF(changes[[#This Row],[Type of change]] = "Edit",COUNTIFS($I$4:changes[[#This Row],[Name]],changes[[#This Row],[Name]], $E$4:changes[[#This Row],[Type of change]], "Edit")),B2131)</f>
        <v>1</v>
      </c>
      <c r="C2132" s="16">
        <v>44804</v>
      </c>
      <c r="D2132" s="1" t="s">
        <v>2579</v>
      </c>
      <c r="E2132" t="s">
        <v>27</v>
      </c>
      <c r="F2132" s="10" t="s">
        <v>2855</v>
      </c>
      <c r="G2132" s="10" t="s">
        <v>1534</v>
      </c>
      <c r="H2132" s="2" t="s">
        <v>55</v>
      </c>
      <c r="I2132" s="18" t="s">
        <v>2857</v>
      </c>
      <c r="J2132" s="23"/>
      <c r="K2132" s="2" t="s">
        <v>2848</v>
      </c>
      <c r="M2132" s="2"/>
    </row>
    <row r="2133" spans="1:13" ht="15.75">
      <c r="A2133" t="s">
        <v>28</v>
      </c>
      <c r="B2133">
        <f ca="1">IF(OR(changes[[#This Row],[Type]]="Checklist",changes[[#This Row],[Type]]="checklist-flat"),1+IF(changes[[#This Row],[Type of change]] = "Edit",COUNTIFS($I$4:changes[[#This Row],[Name]],changes[[#This Row],[Name]], $E$4:changes[[#This Row],[Type of change]], "Edit")),B2132)</f>
        <v>1</v>
      </c>
      <c r="C2133" s="16">
        <v>44804</v>
      </c>
      <c r="D2133" s="1" t="s">
        <v>2579</v>
      </c>
      <c r="E2133" t="s">
        <v>27</v>
      </c>
      <c r="F2133" s="10" t="s">
        <v>2855</v>
      </c>
      <c r="G2133" s="10" t="s">
        <v>1534</v>
      </c>
      <c r="H2133" s="2" t="s">
        <v>55</v>
      </c>
      <c r="I2133" s="18" t="s">
        <v>1560</v>
      </c>
      <c r="J2133" s="23"/>
      <c r="K2133" s="2" t="s">
        <v>2848</v>
      </c>
      <c r="M2133" s="2"/>
    </row>
    <row r="2134" spans="1:13" ht="15.75">
      <c r="A2134" t="s">
        <v>28</v>
      </c>
      <c r="B2134">
        <f ca="1">IF(OR(changes[[#This Row],[Type]]="Checklist",changes[[#This Row],[Type]]="checklist-flat"),1+IF(changes[[#This Row],[Type of change]] = "Edit",COUNTIFS($I$4:changes[[#This Row],[Name]],changes[[#This Row],[Name]], $E$4:changes[[#This Row],[Type of change]], "Edit")),B2133)</f>
        <v>1</v>
      </c>
      <c r="C2134" s="16">
        <v>44804</v>
      </c>
      <c r="D2134" s="1" t="s">
        <v>2579</v>
      </c>
      <c r="E2134" t="s">
        <v>27</v>
      </c>
      <c r="F2134" s="10" t="s">
        <v>2855</v>
      </c>
      <c r="G2134" s="10" t="s">
        <v>1534</v>
      </c>
      <c r="H2134" s="2" t="s">
        <v>479</v>
      </c>
      <c r="I2134" s="18" t="s">
        <v>1561</v>
      </c>
      <c r="J2134" s="23"/>
      <c r="K2134" s="2" t="s">
        <v>2848</v>
      </c>
      <c r="M2134" s="2"/>
    </row>
    <row r="2135" spans="1:13" ht="15.75">
      <c r="A2135" t="s">
        <v>28</v>
      </c>
      <c r="B2135">
        <f ca="1">IF(OR(changes[[#This Row],[Type]]="Checklist",changes[[#This Row],[Type]]="checklist-flat"),1+IF(changes[[#This Row],[Type of change]] = "Edit",COUNTIFS($I$4:changes[[#This Row],[Name]],changes[[#This Row],[Name]], $E$4:changes[[#This Row],[Type of change]], "Edit")),B2134)</f>
        <v>1</v>
      </c>
      <c r="C2135" s="16">
        <v>44804</v>
      </c>
      <c r="D2135" s="1" t="s">
        <v>2579</v>
      </c>
      <c r="E2135" t="s">
        <v>27</v>
      </c>
      <c r="F2135" s="10" t="s">
        <v>2855</v>
      </c>
      <c r="G2135" s="10" t="s">
        <v>1534</v>
      </c>
      <c r="H2135" s="2" t="s">
        <v>55</v>
      </c>
      <c r="I2135" s="18" t="s">
        <v>1562</v>
      </c>
      <c r="J2135" s="23"/>
      <c r="K2135" s="2" t="s">
        <v>2848</v>
      </c>
      <c r="M2135" s="2"/>
    </row>
    <row r="2136" spans="1:13" ht="15.75">
      <c r="A2136" t="s">
        <v>28</v>
      </c>
      <c r="B2136">
        <f ca="1">IF(OR(changes[[#This Row],[Type]]="Checklist",changes[[#This Row],[Type]]="checklist-flat"),1+IF(changes[[#This Row],[Type of change]] = "Edit",COUNTIFS($I$4:changes[[#This Row],[Name]],changes[[#This Row],[Name]], $E$4:changes[[#This Row],[Type of change]], "Edit")),B2135)</f>
        <v>1</v>
      </c>
      <c r="C2136" s="16">
        <v>44804</v>
      </c>
      <c r="D2136" s="1" t="s">
        <v>2579</v>
      </c>
      <c r="E2136" t="s">
        <v>27</v>
      </c>
      <c r="F2136" s="10" t="s">
        <v>2855</v>
      </c>
      <c r="G2136" s="10" t="s">
        <v>1534</v>
      </c>
      <c r="H2136" s="2" t="s">
        <v>64</v>
      </c>
      <c r="I2136" s="18" t="s">
        <v>1563</v>
      </c>
      <c r="J2136" s="23"/>
      <c r="K2136" s="2" t="s">
        <v>2848</v>
      </c>
      <c r="M2136" s="2"/>
    </row>
    <row r="2137" spans="1:13" ht="15.75">
      <c r="A2137" t="s">
        <v>28</v>
      </c>
      <c r="B2137">
        <f ca="1">IF(OR(changes[[#This Row],[Type]]="Checklist",changes[[#This Row],[Type]]="checklist-flat"),1+IF(changes[[#This Row],[Type of change]] = "Edit",COUNTIFS($I$4:changes[[#This Row],[Name]],changes[[#This Row],[Name]], $E$4:changes[[#This Row],[Type of change]], "Edit")),B2136)</f>
        <v>1</v>
      </c>
      <c r="C2137" s="16">
        <v>44804</v>
      </c>
      <c r="D2137" s="1" t="s">
        <v>2579</v>
      </c>
      <c r="E2137" t="s">
        <v>27</v>
      </c>
      <c r="F2137" s="10" t="s">
        <v>2855</v>
      </c>
      <c r="G2137" s="10" t="s">
        <v>1534</v>
      </c>
      <c r="H2137" s="2" t="s">
        <v>55</v>
      </c>
      <c r="I2137" s="18" t="s">
        <v>1564</v>
      </c>
      <c r="J2137" s="23"/>
      <c r="K2137" s="2" t="s">
        <v>2848</v>
      </c>
      <c r="M2137" s="2"/>
    </row>
    <row r="2138" spans="1:13" ht="15.75">
      <c r="A2138" t="s">
        <v>28</v>
      </c>
      <c r="B2138">
        <f ca="1">IF(OR(changes[[#This Row],[Type]]="Checklist",changes[[#This Row],[Type]]="checklist-flat"),1+IF(changes[[#This Row],[Type of change]] = "Edit",COUNTIFS($I$4:changes[[#This Row],[Name]],changes[[#This Row],[Name]], $E$4:changes[[#This Row],[Type of change]], "Edit")),B2137)</f>
        <v>1</v>
      </c>
      <c r="C2138" s="16">
        <v>44804</v>
      </c>
      <c r="D2138" s="1" t="s">
        <v>2579</v>
      </c>
      <c r="E2138" t="s">
        <v>27</v>
      </c>
      <c r="F2138" s="10" t="s">
        <v>2855</v>
      </c>
      <c r="G2138" s="10" t="s">
        <v>1534</v>
      </c>
      <c r="H2138" s="2" t="s">
        <v>55</v>
      </c>
      <c r="I2138" s="18" t="s">
        <v>1565</v>
      </c>
      <c r="J2138" s="23"/>
      <c r="K2138" s="2" t="s">
        <v>2848</v>
      </c>
      <c r="M2138" s="2"/>
    </row>
    <row r="2139" spans="1:13" ht="15.75">
      <c r="A2139" t="s">
        <v>28</v>
      </c>
      <c r="B2139">
        <f ca="1">IF(OR(changes[[#This Row],[Type]]="Checklist",changes[[#This Row],[Type]]="checklist-flat"),1+IF(changes[[#This Row],[Type of change]] = "Edit",COUNTIFS($I$4:changes[[#This Row],[Name]],changes[[#This Row],[Name]], $E$4:changes[[#This Row],[Type of change]], "Edit")),B2138)</f>
        <v>1</v>
      </c>
      <c r="C2139" s="16">
        <v>44804</v>
      </c>
      <c r="D2139" s="1" t="s">
        <v>2579</v>
      </c>
      <c r="E2139" t="s">
        <v>27</v>
      </c>
      <c r="F2139" s="10" t="s">
        <v>2855</v>
      </c>
      <c r="G2139" s="10" t="s">
        <v>1534</v>
      </c>
      <c r="H2139" s="2" t="s">
        <v>55</v>
      </c>
      <c r="I2139" s="18" t="s">
        <v>1566</v>
      </c>
      <c r="J2139" s="23"/>
      <c r="K2139" s="2" t="s">
        <v>2848</v>
      </c>
      <c r="M2139" s="2"/>
    </row>
    <row r="2140" spans="1:13" ht="15.75">
      <c r="A2140" t="s">
        <v>28</v>
      </c>
      <c r="B2140">
        <f ca="1">IF(OR(changes[[#This Row],[Type]]="Checklist",changes[[#This Row],[Type]]="checklist-flat"),1+IF(changes[[#This Row],[Type of change]] = "Edit",COUNTIFS($I$4:changes[[#This Row],[Name]],changes[[#This Row],[Name]], $E$4:changes[[#This Row],[Type of change]], "Edit")),B2139)</f>
        <v>1</v>
      </c>
      <c r="C2140" s="16">
        <v>44804</v>
      </c>
      <c r="D2140" s="1" t="s">
        <v>2579</v>
      </c>
      <c r="E2140" t="s">
        <v>27</v>
      </c>
      <c r="F2140" s="10" t="s">
        <v>2855</v>
      </c>
      <c r="G2140" s="10" t="s">
        <v>1534</v>
      </c>
      <c r="H2140" s="2" t="s">
        <v>55</v>
      </c>
      <c r="I2140" s="18" t="s">
        <v>1567</v>
      </c>
      <c r="J2140" s="23"/>
      <c r="K2140" s="2" t="s">
        <v>2848</v>
      </c>
      <c r="M2140" s="2"/>
    </row>
    <row r="2141" spans="1:13" ht="15.75">
      <c r="A2141" t="s">
        <v>28</v>
      </c>
      <c r="B2141">
        <f ca="1">IF(OR(changes[[#This Row],[Type]]="Checklist",changes[[#This Row],[Type]]="checklist-flat"),1+IF(changes[[#This Row],[Type of change]] = "Edit",COUNTIFS($I$4:changes[[#This Row],[Name]],changes[[#This Row],[Name]], $E$4:changes[[#This Row],[Type of change]], "Edit")),B2140)</f>
        <v>1</v>
      </c>
      <c r="C2141" s="16">
        <v>44804</v>
      </c>
      <c r="D2141" s="1" t="s">
        <v>2579</v>
      </c>
      <c r="E2141" t="s">
        <v>27</v>
      </c>
      <c r="F2141" s="10" t="s">
        <v>2855</v>
      </c>
      <c r="G2141" s="10" t="s">
        <v>1534</v>
      </c>
      <c r="H2141" s="2" t="s">
        <v>479</v>
      </c>
      <c r="I2141" s="18" t="s">
        <v>1568</v>
      </c>
      <c r="J2141" s="23"/>
      <c r="K2141" s="2" t="s">
        <v>2848</v>
      </c>
      <c r="M2141" s="2"/>
    </row>
    <row r="2142" spans="1:13" ht="15.75">
      <c r="A2142" t="s">
        <v>28</v>
      </c>
      <c r="B2142">
        <f ca="1">IF(OR(changes[[#This Row],[Type]]="Checklist",changes[[#This Row],[Type]]="checklist-flat"),1+IF(changes[[#This Row],[Type of change]] = "Edit",COUNTIFS($I$4:changes[[#This Row],[Name]],changes[[#This Row],[Name]], $E$4:changes[[#This Row],[Type of change]], "Edit")),B2141)</f>
        <v>1</v>
      </c>
      <c r="C2142" s="16">
        <v>44804</v>
      </c>
      <c r="D2142" s="1" t="s">
        <v>2579</v>
      </c>
      <c r="E2142" t="s">
        <v>27</v>
      </c>
      <c r="F2142" s="10" t="s">
        <v>2855</v>
      </c>
      <c r="G2142" s="10" t="s">
        <v>1534</v>
      </c>
      <c r="H2142" s="2" t="s">
        <v>55</v>
      </c>
      <c r="I2142" s="18" t="s">
        <v>1569</v>
      </c>
      <c r="J2142" s="23"/>
      <c r="K2142" s="2" t="s">
        <v>2848</v>
      </c>
      <c r="M2142" s="2"/>
    </row>
    <row r="2143" spans="1:13" ht="15.75">
      <c r="A2143" t="s">
        <v>28</v>
      </c>
      <c r="B2143">
        <f ca="1">IF(OR(changes[[#This Row],[Type]]="Checklist",changes[[#This Row],[Type]]="checklist-flat"),1+IF(changes[[#This Row],[Type of change]] = "Edit",COUNTIFS($I$4:changes[[#This Row],[Name]],changes[[#This Row],[Name]], $E$4:changes[[#This Row],[Type of change]], "Edit")),B2142)</f>
        <v>1</v>
      </c>
      <c r="C2143" s="16">
        <v>44804</v>
      </c>
      <c r="D2143" s="1" t="s">
        <v>2579</v>
      </c>
      <c r="E2143" t="s">
        <v>27</v>
      </c>
      <c r="F2143" s="10" t="s">
        <v>2855</v>
      </c>
      <c r="G2143" s="10" t="s">
        <v>1534</v>
      </c>
      <c r="H2143" s="2" t="s">
        <v>64</v>
      </c>
      <c r="I2143" s="18" t="s">
        <v>1563</v>
      </c>
      <c r="J2143" s="23"/>
      <c r="K2143" s="2" t="s">
        <v>2848</v>
      </c>
      <c r="M2143" s="2"/>
    </row>
    <row r="2144" spans="1:13" ht="15.75">
      <c r="A2144" t="s">
        <v>28</v>
      </c>
      <c r="B2144">
        <f ca="1">IF(OR(changes[[#This Row],[Type]]="Checklist",changes[[#This Row],[Type]]="checklist-flat"),1+IF(changes[[#This Row],[Type of change]] = "Edit",COUNTIFS($I$4:changes[[#This Row],[Name]],changes[[#This Row],[Name]], $E$4:changes[[#This Row],[Type of change]], "Edit")),B2143)</f>
        <v>1</v>
      </c>
      <c r="C2144" s="16">
        <v>44804</v>
      </c>
      <c r="D2144" s="1" t="s">
        <v>2579</v>
      </c>
      <c r="E2144" t="s">
        <v>27</v>
      </c>
      <c r="F2144" s="10" t="s">
        <v>2855</v>
      </c>
      <c r="G2144" s="10" t="s">
        <v>1534</v>
      </c>
      <c r="H2144" s="2" t="s">
        <v>55</v>
      </c>
      <c r="I2144" s="18" t="s">
        <v>1570</v>
      </c>
      <c r="J2144" s="23"/>
      <c r="K2144" s="2" t="s">
        <v>2848</v>
      </c>
      <c r="M2144" s="2"/>
    </row>
    <row r="2145" spans="1:13" ht="15.75">
      <c r="A2145" t="s">
        <v>28</v>
      </c>
      <c r="B2145">
        <f ca="1">IF(OR(changes[[#This Row],[Type]]="Checklist",changes[[#This Row],[Type]]="checklist-flat"),1+IF(changes[[#This Row],[Type of change]] = "Edit",COUNTIFS($I$4:changes[[#This Row],[Name]],changes[[#This Row],[Name]], $E$4:changes[[#This Row],[Type of change]], "Edit")),B2144)</f>
        <v>1</v>
      </c>
      <c r="C2145" s="16">
        <v>44804</v>
      </c>
      <c r="D2145" s="1" t="s">
        <v>2579</v>
      </c>
      <c r="E2145" t="s">
        <v>27</v>
      </c>
      <c r="F2145" s="10" t="s">
        <v>2855</v>
      </c>
      <c r="G2145" s="10" t="s">
        <v>1534</v>
      </c>
      <c r="H2145" s="2" t="s">
        <v>55</v>
      </c>
      <c r="I2145" s="18" t="s">
        <v>1571</v>
      </c>
      <c r="J2145" s="23"/>
      <c r="K2145" s="2" t="s">
        <v>2848</v>
      </c>
      <c r="M2145" s="2"/>
    </row>
    <row r="2146" spans="1:13" ht="15.75">
      <c r="A2146" t="s">
        <v>28</v>
      </c>
      <c r="B2146">
        <f ca="1">IF(OR(changes[[#This Row],[Type]]="Checklist",changes[[#This Row],[Type]]="checklist-flat"),1+IF(changes[[#This Row],[Type of change]] = "Edit",COUNTIFS($I$4:changes[[#This Row],[Name]],changes[[#This Row],[Name]], $E$4:changes[[#This Row],[Type of change]], "Edit")),B2145)</f>
        <v>1</v>
      </c>
      <c r="C2146" s="16">
        <v>44804</v>
      </c>
      <c r="D2146" s="1" t="s">
        <v>2579</v>
      </c>
      <c r="E2146" t="s">
        <v>27</v>
      </c>
      <c r="F2146" s="10" t="s">
        <v>2855</v>
      </c>
      <c r="G2146" s="10" t="s">
        <v>1534</v>
      </c>
      <c r="H2146" s="2" t="s">
        <v>479</v>
      </c>
      <c r="I2146" s="18" t="s">
        <v>1572</v>
      </c>
      <c r="J2146" s="23"/>
      <c r="K2146" s="2" t="s">
        <v>2848</v>
      </c>
      <c r="M2146" s="2"/>
    </row>
    <row r="2147" spans="1:13" ht="15.75">
      <c r="A2147" t="s">
        <v>28</v>
      </c>
      <c r="B2147">
        <f ca="1">IF(OR(changes[[#This Row],[Type]]="Checklist",changes[[#This Row],[Type]]="checklist-flat"),1+IF(changes[[#This Row],[Type of change]] = "Edit",COUNTIFS($I$4:changes[[#This Row],[Name]],changes[[#This Row],[Name]], $E$4:changes[[#This Row],[Type of change]], "Edit")),B2146)</f>
        <v>1</v>
      </c>
      <c r="C2147" s="16">
        <v>44804</v>
      </c>
      <c r="D2147" s="1" t="s">
        <v>2579</v>
      </c>
      <c r="E2147" t="s">
        <v>27</v>
      </c>
      <c r="F2147" s="10" t="s">
        <v>2855</v>
      </c>
      <c r="G2147" s="10" t="s">
        <v>1534</v>
      </c>
      <c r="H2147" s="2" t="s">
        <v>55</v>
      </c>
      <c r="I2147" s="18" t="s">
        <v>1573</v>
      </c>
      <c r="J2147" s="23"/>
      <c r="K2147" s="2" t="s">
        <v>2848</v>
      </c>
      <c r="M2147" s="2"/>
    </row>
    <row r="2148" spans="1:13" ht="15.75">
      <c r="A2148" t="s">
        <v>28</v>
      </c>
      <c r="B2148">
        <f ca="1">IF(OR(changes[[#This Row],[Type]]="Checklist",changes[[#This Row],[Type]]="checklist-flat"),1+IF(changes[[#This Row],[Type of change]] = "Edit",COUNTIFS($I$4:changes[[#This Row],[Name]],changes[[#This Row],[Name]], $E$4:changes[[#This Row],[Type of change]], "Edit")),B2147)</f>
        <v>2</v>
      </c>
      <c r="C2148" s="16">
        <v>44806</v>
      </c>
      <c r="D2148" s="1" t="s">
        <v>2809</v>
      </c>
      <c r="E2148" t="s">
        <v>15</v>
      </c>
      <c r="F2148" s="10" t="s">
        <v>9</v>
      </c>
      <c r="G2148" s="10" t="s">
        <v>851</v>
      </c>
      <c r="H2148" s="2" t="s">
        <v>54</v>
      </c>
      <c r="I2148" s="18" t="s">
        <v>851</v>
      </c>
      <c r="J2148" s="23"/>
      <c r="K2148" s="2" t="s">
        <v>6</v>
      </c>
      <c r="L2148" t="s">
        <v>2858</v>
      </c>
      <c r="M2148" s="2"/>
    </row>
    <row r="2149" spans="1:13" ht="15.75">
      <c r="A2149" t="s">
        <v>28</v>
      </c>
      <c r="B2149">
        <f ca="1">IF(OR(changes[[#This Row],[Type]]="Checklist",changes[[#This Row],[Type]]="checklist-flat"),1+IF(changes[[#This Row],[Type of change]] = "Edit",COUNTIFS($I$4:changes[[#This Row],[Name]],changes[[#This Row],[Name]], $E$4:changes[[#This Row],[Type of change]], "Edit")),B2148)</f>
        <v>2</v>
      </c>
      <c r="C2149" s="16">
        <v>44806</v>
      </c>
      <c r="D2149" s="1" t="s">
        <v>2809</v>
      </c>
      <c r="E2149" t="s">
        <v>15</v>
      </c>
      <c r="F2149" s="10" t="s">
        <v>9</v>
      </c>
      <c r="G2149" s="10" t="s">
        <v>851</v>
      </c>
      <c r="H2149" s="2" t="s">
        <v>55</v>
      </c>
      <c r="I2149" s="18" t="s">
        <v>2524</v>
      </c>
      <c r="J2149" s="23"/>
      <c r="K2149" s="2" t="s">
        <v>6</v>
      </c>
      <c r="L2149" t="s">
        <v>2858</v>
      </c>
      <c r="M2149" s="2"/>
    </row>
    <row r="2150" spans="1:13" ht="15.75">
      <c r="A2150" t="s">
        <v>28</v>
      </c>
      <c r="B2150">
        <f ca="1">IF(OR(changes[[#This Row],[Type]]="Checklist",changes[[#This Row],[Type]]="checklist-flat"),1+IF(changes[[#This Row],[Type of change]] = "Edit",COUNTIFS($I$4:changes[[#This Row],[Name]],changes[[#This Row],[Name]], $E$4:changes[[#This Row],[Type of change]], "Edit")),B2149)</f>
        <v>2</v>
      </c>
      <c r="C2150" s="16">
        <v>44806</v>
      </c>
      <c r="D2150" s="1" t="s">
        <v>2809</v>
      </c>
      <c r="E2150" t="s">
        <v>15</v>
      </c>
      <c r="F2150" s="10" t="s">
        <v>9</v>
      </c>
      <c r="G2150" s="10" t="s">
        <v>851</v>
      </c>
      <c r="H2150" s="2" t="s">
        <v>214</v>
      </c>
      <c r="I2150" s="18" t="s">
        <v>853</v>
      </c>
      <c r="J2150" s="23"/>
      <c r="K2150" s="2" t="s">
        <v>6</v>
      </c>
      <c r="L2150" t="s">
        <v>2858</v>
      </c>
      <c r="M2150" s="2"/>
    </row>
    <row r="2151" spans="1:13" ht="15.75">
      <c r="A2151" t="s">
        <v>28</v>
      </c>
      <c r="B2151">
        <f ca="1">IF(OR(changes[[#This Row],[Type]]="Checklist",changes[[#This Row],[Type]]="checklist-flat"),1+IF(changes[[#This Row],[Type of change]] = "Edit",COUNTIFS($I$4:changes[[#This Row],[Name]],changes[[#This Row],[Name]], $E$4:changes[[#This Row],[Type of change]], "Edit")),B2150)</f>
        <v>2</v>
      </c>
      <c r="C2151" s="16">
        <v>44806</v>
      </c>
      <c r="D2151" s="1" t="s">
        <v>2809</v>
      </c>
      <c r="E2151" t="s">
        <v>15</v>
      </c>
      <c r="F2151" s="10" t="s">
        <v>9</v>
      </c>
      <c r="G2151" s="10" t="s">
        <v>851</v>
      </c>
      <c r="H2151" s="2" t="s">
        <v>55</v>
      </c>
      <c r="I2151" s="18" t="s">
        <v>2525</v>
      </c>
      <c r="J2151" s="23"/>
      <c r="K2151" s="2" t="s">
        <v>6</v>
      </c>
      <c r="L2151" t="s">
        <v>2858</v>
      </c>
      <c r="M2151" s="2"/>
    </row>
    <row r="2152" spans="1:13" ht="15.75">
      <c r="A2152" t="s">
        <v>28</v>
      </c>
      <c r="B2152">
        <f ca="1">IF(OR(changes[[#This Row],[Type]]="Checklist",changes[[#This Row],[Type]]="checklist-flat"),1+IF(changes[[#This Row],[Type of change]] = "Edit",COUNTIFS($I$4:changes[[#This Row],[Name]],changes[[#This Row],[Name]], $E$4:changes[[#This Row],[Type of change]], "Edit")),B2151)</f>
        <v>2</v>
      </c>
      <c r="C2152" s="16">
        <v>44806</v>
      </c>
      <c r="D2152" s="1" t="s">
        <v>2809</v>
      </c>
      <c r="E2152" t="s">
        <v>15</v>
      </c>
      <c r="F2152" s="10" t="s">
        <v>9</v>
      </c>
      <c r="G2152" s="10" t="s">
        <v>851</v>
      </c>
      <c r="H2152" s="2" t="s">
        <v>55</v>
      </c>
      <c r="I2152" s="18" t="s">
        <v>855</v>
      </c>
      <c r="J2152" s="23"/>
      <c r="K2152" s="2" t="s">
        <v>6</v>
      </c>
      <c r="L2152" t="s">
        <v>2858</v>
      </c>
      <c r="M2152" s="2"/>
    </row>
    <row r="2153" spans="1:13" ht="15.75">
      <c r="A2153" t="s">
        <v>28</v>
      </c>
      <c r="B2153">
        <f ca="1">IF(OR(changes[[#This Row],[Type]]="Checklist",changes[[#This Row],[Type]]="checklist-flat"),1+IF(changes[[#This Row],[Type of change]] = "Edit",COUNTIFS($I$4:changes[[#This Row],[Name]],changes[[#This Row],[Name]], $E$4:changes[[#This Row],[Type of change]], "Edit")),B2152)</f>
        <v>2</v>
      </c>
      <c r="C2153" s="16">
        <v>44806</v>
      </c>
      <c r="D2153" s="1" t="s">
        <v>2809</v>
      </c>
      <c r="E2153" t="s">
        <v>15</v>
      </c>
      <c r="F2153" s="10" t="s">
        <v>9</v>
      </c>
      <c r="G2153" s="10" t="s">
        <v>851</v>
      </c>
      <c r="H2153" s="2" t="s">
        <v>55</v>
      </c>
      <c r="I2153" s="18" t="s">
        <v>856</v>
      </c>
      <c r="J2153" s="23"/>
      <c r="K2153" s="2" t="s">
        <v>6</v>
      </c>
      <c r="L2153" t="s">
        <v>2858</v>
      </c>
      <c r="M2153" s="2"/>
    </row>
    <row r="2154" spans="1:13" ht="15.75">
      <c r="A2154" t="s">
        <v>28</v>
      </c>
      <c r="B2154">
        <f ca="1">IF(OR(changes[[#This Row],[Type]]="Checklist",changes[[#This Row],[Type]]="checklist-flat"),1+IF(changes[[#This Row],[Type of change]] = "Edit",COUNTIFS($I$4:changes[[#This Row],[Name]],changes[[#This Row],[Name]], $E$4:changes[[#This Row],[Type of change]], "Edit")),B2153)</f>
        <v>2</v>
      </c>
      <c r="C2154" s="16">
        <v>44806</v>
      </c>
      <c r="D2154" s="1" t="s">
        <v>2809</v>
      </c>
      <c r="E2154" t="s">
        <v>15</v>
      </c>
      <c r="F2154" s="10" t="s">
        <v>9</v>
      </c>
      <c r="G2154" s="10" t="s">
        <v>851</v>
      </c>
      <c r="H2154" s="2" t="s">
        <v>55</v>
      </c>
      <c r="I2154" s="18" t="s">
        <v>857</v>
      </c>
      <c r="J2154" s="23"/>
      <c r="K2154" s="2" t="s">
        <v>6</v>
      </c>
      <c r="L2154" t="s">
        <v>2858</v>
      </c>
      <c r="M2154" s="2"/>
    </row>
    <row r="2155" spans="1:13" ht="15.75">
      <c r="A2155" t="s">
        <v>28</v>
      </c>
      <c r="B2155">
        <f ca="1">IF(OR(changes[[#This Row],[Type]]="Checklist",changes[[#This Row],[Type]]="checklist-flat"),1+IF(changes[[#This Row],[Type of change]] = "Edit",COUNTIFS($I$4:changes[[#This Row],[Name]],changes[[#This Row],[Name]], $E$4:changes[[#This Row],[Type of change]], "Edit")),B2154)</f>
        <v>2</v>
      </c>
      <c r="C2155" s="16">
        <v>44806</v>
      </c>
      <c r="D2155" s="1" t="s">
        <v>2809</v>
      </c>
      <c r="E2155" t="s">
        <v>15</v>
      </c>
      <c r="F2155" s="10" t="s">
        <v>9</v>
      </c>
      <c r="G2155" s="10" t="s">
        <v>851</v>
      </c>
      <c r="H2155" s="2" t="s">
        <v>55</v>
      </c>
      <c r="I2155" s="18" t="s">
        <v>858</v>
      </c>
      <c r="J2155" s="23"/>
      <c r="K2155" s="2" t="s">
        <v>6</v>
      </c>
      <c r="L2155" t="s">
        <v>2858</v>
      </c>
      <c r="M2155" s="2"/>
    </row>
    <row r="2156" spans="1:13" ht="15.75">
      <c r="A2156" t="s">
        <v>28</v>
      </c>
      <c r="B2156">
        <f ca="1">IF(OR(changes[[#This Row],[Type]]="Checklist",changes[[#This Row],[Type]]="checklist-flat"),1+IF(changes[[#This Row],[Type of change]] = "Edit",COUNTIFS($I$4:changes[[#This Row],[Name]],changes[[#This Row],[Name]], $E$4:changes[[#This Row],[Type of change]], "Edit")),B2155)</f>
        <v>2</v>
      </c>
      <c r="C2156" s="16">
        <v>44806</v>
      </c>
      <c r="D2156" s="1" t="s">
        <v>2809</v>
      </c>
      <c r="E2156" t="s">
        <v>15</v>
      </c>
      <c r="F2156" s="10" t="s">
        <v>9</v>
      </c>
      <c r="G2156" s="10" t="s">
        <v>851</v>
      </c>
      <c r="H2156" s="2" t="s">
        <v>420</v>
      </c>
      <c r="I2156" s="18" t="s">
        <v>859</v>
      </c>
      <c r="J2156" s="23"/>
      <c r="K2156" s="2" t="s">
        <v>6</v>
      </c>
      <c r="L2156" t="s">
        <v>2858</v>
      </c>
      <c r="M2156" s="2"/>
    </row>
    <row r="2157" spans="1:13" ht="15.75">
      <c r="A2157" t="s">
        <v>28</v>
      </c>
      <c r="B2157">
        <f ca="1">IF(OR(changes[[#This Row],[Type]]="Checklist",changes[[#This Row],[Type]]="checklist-flat"),1+IF(changes[[#This Row],[Type of change]] = "Edit",COUNTIFS($I$4:changes[[#This Row],[Name]],changes[[#This Row],[Name]], $E$4:changes[[#This Row],[Type of change]], "Edit")),B2156)</f>
        <v>2</v>
      </c>
      <c r="C2157" s="16">
        <v>44806</v>
      </c>
      <c r="D2157" s="1" t="s">
        <v>2809</v>
      </c>
      <c r="E2157" t="s">
        <v>15</v>
      </c>
      <c r="F2157" s="10" t="s">
        <v>9</v>
      </c>
      <c r="G2157" s="10" t="s">
        <v>851</v>
      </c>
      <c r="H2157" s="2" t="s">
        <v>55</v>
      </c>
      <c r="I2157" s="18" t="s">
        <v>860</v>
      </c>
      <c r="J2157" s="23"/>
      <c r="K2157" s="2" t="s">
        <v>6</v>
      </c>
      <c r="L2157" t="s">
        <v>2858</v>
      </c>
      <c r="M2157" s="2"/>
    </row>
    <row r="2158" spans="1:13" ht="15.75">
      <c r="A2158" t="s">
        <v>28</v>
      </c>
      <c r="B2158">
        <f ca="1">IF(OR(changes[[#This Row],[Type]]="Checklist",changes[[#This Row],[Type]]="checklist-flat"),1+IF(changes[[#This Row],[Type of change]] = "Edit",COUNTIFS($I$4:changes[[#This Row],[Name]],changes[[#This Row],[Name]], $E$4:changes[[#This Row],[Type of change]], "Edit")),B2157)</f>
        <v>2</v>
      </c>
      <c r="C2158" s="16">
        <v>44806</v>
      </c>
      <c r="D2158" s="1" t="s">
        <v>2809</v>
      </c>
      <c r="E2158" t="s">
        <v>15</v>
      </c>
      <c r="F2158" s="10" t="s">
        <v>9</v>
      </c>
      <c r="G2158" s="10" t="s">
        <v>851</v>
      </c>
      <c r="H2158" s="2" t="s">
        <v>64</v>
      </c>
      <c r="I2158" s="18" t="s">
        <v>772</v>
      </c>
      <c r="J2158" s="23"/>
      <c r="K2158" s="2" t="s">
        <v>6</v>
      </c>
      <c r="L2158" t="s">
        <v>2858</v>
      </c>
      <c r="M2158" s="2"/>
    </row>
    <row r="2159" spans="1:13" ht="15.75">
      <c r="A2159" t="s">
        <v>28</v>
      </c>
      <c r="B2159">
        <f ca="1">IF(OR(changes[[#This Row],[Type]]="Checklist",changes[[#This Row],[Type]]="checklist-flat"),1+IF(changes[[#This Row],[Type of change]] = "Edit",COUNTIFS($I$4:changes[[#This Row],[Name]],changes[[#This Row],[Name]], $E$4:changes[[#This Row],[Type of change]], "Edit")),B2158)</f>
        <v>2</v>
      </c>
      <c r="C2159" s="16">
        <v>44806</v>
      </c>
      <c r="D2159" s="1" t="s">
        <v>2809</v>
      </c>
      <c r="E2159" t="s">
        <v>15</v>
      </c>
      <c r="F2159" s="10" t="s">
        <v>9</v>
      </c>
      <c r="G2159" s="10" t="s">
        <v>851</v>
      </c>
      <c r="H2159" s="2" t="s">
        <v>55</v>
      </c>
      <c r="I2159" s="18" t="s">
        <v>93</v>
      </c>
      <c r="J2159" s="23"/>
      <c r="K2159" s="2" t="s">
        <v>6</v>
      </c>
      <c r="L2159" t="s">
        <v>2858</v>
      </c>
      <c r="M2159" s="2"/>
    </row>
    <row r="2160" spans="1:13" ht="15.75">
      <c r="A2160" t="s">
        <v>28</v>
      </c>
      <c r="B2160">
        <f ca="1">IF(OR(changes[[#This Row],[Type]]="Checklist",changes[[#This Row],[Type]]="checklist-flat"),1+IF(changes[[#This Row],[Type of change]] = "Edit",COUNTIFS($I$4:changes[[#This Row],[Name]],changes[[#This Row],[Name]], $E$4:changes[[#This Row],[Type of change]], "Edit")),B2159)</f>
        <v>2</v>
      </c>
      <c r="C2160" s="16">
        <v>44806</v>
      </c>
      <c r="D2160" s="1" t="s">
        <v>2809</v>
      </c>
      <c r="E2160" t="s">
        <v>15</v>
      </c>
      <c r="F2160" s="10" t="s">
        <v>9</v>
      </c>
      <c r="G2160" s="10" t="s">
        <v>851</v>
      </c>
      <c r="H2160" s="2" t="s">
        <v>64</v>
      </c>
      <c r="I2160" s="18" t="s">
        <v>94</v>
      </c>
      <c r="J2160" s="23"/>
      <c r="K2160" s="2" t="s">
        <v>6</v>
      </c>
      <c r="L2160" t="s">
        <v>2858</v>
      </c>
      <c r="M2160" s="2"/>
    </row>
    <row r="2161" spans="1:13" ht="15.75">
      <c r="A2161" t="s">
        <v>28</v>
      </c>
      <c r="B2161">
        <f ca="1">IF(OR(changes[[#This Row],[Type]]="Checklist",changes[[#This Row],[Type]]="checklist-flat"),1+IF(changes[[#This Row],[Type of change]] = "Edit",COUNTIFS($I$4:changes[[#This Row],[Name]],changes[[#This Row],[Name]], $E$4:changes[[#This Row],[Type of change]], "Edit")),B2160)</f>
        <v>2</v>
      </c>
      <c r="C2161" s="16">
        <v>44819</v>
      </c>
      <c r="D2161" s="1" t="s">
        <v>2760</v>
      </c>
      <c r="E2161" t="s">
        <v>15</v>
      </c>
      <c r="F2161" s="10" t="s">
        <v>9</v>
      </c>
      <c r="G2161" s="21" t="s">
        <v>2414</v>
      </c>
      <c r="H2161" s="19" t="s">
        <v>54</v>
      </c>
      <c r="I2161" s="21" t="s">
        <v>1815</v>
      </c>
      <c r="J2161" s="22"/>
      <c r="K2161" s="2" t="s">
        <v>6</v>
      </c>
      <c r="L2161" t="s">
        <v>2858</v>
      </c>
      <c r="M2161" s="2" t="s">
        <v>2859</v>
      </c>
    </row>
    <row r="2162" spans="1:13" ht="15.75">
      <c r="A2162" t="s">
        <v>28</v>
      </c>
      <c r="B2162">
        <f ca="1">IF(OR(changes[[#This Row],[Type]]="Checklist",changes[[#This Row],[Type]]="checklist-flat"),1+IF(changes[[#This Row],[Type of change]] = "Edit",COUNTIFS($I$4:changes[[#This Row],[Name]],changes[[#This Row],[Name]], $E$4:changes[[#This Row],[Type of change]], "Edit")),B2161)</f>
        <v>2</v>
      </c>
      <c r="C2162" s="16">
        <v>44819</v>
      </c>
      <c r="D2162" s="1" t="s">
        <v>2760</v>
      </c>
      <c r="E2162" t="s">
        <v>15</v>
      </c>
      <c r="F2162" s="10" t="s">
        <v>9</v>
      </c>
      <c r="G2162" s="21" t="s">
        <v>2414</v>
      </c>
      <c r="H2162" s="2" t="s">
        <v>55</v>
      </c>
      <c r="I2162" s="18" t="s">
        <v>1816</v>
      </c>
      <c r="J2162" s="23"/>
      <c r="K2162" s="2" t="s">
        <v>6</v>
      </c>
      <c r="L2162" t="s">
        <v>2858</v>
      </c>
      <c r="M2162" s="2"/>
    </row>
    <row r="2163" spans="1:13" ht="15.75">
      <c r="A2163" t="s">
        <v>28</v>
      </c>
      <c r="B2163">
        <f ca="1">IF(OR(changes[[#This Row],[Type]]="Checklist",changes[[#This Row],[Type]]="checklist-flat"),1+IF(changes[[#This Row],[Type of change]] = "Edit",COUNTIFS($I$4:changes[[#This Row],[Name]],changes[[#This Row],[Name]], $E$4:changes[[#This Row],[Type of change]], "Edit")),B2162)</f>
        <v>2</v>
      </c>
      <c r="C2163" s="16">
        <v>44819</v>
      </c>
      <c r="D2163" s="1" t="s">
        <v>2760</v>
      </c>
      <c r="E2163" t="s">
        <v>15</v>
      </c>
      <c r="F2163" s="10" t="s">
        <v>9</v>
      </c>
      <c r="G2163" s="21" t="s">
        <v>2414</v>
      </c>
      <c r="H2163" s="2" t="s">
        <v>55</v>
      </c>
      <c r="I2163" s="18" t="s">
        <v>155</v>
      </c>
      <c r="J2163" s="23"/>
      <c r="K2163" s="2" t="s">
        <v>6</v>
      </c>
      <c r="L2163" t="s">
        <v>2858</v>
      </c>
      <c r="M2163" s="2"/>
    </row>
    <row r="2164" spans="1:13" ht="15.75">
      <c r="A2164" t="s">
        <v>28</v>
      </c>
      <c r="B2164">
        <f ca="1">IF(OR(changes[[#This Row],[Type]]="Checklist",changes[[#This Row],[Type]]="checklist-flat"),1+IF(changes[[#This Row],[Type of change]] = "Edit",COUNTIFS($I$4:changes[[#This Row],[Name]],changes[[#This Row],[Name]], $E$4:changes[[#This Row],[Type of change]], "Edit")),B2163)</f>
        <v>2</v>
      </c>
      <c r="C2164" s="16">
        <v>44819</v>
      </c>
      <c r="D2164" s="1" t="s">
        <v>2760</v>
      </c>
      <c r="E2164" t="s">
        <v>15</v>
      </c>
      <c r="F2164" s="10" t="s">
        <v>9</v>
      </c>
      <c r="G2164" s="21" t="s">
        <v>2414</v>
      </c>
      <c r="H2164" s="2" t="s">
        <v>55</v>
      </c>
      <c r="I2164" s="18" t="s">
        <v>1817</v>
      </c>
      <c r="J2164" s="23"/>
      <c r="K2164" s="2" t="s">
        <v>6</v>
      </c>
      <c r="L2164" t="s">
        <v>2858</v>
      </c>
      <c r="M2164" s="2"/>
    </row>
    <row r="2165" spans="1:13" ht="15.75">
      <c r="A2165" t="s">
        <v>28</v>
      </c>
      <c r="B2165">
        <f ca="1">IF(OR(changes[[#This Row],[Type]]="Checklist",changes[[#This Row],[Type]]="checklist-flat"),1+IF(changes[[#This Row],[Type of change]] = "Edit",COUNTIFS($I$4:changes[[#This Row],[Name]],changes[[#This Row],[Name]], $E$4:changes[[#This Row],[Type of change]], "Edit")),B2164)</f>
        <v>2</v>
      </c>
      <c r="C2165" s="16">
        <v>44819</v>
      </c>
      <c r="D2165" s="1" t="s">
        <v>2760</v>
      </c>
      <c r="E2165" t="s">
        <v>15</v>
      </c>
      <c r="F2165" s="10" t="s">
        <v>9</v>
      </c>
      <c r="G2165" s="21" t="s">
        <v>2414</v>
      </c>
      <c r="H2165" s="2" t="s">
        <v>55</v>
      </c>
      <c r="I2165" s="18" t="s">
        <v>1818</v>
      </c>
      <c r="J2165" s="23"/>
      <c r="K2165" s="2" t="s">
        <v>6</v>
      </c>
      <c r="L2165" t="s">
        <v>2858</v>
      </c>
      <c r="M2165" s="2" t="s">
        <v>2860</v>
      </c>
    </row>
    <row r="2166" spans="1:13" ht="15.75">
      <c r="A2166" t="s">
        <v>28</v>
      </c>
      <c r="B2166">
        <f ca="1">IF(OR(changes[[#This Row],[Type]]="Checklist",changes[[#This Row],[Type]]="checklist-flat"),1+IF(changes[[#This Row],[Type of change]] = "Edit",COUNTIFS($I$4:changes[[#This Row],[Name]],changes[[#This Row],[Name]], $E$4:changes[[#This Row],[Type of change]], "Edit")),B2165)</f>
        <v>2</v>
      </c>
      <c r="C2166" s="16">
        <v>44819</v>
      </c>
      <c r="D2166" s="1" t="s">
        <v>2760</v>
      </c>
      <c r="E2166" t="s">
        <v>15</v>
      </c>
      <c r="F2166" s="10" t="s">
        <v>9</v>
      </c>
      <c r="G2166" s="21" t="s">
        <v>2414</v>
      </c>
      <c r="H2166" s="2" t="s">
        <v>55</v>
      </c>
      <c r="I2166" s="18" t="s">
        <v>93</v>
      </c>
      <c r="J2166" s="23"/>
      <c r="K2166" s="2" t="s">
        <v>6</v>
      </c>
      <c r="L2166" t="s">
        <v>2858</v>
      </c>
      <c r="M2166" s="2"/>
    </row>
    <row r="2167" spans="1:13" ht="15.75">
      <c r="A2167" t="s">
        <v>28</v>
      </c>
      <c r="B2167">
        <f ca="1">IF(OR(changes[[#This Row],[Type]]="Checklist",changes[[#This Row],[Type]]="checklist-flat"),1+IF(changes[[#This Row],[Type of change]] = "Edit",COUNTIFS($I$4:changes[[#This Row],[Name]],changes[[#This Row],[Name]], $E$4:changes[[#This Row],[Type of change]], "Edit")),B2166)</f>
        <v>2</v>
      </c>
      <c r="C2167" s="16">
        <v>44819</v>
      </c>
      <c r="D2167" s="1" t="s">
        <v>2760</v>
      </c>
      <c r="E2167" t="s">
        <v>15</v>
      </c>
      <c r="F2167" s="10" t="s">
        <v>9</v>
      </c>
      <c r="G2167" s="21" t="s">
        <v>2414</v>
      </c>
      <c r="H2167" s="2" t="s">
        <v>64</v>
      </c>
      <c r="I2167" s="18" t="s">
        <v>94</v>
      </c>
      <c r="J2167" s="23"/>
      <c r="K2167" s="2" t="s">
        <v>6</v>
      </c>
      <c r="L2167" t="s">
        <v>2858</v>
      </c>
      <c r="M2167" s="2"/>
    </row>
    <row r="2168" spans="1:13" ht="15.75">
      <c r="A2168" t="s">
        <v>28</v>
      </c>
      <c r="B2168">
        <f ca="1">IF(OR(changes[[#This Row],[Type]]="Checklist",changes[[#This Row],[Type]]="checklist-flat"),1+IF(changes[[#This Row],[Type of change]] = "Edit",COUNTIFS($I$4:changes[[#This Row],[Name]],changes[[#This Row],[Name]], $E$4:changes[[#This Row],[Type of change]], "Edit")),B2167)</f>
        <v>1</v>
      </c>
      <c r="C2168" s="16">
        <v>44819</v>
      </c>
      <c r="D2168" s="1" t="s">
        <v>2753</v>
      </c>
      <c r="E2168" t="s">
        <v>27</v>
      </c>
      <c r="F2168" s="10" t="s">
        <v>9</v>
      </c>
      <c r="G2168" s="21" t="s">
        <v>608</v>
      </c>
      <c r="H2168" s="19" t="s">
        <v>54</v>
      </c>
      <c r="I2168" s="21" t="s">
        <v>608</v>
      </c>
      <c r="J2168" s="22"/>
      <c r="K2168" s="2" t="s">
        <v>6</v>
      </c>
      <c r="L2168" t="s">
        <v>2798</v>
      </c>
      <c r="M2168" s="2"/>
    </row>
    <row r="2169" spans="1:13" ht="15.75">
      <c r="A2169" t="s">
        <v>28</v>
      </c>
      <c r="B2169">
        <f ca="1">IF(OR(changes[[#This Row],[Type]]="Checklist",changes[[#This Row],[Type]]="checklist-flat"),1+IF(changes[[#This Row],[Type of change]] = "Edit",COUNTIFS($I$4:changes[[#This Row],[Name]],changes[[#This Row],[Name]], $E$4:changes[[#This Row],[Type of change]], "Edit")),B2168)</f>
        <v>1</v>
      </c>
      <c r="C2169" s="16">
        <v>44819</v>
      </c>
      <c r="D2169" s="1" t="s">
        <v>2753</v>
      </c>
      <c r="E2169" t="s">
        <v>27</v>
      </c>
      <c r="F2169" s="10" t="s">
        <v>9</v>
      </c>
      <c r="G2169" s="21" t="s">
        <v>608</v>
      </c>
      <c r="H2169" s="19" t="s">
        <v>55</v>
      </c>
      <c r="I2169" s="21" t="s">
        <v>609</v>
      </c>
      <c r="J2169" s="22"/>
      <c r="K2169" s="2" t="s">
        <v>6</v>
      </c>
      <c r="L2169" t="s">
        <v>2798</v>
      </c>
      <c r="M2169" s="2"/>
    </row>
    <row r="2170" spans="1:13" ht="15.75">
      <c r="A2170" t="s">
        <v>28</v>
      </c>
      <c r="B2170">
        <f ca="1">IF(OR(changes[[#This Row],[Type]]="Checklist",changes[[#This Row],[Type]]="checklist-flat"),1+IF(changes[[#This Row],[Type of change]] = "Edit",COUNTIFS($I$4:changes[[#This Row],[Name]],changes[[#This Row],[Name]], $E$4:changes[[#This Row],[Type of change]], "Edit")),B2169)</f>
        <v>1</v>
      </c>
      <c r="C2170" s="16">
        <v>44819</v>
      </c>
      <c r="D2170" s="1" t="s">
        <v>2753</v>
      </c>
      <c r="E2170" t="s">
        <v>27</v>
      </c>
      <c r="F2170" s="10" t="s">
        <v>9</v>
      </c>
      <c r="G2170" s="21" t="s">
        <v>608</v>
      </c>
      <c r="H2170" s="19" t="s">
        <v>55</v>
      </c>
      <c r="I2170" s="21" t="s">
        <v>610</v>
      </c>
      <c r="J2170" s="22"/>
      <c r="K2170" s="2" t="s">
        <v>6</v>
      </c>
      <c r="L2170" t="s">
        <v>2798</v>
      </c>
      <c r="M2170" s="2"/>
    </row>
    <row r="2171" spans="1:13" ht="15.75">
      <c r="A2171" t="s">
        <v>28</v>
      </c>
      <c r="B2171">
        <f ca="1">IF(OR(changes[[#This Row],[Type]]="Checklist",changes[[#This Row],[Type]]="checklist-flat"),1+IF(changes[[#This Row],[Type of change]] = "Edit",COUNTIFS($I$4:changes[[#This Row],[Name]],changes[[#This Row],[Name]], $E$4:changes[[#This Row],[Type of change]], "Edit")),B2170)</f>
        <v>1</v>
      </c>
      <c r="C2171" s="16">
        <v>44819</v>
      </c>
      <c r="D2171" s="1" t="s">
        <v>2753</v>
      </c>
      <c r="E2171" t="s">
        <v>27</v>
      </c>
      <c r="F2171" s="10" t="s">
        <v>9</v>
      </c>
      <c r="G2171" s="21" t="s">
        <v>608</v>
      </c>
      <c r="H2171" s="19" t="s">
        <v>55</v>
      </c>
      <c r="I2171" s="21" t="s">
        <v>611</v>
      </c>
      <c r="J2171" s="22"/>
      <c r="K2171" s="2" t="s">
        <v>6</v>
      </c>
      <c r="L2171" t="s">
        <v>2798</v>
      </c>
      <c r="M2171" s="2"/>
    </row>
    <row r="2172" spans="1:13" ht="15.75">
      <c r="A2172" t="s">
        <v>28</v>
      </c>
      <c r="B2172">
        <f ca="1">IF(OR(changes[[#This Row],[Type]]="Checklist",changes[[#This Row],[Type]]="checklist-flat"),1+IF(changes[[#This Row],[Type of change]] = "Edit",COUNTIFS($I$4:changes[[#This Row],[Name]],changes[[#This Row],[Name]], $E$4:changes[[#This Row],[Type of change]], "Edit")),B2171)</f>
        <v>1</v>
      </c>
      <c r="C2172" s="16">
        <v>44819</v>
      </c>
      <c r="D2172" s="1" t="s">
        <v>2753</v>
      </c>
      <c r="E2172" t="s">
        <v>27</v>
      </c>
      <c r="F2172" s="10" t="s">
        <v>9</v>
      </c>
      <c r="G2172" s="21" t="s">
        <v>608</v>
      </c>
      <c r="H2172" s="19" t="s">
        <v>55</v>
      </c>
      <c r="I2172" s="21" t="s">
        <v>612</v>
      </c>
      <c r="J2172" s="22"/>
      <c r="K2172" s="2" t="s">
        <v>6</v>
      </c>
      <c r="L2172" t="s">
        <v>2798</v>
      </c>
      <c r="M2172" s="2"/>
    </row>
    <row r="2173" spans="1:13" ht="15.75">
      <c r="A2173" t="s">
        <v>28</v>
      </c>
      <c r="B2173">
        <f ca="1">IF(OR(changes[[#This Row],[Type]]="Checklist",changes[[#This Row],[Type]]="checklist-flat"),1+IF(changes[[#This Row],[Type of change]] = "Edit",COUNTIFS($I$4:changes[[#This Row],[Name]],changes[[#This Row],[Name]], $E$4:changes[[#This Row],[Type of change]], "Edit")),B2172)</f>
        <v>1</v>
      </c>
      <c r="C2173" s="16">
        <v>44819</v>
      </c>
      <c r="D2173" s="1" t="s">
        <v>2753</v>
      </c>
      <c r="E2173" t="s">
        <v>27</v>
      </c>
      <c r="F2173" s="10" t="s">
        <v>9</v>
      </c>
      <c r="G2173" s="21" t="s">
        <v>608</v>
      </c>
      <c r="H2173" s="19" t="s">
        <v>55</v>
      </c>
      <c r="I2173" s="21" t="s">
        <v>613</v>
      </c>
      <c r="J2173" s="22"/>
      <c r="K2173" s="2" t="s">
        <v>6</v>
      </c>
      <c r="L2173" t="s">
        <v>2798</v>
      </c>
      <c r="M2173" s="2"/>
    </row>
    <row r="2174" spans="1:13" ht="15.75">
      <c r="A2174" t="s">
        <v>28</v>
      </c>
      <c r="B2174">
        <f ca="1">IF(OR(changes[[#This Row],[Type]]="Checklist",changes[[#This Row],[Type]]="checklist-flat"),1+IF(changes[[#This Row],[Type of change]] = "Edit",COUNTIFS($I$4:changes[[#This Row],[Name]],changes[[#This Row],[Name]], $E$4:changes[[#This Row],[Type of change]], "Edit")),B2173)</f>
        <v>1</v>
      </c>
      <c r="C2174" s="16">
        <v>44819</v>
      </c>
      <c r="D2174" s="1" t="s">
        <v>2753</v>
      </c>
      <c r="E2174" t="s">
        <v>27</v>
      </c>
      <c r="F2174" s="10" t="s">
        <v>9</v>
      </c>
      <c r="G2174" s="21" t="s">
        <v>608</v>
      </c>
      <c r="H2174" s="19" t="s">
        <v>55</v>
      </c>
      <c r="I2174" s="21" t="s">
        <v>614</v>
      </c>
      <c r="J2174" s="22"/>
      <c r="K2174" s="2" t="s">
        <v>6</v>
      </c>
      <c r="L2174" t="s">
        <v>2798</v>
      </c>
      <c r="M2174" s="2"/>
    </row>
    <row r="2175" spans="1:13" ht="15.75">
      <c r="A2175" t="s">
        <v>28</v>
      </c>
      <c r="B2175">
        <f ca="1">IF(OR(changes[[#This Row],[Type]]="Checklist",changes[[#This Row],[Type]]="checklist-flat"),1+IF(changes[[#This Row],[Type of change]] = "Edit",COUNTIFS($I$4:changes[[#This Row],[Name]],changes[[#This Row],[Name]], $E$4:changes[[#This Row],[Type of change]], "Edit")),B2174)</f>
        <v>1</v>
      </c>
      <c r="C2175" s="16">
        <v>44819</v>
      </c>
      <c r="D2175" s="1" t="s">
        <v>2753</v>
      </c>
      <c r="E2175" t="s">
        <v>27</v>
      </c>
      <c r="F2175" s="10" t="s">
        <v>9</v>
      </c>
      <c r="G2175" s="21" t="s">
        <v>608</v>
      </c>
      <c r="H2175" s="19" t="s">
        <v>55</v>
      </c>
      <c r="I2175" s="21" t="s">
        <v>615</v>
      </c>
      <c r="J2175" s="22"/>
      <c r="K2175" s="2" t="s">
        <v>6</v>
      </c>
      <c r="L2175" t="s">
        <v>2798</v>
      </c>
      <c r="M2175" s="2"/>
    </row>
    <row r="2176" spans="1:13" ht="15.75">
      <c r="A2176" t="s">
        <v>28</v>
      </c>
      <c r="B2176">
        <f ca="1">IF(OR(changes[[#This Row],[Type]]="Checklist",changes[[#This Row],[Type]]="checklist-flat"),1+IF(changes[[#This Row],[Type of change]] = "Edit",COUNTIFS($I$4:changes[[#This Row],[Name]],changes[[#This Row],[Name]], $E$4:changes[[#This Row],[Type of change]], "Edit")),B2175)</f>
        <v>1</v>
      </c>
      <c r="C2176" s="16">
        <v>44819</v>
      </c>
      <c r="D2176" s="1" t="s">
        <v>2753</v>
      </c>
      <c r="E2176" t="s">
        <v>27</v>
      </c>
      <c r="F2176" s="10" t="s">
        <v>9</v>
      </c>
      <c r="G2176" s="21" t="s">
        <v>608</v>
      </c>
      <c r="H2176" s="19" t="s">
        <v>55</v>
      </c>
      <c r="I2176" s="18" t="s">
        <v>93</v>
      </c>
      <c r="J2176" s="22"/>
      <c r="K2176" s="2" t="s">
        <v>6</v>
      </c>
      <c r="L2176" t="s">
        <v>2798</v>
      </c>
      <c r="M2176" s="2"/>
    </row>
    <row r="2177" spans="1:13" ht="15.75">
      <c r="A2177" t="s">
        <v>28</v>
      </c>
      <c r="B2177">
        <f ca="1">IF(OR(changes[[#This Row],[Type]]="Checklist",changes[[#This Row],[Type]]="checklist-flat"),1+IF(changes[[#This Row],[Type of change]] = "Edit",COUNTIFS($I$4:changes[[#This Row],[Name]],changes[[#This Row],[Name]], $E$4:changes[[#This Row],[Type of change]], "Edit")),B2176)</f>
        <v>1</v>
      </c>
      <c r="C2177" s="16">
        <v>44819</v>
      </c>
      <c r="D2177" s="1" t="s">
        <v>2753</v>
      </c>
      <c r="E2177" t="s">
        <v>27</v>
      </c>
      <c r="F2177" s="10" t="s">
        <v>9</v>
      </c>
      <c r="G2177" s="21" t="s">
        <v>608</v>
      </c>
      <c r="H2177" s="2" t="s">
        <v>64</v>
      </c>
      <c r="I2177" s="18" t="s">
        <v>94</v>
      </c>
      <c r="J2177" s="23"/>
      <c r="K2177" s="2" t="s">
        <v>6</v>
      </c>
      <c r="L2177" t="s">
        <v>2798</v>
      </c>
      <c r="M2177" s="2"/>
    </row>
    <row r="2178" spans="1:13" ht="15.75">
      <c r="A2178" t="s">
        <v>28</v>
      </c>
      <c r="B2178">
        <f ca="1">IF(OR(changes[[#This Row],[Type]]="Checklist",changes[[#This Row],[Type]]="checklist-flat"),1+IF(changes[[#This Row],[Type of change]] = "Edit",COUNTIFS($I$4:changes[[#This Row],[Name]],changes[[#This Row],[Name]], $E$4:changes[[#This Row],[Type of change]], "Edit")),B2177)</f>
        <v>1</v>
      </c>
      <c r="C2178" s="16">
        <v>44819</v>
      </c>
      <c r="D2178" s="1" t="s">
        <v>2760</v>
      </c>
      <c r="E2178" t="s">
        <v>27</v>
      </c>
      <c r="F2178" s="10" t="s">
        <v>9</v>
      </c>
      <c r="G2178" s="10" t="s">
        <v>888</v>
      </c>
      <c r="H2178" s="19" t="s">
        <v>54</v>
      </c>
      <c r="I2178" s="21" t="s">
        <v>888</v>
      </c>
      <c r="J2178" s="22"/>
      <c r="K2178" s="2" t="s">
        <v>6</v>
      </c>
      <c r="L2178" t="s">
        <v>2858</v>
      </c>
      <c r="M2178" s="2"/>
    </row>
    <row r="2179" spans="1:13">
      <c r="A2179" t="s">
        <v>28</v>
      </c>
      <c r="B2179">
        <f ca="1">IF(OR(changes[[#This Row],[Type]]="Checklist",changes[[#This Row],[Type]]="checklist-flat"),1+IF(changes[[#This Row],[Type of change]] = "Edit",COUNTIFS($I$4:changes[[#This Row],[Name]],changes[[#This Row],[Name]], $E$4:changes[[#This Row],[Type of change]], "Edit")),B2178)</f>
        <v>1</v>
      </c>
      <c r="C2179" s="16">
        <v>44819</v>
      </c>
      <c r="D2179" s="1" t="s">
        <v>2760</v>
      </c>
      <c r="E2179" t="s">
        <v>27</v>
      </c>
      <c r="F2179" s="10" t="s">
        <v>9</v>
      </c>
      <c r="G2179" s="10" t="s">
        <v>888</v>
      </c>
      <c r="H2179" s="19" t="s">
        <v>55</v>
      </c>
      <c r="I2179" t="s">
        <v>889</v>
      </c>
      <c r="J2179" s="22"/>
      <c r="K2179" s="2" t="s">
        <v>6</v>
      </c>
      <c r="L2179" t="s">
        <v>2858</v>
      </c>
      <c r="M2179" s="2"/>
    </row>
    <row r="2180" spans="1:13" ht="15.75">
      <c r="A2180" t="s">
        <v>28</v>
      </c>
      <c r="B2180">
        <f ca="1">IF(OR(changes[[#This Row],[Type]]="Checklist",changes[[#This Row],[Type]]="checklist-flat"),1+IF(changes[[#This Row],[Type of change]] = "Edit",COUNTIFS($I$4:changes[[#This Row],[Name]],changes[[#This Row],[Name]], $E$4:changes[[#This Row],[Type of change]], "Edit")),B2179)</f>
        <v>1</v>
      </c>
      <c r="C2180" s="16">
        <v>44819</v>
      </c>
      <c r="D2180" s="1" t="s">
        <v>2760</v>
      </c>
      <c r="E2180" t="s">
        <v>27</v>
      </c>
      <c r="F2180" s="10" t="s">
        <v>9</v>
      </c>
      <c r="G2180" s="10" t="s">
        <v>888</v>
      </c>
      <c r="H2180" s="19" t="s">
        <v>64</v>
      </c>
      <c r="I2180" s="21" t="s">
        <v>94</v>
      </c>
      <c r="J2180" s="22"/>
      <c r="K2180" s="2" t="s">
        <v>6</v>
      </c>
      <c r="L2180" t="s">
        <v>2858</v>
      </c>
      <c r="M2180" s="2"/>
    </row>
    <row r="2181" spans="1:13" ht="15.75">
      <c r="A2181" t="s">
        <v>28</v>
      </c>
      <c r="B2181">
        <f ca="1">IF(OR(changes[[#This Row],[Type]]="Checklist",changes[[#This Row],[Type]]="checklist-flat"),1+IF(changes[[#This Row],[Type of change]] = "Edit",COUNTIFS($I$4:changes[[#This Row],[Name]],changes[[#This Row],[Name]], $E$4:changes[[#This Row],[Type of change]], "Edit")),B2180)</f>
        <v>1</v>
      </c>
      <c r="C2181" s="16">
        <v>44826</v>
      </c>
      <c r="D2181" s="1" t="s">
        <v>2861</v>
      </c>
      <c r="E2181" t="s">
        <v>27</v>
      </c>
      <c r="F2181" s="10" t="s">
        <v>918</v>
      </c>
      <c r="G2181" s="46" t="s">
        <v>977</v>
      </c>
      <c r="H2181" s="51" t="s">
        <v>478</v>
      </c>
      <c r="I2181" s="46" t="s">
        <v>977</v>
      </c>
      <c r="J2181" s="22"/>
      <c r="K2181" s="2" t="s">
        <v>6</v>
      </c>
      <c r="M2181" s="2"/>
    </row>
    <row r="2182" spans="1:13" ht="15.75">
      <c r="A2182" t="s">
        <v>28</v>
      </c>
      <c r="B2182">
        <f ca="1">IF(OR(changes[[#This Row],[Type]]="Checklist",changes[[#This Row],[Type]]="checklist-flat"),1+IF(changes[[#This Row],[Type of change]] = "Edit",COUNTIFS($I$4:changes[[#This Row],[Name]],changes[[#This Row],[Name]], $E$4:changes[[#This Row],[Type of change]], "Edit")),B2181)</f>
        <v>1</v>
      </c>
      <c r="C2182" s="16">
        <v>44826</v>
      </c>
      <c r="D2182" s="1" t="s">
        <v>2861</v>
      </c>
      <c r="E2182" t="s">
        <v>27</v>
      </c>
      <c r="F2182" s="10" t="s">
        <v>918</v>
      </c>
      <c r="G2182" s="46" t="s">
        <v>977</v>
      </c>
      <c r="H2182" s="52" t="s">
        <v>479</v>
      </c>
      <c r="I2182" s="47" t="s">
        <v>920</v>
      </c>
      <c r="J2182" s="23"/>
      <c r="K2182" s="2" t="s">
        <v>6</v>
      </c>
      <c r="M2182" s="2"/>
    </row>
    <row r="2183" spans="1:13" ht="15.75">
      <c r="A2183" t="s">
        <v>28</v>
      </c>
      <c r="B2183">
        <f ca="1">IF(OR(changes[[#This Row],[Type]]="Checklist",changes[[#This Row],[Type]]="checklist-flat"),1+IF(changes[[#This Row],[Type of change]] = "Edit",COUNTIFS($I$4:changes[[#This Row],[Name]],changes[[#This Row],[Name]], $E$4:changes[[#This Row],[Type of change]], "Edit")),B2182)</f>
        <v>1</v>
      </c>
      <c r="C2183" s="16">
        <v>44826</v>
      </c>
      <c r="D2183" s="1" t="s">
        <v>2861</v>
      </c>
      <c r="E2183" t="s">
        <v>27</v>
      </c>
      <c r="F2183" s="10" t="s">
        <v>918</v>
      </c>
      <c r="G2183" s="46" t="s">
        <v>977</v>
      </c>
      <c r="H2183" s="44" t="s">
        <v>722</v>
      </c>
      <c r="I2183" s="48" t="s">
        <v>978</v>
      </c>
      <c r="J2183" s="23"/>
      <c r="K2183" s="2" t="s">
        <v>6</v>
      </c>
      <c r="M2183" s="2"/>
    </row>
    <row r="2184" spans="1:13" ht="15.75">
      <c r="A2184" t="s">
        <v>28</v>
      </c>
      <c r="B2184">
        <f ca="1">IF(OR(changes[[#This Row],[Type]]="Checklist",changes[[#This Row],[Type]]="checklist-flat"),1+IF(changes[[#This Row],[Type of change]] = "Edit",COUNTIFS($I$4:changes[[#This Row],[Name]],changes[[#This Row],[Name]], $E$4:changes[[#This Row],[Type of change]], "Edit")),B2183)</f>
        <v>1</v>
      </c>
      <c r="C2184" s="16">
        <v>44826</v>
      </c>
      <c r="D2184" s="1" t="s">
        <v>2861</v>
      </c>
      <c r="E2184" t="s">
        <v>27</v>
      </c>
      <c r="F2184" s="10" t="s">
        <v>918</v>
      </c>
      <c r="G2184" s="46" t="s">
        <v>977</v>
      </c>
      <c r="H2184" s="52" t="s">
        <v>214</v>
      </c>
      <c r="I2184" s="47" t="s">
        <v>979</v>
      </c>
      <c r="J2184" s="23"/>
      <c r="K2184" s="2" t="s">
        <v>6</v>
      </c>
      <c r="M2184" s="2"/>
    </row>
    <row r="2185" spans="1:13" ht="15.75">
      <c r="A2185" t="s">
        <v>28</v>
      </c>
      <c r="B2185">
        <f ca="1">IF(OR(changes[[#This Row],[Type]]="Checklist",changes[[#This Row],[Type]]="checklist-flat"),1+IF(changes[[#This Row],[Type of change]] = "Edit",COUNTIFS($I$4:changes[[#This Row],[Name]],changes[[#This Row],[Name]], $E$4:changes[[#This Row],[Type of change]], "Edit")),B2184)</f>
        <v>1</v>
      </c>
      <c r="C2185" s="16">
        <v>44826</v>
      </c>
      <c r="D2185" s="1" t="s">
        <v>2861</v>
      </c>
      <c r="E2185" t="s">
        <v>27</v>
      </c>
      <c r="F2185" s="10" t="s">
        <v>918</v>
      </c>
      <c r="G2185" s="46" t="s">
        <v>977</v>
      </c>
      <c r="H2185" s="52" t="s">
        <v>214</v>
      </c>
      <c r="I2185" s="47" t="s">
        <v>980</v>
      </c>
      <c r="J2185" s="23"/>
      <c r="K2185" s="2" t="s">
        <v>6</v>
      </c>
      <c r="M2185" s="2"/>
    </row>
    <row r="2186" spans="1:13" ht="15.75">
      <c r="A2186" t="s">
        <v>28</v>
      </c>
      <c r="B2186">
        <f ca="1">IF(OR(changes[[#This Row],[Type]]="Checklist",changes[[#This Row],[Type]]="checklist-flat"),1+IF(changes[[#This Row],[Type of change]] = "Edit",COUNTIFS($I$4:changes[[#This Row],[Name]],changes[[#This Row],[Name]], $E$4:changes[[#This Row],[Type of change]], "Edit")),B2185)</f>
        <v>1</v>
      </c>
      <c r="C2186" s="16">
        <v>44826</v>
      </c>
      <c r="D2186" s="1" t="s">
        <v>2861</v>
      </c>
      <c r="E2186" t="s">
        <v>27</v>
      </c>
      <c r="F2186" s="10" t="s">
        <v>918</v>
      </c>
      <c r="G2186" s="46" t="s">
        <v>977</v>
      </c>
      <c r="H2186" s="52" t="s">
        <v>214</v>
      </c>
      <c r="I2186" s="47" t="s">
        <v>981</v>
      </c>
      <c r="J2186" s="23"/>
      <c r="K2186" s="2" t="s">
        <v>6</v>
      </c>
      <c r="M2186" s="2"/>
    </row>
    <row r="2187" spans="1:13" ht="15.75">
      <c r="A2187" t="s">
        <v>28</v>
      </c>
      <c r="B2187">
        <f ca="1">IF(OR(changes[[#This Row],[Type]]="Checklist",changes[[#This Row],[Type]]="checklist-flat"),1+IF(changes[[#This Row],[Type of change]] = "Edit",COUNTIFS($I$4:changes[[#This Row],[Name]],changes[[#This Row],[Name]], $E$4:changes[[#This Row],[Type of change]], "Edit")),B2186)</f>
        <v>1</v>
      </c>
      <c r="C2187" s="16">
        <v>44826</v>
      </c>
      <c r="D2187" s="1" t="s">
        <v>2861</v>
      </c>
      <c r="E2187" t="s">
        <v>27</v>
      </c>
      <c r="F2187" s="10" t="s">
        <v>918</v>
      </c>
      <c r="G2187" s="46" t="s">
        <v>977</v>
      </c>
      <c r="H2187" s="52" t="s">
        <v>214</v>
      </c>
      <c r="I2187" s="47" t="s">
        <v>982</v>
      </c>
      <c r="J2187" s="23"/>
      <c r="K2187" s="2" t="s">
        <v>6</v>
      </c>
      <c r="M2187" s="2"/>
    </row>
    <row r="2188" spans="1:13" ht="15.75">
      <c r="A2188" t="s">
        <v>28</v>
      </c>
      <c r="B2188">
        <f ca="1">IF(OR(changes[[#This Row],[Type]]="Checklist",changes[[#This Row],[Type]]="checklist-flat"),1+IF(changes[[#This Row],[Type of change]] = "Edit",COUNTIFS($I$4:changes[[#This Row],[Name]],changes[[#This Row],[Name]], $E$4:changes[[#This Row],[Type of change]], "Edit")),B2187)</f>
        <v>1</v>
      </c>
      <c r="C2188" s="16">
        <v>44826</v>
      </c>
      <c r="D2188" s="1" t="s">
        <v>2861</v>
      </c>
      <c r="E2188" t="s">
        <v>27</v>
      </c>
      <c r="F2188" s="10" t="s">
        <v>918</v>
      </c>
      <c r="G2188" s="46" t="s">
        <v>977</v>
      </c>
      <c r="H2188" s="52" t="s">
        <v>214</v>
      </c>
      <c r="I2188" s="47" t="s">
        <v>983</v>
      </c>
      <c r="J2188" s="23"/>
      <c r="K2188" s="2" t="s">
        <v>6</v>
      </c>
      <c r="M2188" s="2"/>
    </row>
    <row r="2189" spans="1:13" ht="15.75">
      <c r="A2189" t="s">
        <v>28</v>
      </c>
      <c r="B2189">
        <f ca="1">IF(OR(changes[[#This Row],[Type]]="Checklist",changes[[#This Row],[Type]]="checklist-flat"),1+IF(changes[[#This Row],[Type of change]] = "Edit",COUNTIFS($I$4:changes[[#This Row],[Name]],changes[[#This Row],[Name]], $E$4:changes[[#This Row],[Type of change]], "Edit")),B2188)</f>
        <v>1</v>
      </c>
      <c r="C2189" s="16">
        <v>44826</v>
      </c>
      <c r="D2189" s="1" t="s">
        <v>2861</v>
      </c>
      <c r="E2189" t="s">
        <v>27</v>
      </c>
      <c r="F2189" s="10" t="s">
        <v>918</v>
      </c>
      <c r="G2189" s="46" t="s">
        <v>977</v>
      </c>
      <c r="H2189" s="52" t="s">
        <v>214</v>
      </c>
      <c r="I2189" s="47" t="s">
        <v>984</v>
      </c>
      <c r="J2189" s="23"/>
      <c r="K2189" s="2" t="s">
        <v>6</v>
      </c>
      <c r="M2189" s="2"/>
    </row>
    <row r="2190" spans="1:13" ht="15.75">
      <c r="A2190" t="s">
        <v>28</v>
      </c>
      <c r="B2190">
        <f ca="1">IF(OR(changes[[#This Row],[Type]]="Checklist",changes[[#This Row],[Type]]="checklist-flat"),1+IF(changes[[#This Row],[Type of change]] = "Edit",COUNTIFS($I$4:changes[[#This Row],[Name]],changes[[#This Row],[Name]], $E$4:changes[[#This Row],[Type of change]], "Edit")),B2189)</f>
        <v>1</v>
      </c>
      <c r="C2190" s="16">
        <v>44826</v>
      </c>
      <c r="D2190" s="1" t="s">
        <v>2861</v>
      </c>
      <c r="E2190" t="s">
        <v>27</v>
      </c>
      <c r="F2190" s="10" t="s">
        <v>918</v>
      </c>
      <c r="G2190" s="46" t="s">
        <v>977</v>
      </c>
      <c r="H2190" s="53" t="s">
        <v>214</v>
      </c>
      <c r="I2190" s="49" t="s">
        <v>985</v>
      </c>
      <c r="J2190" s="23"/>
      <c r="K2190" s="2" t="s">
        <v>6</v>
      </c>
      <c r="M2190" s="2"/>
    </row>
    <row r="2191" spans="1:13" ht="15.75">
      <c r="A2191" t="s">
        <v>28</v>
      </c>
      <c r="B2191">
        <f ca="1">IF(OR(changes[[#This Row],[Type]]="Checklist",changes[[#This Row],[Type]]="checklist-flat"),1+IF(changes[[#This Row],[Type of change]] = "Edit",COUNTIFS($I$4:changes[[#This Row],[Name]],changes[[#This Row],[Name]], $E$4:changes[[#This Row],[Type of change]], "Edit")),B2190)</f>
        <v>1</v>
      </c>
      <c r="C2191" s="16">
        <v>44826</v>
      </c>
      <c r="D2191" s="1" t="s">
        <v>2861</v>
      </c>
      <c r="E2191" t="s">
        <v>27</v>
      </c>
      <c r="F2191" s="10" t="s">
        <v>918</v>
      </c>
      <c r="G2191" s="46" t="s">
        <v>977</v>
      </c>
      <c r="H2191" s="54" t="s">
        <v>55</v>
      </c>
      <c r="I2191" s="48" t="s">
        <v>969</v>
      </c>
      <c r="J2191" s="23"/>
      <c r="K2191" s="2" t="s">
        <v>6</v>
      </c>
      <c r="M2191" s="2"/>
    </row>
    <row r="2192" spans="1:13" ht="15.75">
      <c r="A2192" t="s">
        <v>28</v>
      </c>
      <c r="B2192">
        <f ca="1">IF(OR(changes[[#This Row],[Type]]="Checklist",changes[[#This Row],[Type]]="checklist-flat"),1+IF(changes[[#This Row],[Type of change]] = "Edit",COUNTIFS($I$4:changes[[#This Row],[Name]],changes[[#This Row],[Name]], $E$4:changes[[#This Row],[Type of change]], "Edit")),B2191)</f>
        <v>1</v>
      </c>
      <c r="C2192" s="16">
        <v>44826</v>
      </c>
      <c r="D2192" s="1" t="s">
        <v>2861</v>
      </c>
      <c r="E2192" t="s">
        <v>27</v>
      </c>
      <c r="F2192" s="10" t="s">
        <v>918</v>
      </c>
      <c r="G2192" s="46" t="s">
        <v>977</v>
      </c>
      <c r="H2192" s="52" t="s">
        <v>214</v>
      </c>
      <c r="I2192" s="47" t="s">
        <v>986</v>
      </c>
      <c r="J2192" s="23"/>
      <c r="K2192" s="2" t="s">
        <v>6</v>
      </c>
      <c r="M2192" s="2"/>
    </row>
    <row r="2193" spans="1:13" ht="15.75">
      <c r="A2193" t="s">
        <v>28</v>
      </c>
      <c r="B2193">
        <f ca="1">IF(OR(changes[[#This Row],[Type]]="Checklist",changes[[#This Row],[Type]]="checklist-flat"),1+IF(changes[[#This Row],[Type of change]] = "Edit",COUNTIFS($I$4:changes[[#This Row],[Name]],changes[[#This Row],[Name]], $E$4:changes[[#This Row],[Type of change]], "Edit")),B2192)</f>
        <v>1</v>
      </c>
      <c r="C2193" s="16">
        <v>44826</v>
      </c>
      <c r="D2193" s="1" t="s">
        <v>2861</v>
      </c>
      <c r="E2193" t="s">
        <v>27</v>
      </c>
      <c r="F2193" s="10" t="s">
        <v>918</v>
      </c>
      <c r="G2193" s="46" t="s">
        <v>977</v>
      </c>
      <c r="H2193" s="53" t="s">
        <v>214</v>
      </c>
      <c r="I2193" s="49" t="s">
        <v>987</v>
      </c>
      <c r="J2193" s="23"/>
      <c r="K2193" s="2" t="s">
        <v>6</v>
      </c>
      <c r="M2193" s="2"/>
    </row>
    <row r="2194" spans="1:13" ht="15.75">
      <c r="A2194" t="s">
        <v>28</v>
      </c>
      <c r="B2194">
        <f ca="1">IF(OR(changes[[#This Row],[Type]]="Checklist",changes[[#This Row],[Type]]="checklist-flat"),1+IF(changes[[#This Row],[Type of change]] = "Edit",COUNTIFS($I$4:changes[[#This Row],[Name]],changes[[#This Row],[Name]], $E$4:changes[[#This Row],[Type of change]], "Edit")),B2193)</f>
        <v>1</v>
      </c>
      <c r="C2194" s="16">
        <v>44826</v>
      </c>
      <c r="D2194" s="1" t="s">
        <v>2861</v>
      </c>
      <c r="E2194" t="s">
        <v>27</v>
      </c>
      <c r="F2194" s="10" t="s">
        <v>918</v>
      </c>
      <c r="G2194" s="46" t="s">
        <v>977</v>
      </c>
      <c r="H2194" s="55" t="s">
        <v>55</v>
      </c>
      <c r="I2194" s="50" t="s">
        <v>988</v>
      </c>
      <c r="J2194" s="23"/>
      <c r="K2194" s="2" t="s">
        <v>6</v>
      </c>
      <c r="M2194" s="2"/>
    </row>
    <row r="2195" spans="1:13" ht="15.75">
      <c r="A2195" t="s">
        <v>28</v>
      </c>
      <c r="B2195">
        <f ca="1">IF(OR(changes[[#This Row],[Type]]="Checklist",changes[[#This Row],[Type]]="checklist-flat"),1+IF(changes[[#This Row],[Type of change]] = "Edit",COUNTIFS($I$4:changes[[#This Row],[Name]],changes[[#This Row],[Name]], $E$4:changes[[#This Row],[Type of change]], "Edit")),B2194)</f>
        <v>1</v>
      </c>
      <c r="C2195" s="16">
        <v>44826</v>
      </c>
      <c r="D2195" s="1" t="s">
        <v>2861</v>
      </c>
      <c r="E2195" t="s">
        <v>27</v>
      </c>
      <c r="F2195" s="10" t="s">
        <v>918</v>
      </c>
      <c r="G2195" s="46" t="s">
        <v>977</v>
      </c>
      <c r="H2195" s="52" t="s">
        <v>479</v>
      </c>
      <c r="I2195" s="47" t="s">
        <v>970</v>
      </c>
      <c r="J2195" s="23"/>
      <c r="K2195" s="2" t="s">
        <v>6</v>
      </c>
      <c r="M2195" s="2"/>
    </row>
    <row r="2196" spans="1:13" ht="15.75">
      <c r="A2196" t="s">
        <v>28</v>
      </c>
      <c r="B2196">
        <f ca="1">IF(OR(changes[[#This Row],[Type]]="Checklist",changes[[#This Row],[Type]]="checklist-flat"),1+IF(changes[[#This Row],[Type of change]] = "Edit",COUNTIFS($I$4:changes[[#This Row],[Name]],changes[[#This Row],[Name]], $E$4:changes[[#This Row],[Type of change]], "Edit")),B2195)</f>
        <v>1</v>
      </c>
      <c r="C2196" s="16">
        <v>44826</v>
      </c>
      <c r="D2196" s="1" t="s">
        <v>2861</v>
      </c>
      <c r="E2196" t="s">
        <v>27</v>
      </c>
      <c r="F2196" s="10" t="s">
        <v>918</v>
      </c>
      <c r="G2196" s="46" t="s">
        <v>977</v>
      </c>
      <c r="H2196" s="54" t="s">
        <v>55</v>
      </c>
      <c r="I2196" s="48" t="s">
        <v>989</v>
      </c>
      <c r="J2196" s="23"/>
      <c r="K2196" s="2" t="s">
        <v>6</v>
      </c>
      <c r="M2196" s="2"/>
    </row>
    <row r="2197" spans="1:13" ht="15.75">
      <c r="A2197" t="s">
        <v>28</v>
      </c>
      <c r="B2197">
        <f ca="1">IF(OR(changes[[#This Row],[Type]]="Checklist",changes[[#This Row],[Type]]="checklist-flat"),1+IF(changes[[#This Row],[Type of change]] = "Edit",COUNTIFS($I$4:changes[[#This Row],[Name]],changes[[#This Row],[Name]], $E$4:changes[[#This Row],[Type of change]], "Edit")),B2196)</f>
        <v>1</v>
      </c>
      <c r="C2197" s="16">
        <v>44826</v>
      </c>
      <c r="D2197" s="1" t="s">
        <v>2861</v>
      </c>
      <c r="E2197" t="s">
        <v>27</v>
      </c>
      <c r="F2197" s="10" t="s">
        <v>918</v>
      </c>
      <c r="G2197" s="46" t="s">
        <v>977</v>
      </c>
      <c r="H2197" s="45" t="s">
        <v>990</v>
      </c>
      <c r="I2197" s="47" t="s">
        <v>991</v>
      </c>
      <c r="J2197" s="23"/>
      <c r="K2197" s="2" t="s">
        <v>6</v>
      </c>
      <c r="M2197" s="2"/>
    </row>
    <row r="2198" spans="1:13" ht="15.75">
      <c r="A2198" t="s">
        <v>28</v>
      </c>
      <c r="B2198">
        <f ca="1">IF(OR(changes[[#This Row],[Type]]="Checklist",changes[[#This Row],[Type]]="checklist-flat"),1+IF(changes[[#This Row],[Type of change]] = "Edit",COUNTIFS($I$4:changes[[#This Row],[Name]],changes[[#This Row],[Name]], $E$4:changes[[#This Row],[Type of change]], "Edit")),B2197)</f>
        <v>1</v>
      </c>
      <c r="C2198" s="16">
        <v>44826</v>
      </c>
      <c r="D2198" s="1" t="s">
        <v>2861</v>
      </c>
      <c r="E2198" t="s">
        <v>27</v>
      </c>
      <c r="F2198" s="10" t="s">
        <v>918</v>
      </c>
      <c r="G2198" s="46" t="s">
        <v>977</v>
      </c>
      <c r="H2198" s="45" t="s">
        <v>951</v>
      </c>
      <c r="I2198" s="47" t="s">
        <v>992</v>
      </c>
      <c r="J2198" s="23"/>
      <c r="K2198" s="2" t="s">
        <v>6</v>
      </c>
      <c r="M2198" s="2"/>
    </row>
    <row r="2199" spans="1:13" ht="15.75">
      <c r="A2199" t="s">
        <v>28</v>
      </c>
      <c r="B2199">
        <f ca="1">IF(OR(changes[[#This Row],[Type]]="Checklist",changes[[#This Row],[Type]]="checklist-flat"),1+IF(changes[[#This Row],[Type of change]] = "Edit",COUNTIFS($I$4:changes[[#This Row],[Name]],changes[[#This Row],[Name]], $E$4:changes[[#This Row],[Type of change]], "Edit")),B2198)</f>
        <v>1</v>
      </c>
      <c r="C2199" s="16">
        <v>44826</v>
      </c>
      <c r="D2199" s="1" t="s">
        <v>2861</v>
      </c>
      <c r="E2199" t="s">
        <v>27</v>
      </c>
      <c r="F2199" s="10" t="s">
        <v>918</v>
      </c>
      <c r="G2199" s="46" t="s">
        <v>977</v>
      </c>
      <c r="H2199" s="45" t="s">
        <v>214</v>
      </c>
      <c r="I2199" s="47" t="s">
        <v>993</v>
      </c>
      <c r="J2199" s="23"/>
      <c r="K2199" s="2" t="s">
        <v>6</v>
      </c>
      <c r="M2199" s="2"/>
    </row>
    <row r="2200" spans="1:13" ht="15.75">
      <c r="A2200" t="s">
        <v>28</v>
      </c>
      <c r="B2200">
        <f ca="1">IF(OR(changes[[#This Row],[Type]]="Checklist",changes[[#This Row],[Type]]="checklist-flat"),1+IF(changes[[#This Row],[Type of change]] = "Edit",COUNTIFS($I$4:changes[[#This Row],[Name]],changes[[#This Row],[Name]], $E$4:changes[[#This Row],[Type of change]], "Edit")),B2199)</f>
        <v>1</v>
      </c>
      <c r="C2200" s="16">
        <v>44826</v>
      </c>
      <c r="D2200" s="1" t="s">
        <v>2861</v>
      </c>
      <c r="E2200" t="s">
        <v>27</v>
      </c>
      <c r="F2200" s="10" t="s">
        <v>918</v>
      </c>
      <c r="G2200" s="46" t="s">
        <v>977</v>
      </c>
      <c r="H2200" s="45" t="s">
        <v>994</v>
      </c>
      <c r="I2200" s="47" t="s">
        <v>422</v>
      </c>
      <c r="J2200" s="23"/>
      <c r="K2200" s="2" t="s">
        <v>6</v>
      </c>
      <c r="M2200" s="2"/>
    </row>
    <row r="2201" spans="1:13" ht="15.75">
      <c r="A2201" t="s">
        <v>28</v>
      </c>
      <c r="B2201">
        <f ca="1">IF(OR(changes[[#This Row],[Type]]="Checklist",changes[[#This Row],[Type]]="checklist-flat"),1+IF(changes[[#This Row],[Type of change]] = "Edit",COUNTIFS($I$4:changes[[#This Row],[Name]],changes[[#This Row],[Name]], $E$4:changes[[#This Row],[Type of change]], "Edit")),B2200)</f>
        <v>1</v>
      </c>
      <c r="C2201" s="16">
        <v>44837</v>
      </c>
      <c r="D2201" s="1" t="s">
        <v>2861</v>
      </c>
      <c r="E2201" t="s">
        <v>27</v>
      </c>
      <c r="F2201" s="10" t="s">
        <v>52</v>
      </c>
      <c r="G2201" s="21" t="s">
        <v>654</v>
      </c>
      <c r="H2201" s="19" t="s">
        <v>54</v>
      </c>
      <c r="I2201" s="21" t="s">
        <v>654</v>
      </c>
      <c r="J2201" s="22"/>
      <c r="K2201" s="2" t="s">
        <v>6</v>
      </c>
      <c r="M2201" s="2"/>
    </row>
    <row r="2202" spans="1:13" ht="15.75">
      <c r="A2202" t="s">
        <v>28</v>
      </c>
      <c r="B2202">
        <f ca="1">IF(OR(changes[[#This Row],[Type]]="Checklist",changes[[#This Row],[Type]]="checklist-flat"),1+IF(changes[[#This Row],[Type of change]] = "Edit",COUNTIFS($I$4:changes[[#This Row],[Name]],changes[[#This Row],[Name]], $E$4:changes[[#This Row],[Type of change]], "Edit")),B2201)</f>
        <v>1</v>
      </c>
      <c r="C2202" s="16">
        <v>44837</v>
      </c>
      <c r="D2202" s="1" t="s">
        <v>2861</v>
      </c>
      <c r="E2202" t="s">
        <v>27</v>
      </c>
      <c r="F2202" s="10" t="s">
        <v>52</v>
      </c>
      <c r="G2202" s="21" t="s">
        <v>654</v>
      </c>
      <c r="H2202" s="2" t="s">
        <v>655</v>
      </c>
      <c r="I2202" s="18" t="s">
        <v>62</v>
      </c>
      <c r="J2202" s="23"/>
      <c r="K2202" s="2" t="s">
        <v>6</v>
      </c>
      <c r="M2202" s="2"/>
    </row>
    <row r="2203" spans="1:13" ht="15.75">
      <c r="A2203" t="s">
        <v>28</v>
      </c>
      <c r="B2203">
        <f ca="1">IF(OR(changes[[#This Row],[Type]]="Checklist",changes[[#This Row],[Type]]="checklist-flat"),1+IF(changes[[#This Row],[Type of change]] = "Edit",COUNTIFS($I$4:changes[[#This Row],[Name]],changes[[#This Row],[Name]], $E$4:changes[[#This Row],[Type of change]], "Edit")),B2202)</f>
        <v>1</v>
      </c>
      <c r="C2203" s="16">
        <v>44837</v>
      </c>
      <c r="D2203" s="1" t="s">
        <v>2861</v>
      </c>
      <c r="E2203" t="s">
        <v>27</v>
      </c>
      <c r="F2203" s="10" t="s">
        <v>52</v>
      </c>
      <c r="G2203" s="21" t="s">
        <v>654</v>
      </c>
      <c r="H2203" s="2" t="s">
        <v>655</v>
      </c>
      <c r="I2203" s="18" t="s">
        <v>63</v>
      </c>
      <c r="J2203" s="23"/>
      <c r="K2203" s="2" t="s">
        <v>6</v>
      </c>
      <c r="M2203" s="2"/>
    </row>
    <row r="2204" spans="1:13" ht="15.75">
      <c r="A2204" t="s">
        <v>28</v>
      </c>
      <c r="B2204">
        <f ca="1">IF(OR(changes[[#This Row],[Type]]="Checklist",changes[[#This Row],[Type]]="checklist-flat"),1+IF(changes[[#This Row],[Type of change]] = "Edit",COUNTIFS($I$4:changes[[#This Row],[Name]],changes[[#This Row],[Name]], $E$4:changes[[#This Row],[Type of change]], "Edit")),B2203)</f>
        <v>1</v>
      </c>
      <c r="C2204" s="16">
        <v>44837</v>
      </c>
      <c r="D2204" s="1" t="s">
        <v>2861</v>
      </c>
      <c r="E2204" t="s">
        <v>27</v>
      </c>
      <c r="F2204" s="10" t="s">
        <v>52</v>
      </c>
      <c r="G2204" s="21" t="s">
        <v>654</v>
      </c>
      <c r="H2204" s="2" t="s">
        <v>64</v>
      </c>
      <c r="I2204" s="18" t="s">
        <v>65</v>
      </c>
      <c r="J2204" s="23"/>
      <c r="K2204" s="2" t="s">
        <v>6</v>
      </c>
      <c r="M2204" s="2"/>
    </row>
    <row r="2205" spans="1:13" ht="15.75">
      <c r="A2205" t="s">
        <v>28</v>
      </c>
      <c r="B2205">
        <f ca="1">IF(OR(changes[[#This Row],[Type]]="Checklist",changes[[#This Row],[Type]]="checklist-flat"),1+IF(changes[[#This Row],[Type of change]] = "Edit",COUNTIFS($I$4:changes[[#This Row],[Name]],changes[[#This Row],[Name]], $E$4:changes[[#This Row],[Type of change]], "Edit")),B2204)</f>
        <v>1</v>
      </c>
      <c r="C2205" s="16">
        <v>44837</v>
      </c>
      <c r="D2205" s="1" t="s">
        <v>2861</v>
      </c>
      <c r="E2205" t="s">
        <v>27</v>
      </c>
      <c r="F2205" s="10" t="s">
        <v>52</v>
      </c>
      <c r="G2205" s="21" t="s">
        <v>654</v>
      </c>
      <c r="H2205" s="2" t="s">
        <v>655</v>
      </c>
      <c r="I2205" s="18" t="s">
        <v>656</v>
      </c>
      <c r="J2205" s="23"/>
      <c r="K2205" s="2" t="s">
        <v>6</v>
      </c>
      <c r="M2205" s="2"/>
    </row>
    <row r="2206" spans="1:13" ht="15.75">
      <c r="A2206" t="s">
        <v>28</v>
      </c>
      <c r="B2206">
        <f ca="1">IF(OR(changes[[#This Row],[Type]]="Checklist",changes[[#This Row],[Type]]="checklist-flat"),1+IF(changes[[#This Row],[Type of change]] = "Edit",COUNTIFS($I$4:changes[[#This Row],[Name]],changes[[#This Row],[Name]], $E$4:changes[[#This Row],[Type of change]], "Edit")),B2205)</f>
        <v>1</v>
      </c>
      <c r="C2206" s="16">
        <v>44838</v>
      </c>
      <c r="D2206" s="1" t="s">
        <v>2809</v>
      </c>
      <c r="E2206" t="s">
        <v>27</v>
      </c>
      <c r="F2206" s="10" t="s">
        <v>9</v>
      </c>
      <c r="G2206" s="21" t="s">
        <v>2007</v>
      </c>
      <c r="H2206" s="19" t="s">
        <v>478</v>
      </c>
      <c r="I2206" s="21" t="s">
        <v>2007</v>
      </c>
      <c r="J2206" s="22"/>
      <c r="K2206" s="2" t="s">
        <v>6</v>
      </c>
      <c r="L2206" s="2" t="s">
        <v>2862</v>
      </c>
      <c r="M2206" s="2"/>
    </row>
    <row r="2207" spans="1:13" ht="15.75">
      <c r="A2207" t="s">
        <v>28</v>
      </c>
      <c r="B2207">
        <f ca="1">IF(OR(changes[[#This Row],[Type]]="Checklist",changes[[#This Row],[Type]]="checklist-flat"),1+IF(changes[[#This Row],[Type of change]] = "Edit",COUNTIFS($I$4:changes[[#This Row],[Name]],changes[[#This Row],[Name]], $E$4:changes[[#This Row],[Type of change]], "Edit")),B2206)</f>
        <v>1</v>
      </c>
      <c r="C2207" s="16">
        <v>44838</v>
      </c>
      <c r="D2207" s="1" t="s">
        <v>2809</v>
      </c>
      <c r="E2207" t="s">
        <v>27</v>
      </c>
      <c r="F2207" s="10" t="s">
        <v>9</v>
      </c>
      <c r="G2207" s="21" t="s">
        <v>2007</v>
      </c>
      <c r="H2207" s="19" t="s">
        <v>479</v>
      </c>
      <c r="I2207" s="21" t="s">
        <v>2008</v>
      </c>
      <c r="J2207" s="22"/>
      <c r="K2207" s="2" t="s">
        <v>6</v>
      </c>
      <c r="L2207" s="2" t="s">
        <v>2862</v>
      </c>
      <c r="M2207" s="2"/>
    </row>
    <row r="2208" spans="1:13" ht="15.75">
      <c r="A2208" t="s">
        <v>28</v>
      </c>
      <c r="B2208">
        <f ca="1">IF(OR(changes[[#This Row],[Type]]="Checklist",changes[[#This Row],[Type]]="checklist-flat"),1+IF(changes[[#This Row],[Type of change]] = "Edit",COUNTIFS($I$4:changes[[#This Row],[Name]],changes[[#This Row],[Name]], $E$4:changes[[#This Row],[Type of change]], "Edit")),B2207)</f>
        <v>1</v>
      </c>
      <c r="C2208" s="16">
        <v>44838</v>
      </c>
      <c r="D2208" s="1" t="s">
        <v>2809</v>
      </c>
      <c r="E2208" t="s">
        <v>27</v>
      </c>
      <c r="F2208" s="10" t="s">
        <v>9</v>
      </c>
      <c r="G2208" s="21" t="s">
        <v>2007</v>
      </c>
      <c r="H2208" s="19" t="s">
        <v>55</v>
      </c>
      <c r="I2208" s="21" t="s">
        <v>2009</v>
      </c>
      <c r="J2208" s="22"/>
      <c r="K2208" s="2" t="s">
        <v>6</v>
      </c>
      <c r="L2208" s="2" t="s">
        <v>2862</v>
      </c>
      <c r="M2208" s="2"/>
    </row>
    <row r="2209" spans="1:13" ht="15.75">
      <c r="A2209" t="s">
        <v>28</v>
      </c>
      <c r="B2209">
        <f ca="1">IF(OR(changes[[#This Row],[Type]]="Checklist",changes[[#This Row],[Type]]="checklist-flat"),1+IF(changes[[#This Row],[Type of change]] = "Edit",COUNTIFS($I$4:changes[[#This Row],[Name]],changes[[#This Row],[Name]], $E$4:changes[[#This Row],[Type of change]], "Edit")),B2208)</f>
        <v>1</v>
      </c>
      <c r="C2209" s="16">
        <v>44838</v>
      </c>
      <c r="D2209" s="1" t="s">
        <v>2809</v>
      </c>
      <c r="E2209" t="s">
        <v>27</v>
      </c>
      <c r="F2209" s="10" t="s">
        <v>9</v>
      </c>
      <c r="G2209" s="21" t="s">
        <v>2007</v>
      </c>
      <c r="H2209" s="19" t="s">
        <v>55</v>
      </c>
      <c r="I2209" s="21" t="s">
        <v>2010</v>
      </c>
      <c r="J2209" s="22"/>
      <c r="K2209" s="2" t="s">
        <v>6</v>
      </c>
      <c r="L2209" s="2" t="s">
        <v>2862</v>
      </c>
      <c r="M2209" s="2"/>
    </row>
    <row r="2210" spans="1:13" ht="15.75">
      <c r="A2210" t="s">
        <v>28</v>
      </c>
      <c r="B2210">
        <f ca="1">IF(OR(changes[[#This Row],[Type]]="Checklist",changes[[#This Row],[Type]]="checklist-flat"),1+IF(changes[[#This Row],[Type of change]] = "Edit",COUNTIFS($I$4:changes[[#This Row],[Name]],changes[[#This Row],[Name]], $E$4:changes[[#This Row],[Type of change]], "Edit")),B2209)</f>
        <v>1</v>
      </c>
      <c r="C2210" s="16">
        <v>44838</v>
      </c>
      <c r="D2210" s="1" t="s">
        <v>2809</v>
      </c>
      <c r="E2210" t="s">
        <v>27</v>
      </c>
      <c r="F2210" s="10" t="s">
        <v>9</v>
      </c>
      <c r="G2210" s="21" t="s">
        <v>2007</v>
      </c>
      <c r="H2210" s="19" t="s">
        <v>55</v>
      </c>
      <c r="I2210" s="21" t="s">
        <v>2011</v>
      </c>
      <c r="J2210" s="22"/>
      <c r="K2210" s="2" t="s">
        <v>6</v>
      </c>
      <c r="L2210" s="2" t="s">
        <v>2862</v>
      </c>
      <c r="M2210" s="2"/>
    </row>
    <row r="2211" spans="1:13" ht="15.75">
      <c r="A2211" t="s">
        <v>28</v>
      </c>
      <c r="B2211">
        <f ca="1">IF(OR(changes[[#This Row],[Type]]="Checklist",changes[[#This Row],[Type]]="checklist-flat"),1+IF(changes[[#This Row],[Type of change]] = "Edit",COUNTIFS($I$4:changes[[#This Row],[Name]],changes[[#This Row],[Name]], $E$4:changes[[#This Row],[Type of change]], "Edit")),B2210)</f>
        <v>1</v>
      </c>
      <c r="C2211" s="16">
        <v>44838</v>
      </c>
      <c r="D2211" s="1" t="s">
        <v>2809</v>
      </c>
      <c r="E2211" t="s">
        <v>27</v>
      </c>
      <c r="F2211" s="10" t="s">
        <v>9</v>
      </c>
      <c r="G2211" s="21" t="s">
        <v>2007</v>
      </c>
      <c r="H2211" s="19" t="s">
        <v>55</v>
      </c>
      <c r="I2211" s="21" t="s">
        <v>2012</v>
      </c>
      <c r="J2211" s="22"/>
      <c r="K2211" s="2" t="s">
        <v>6</v>
      </c>
      <c r="L2211" s="2" t="s">
        <v>2862</v>
      </c>
      <c r="M2211" s="2"/>
    </row>
    <row r="2212" spans="1:13" ht="15.75">
      <c r="A2212" t="s">
        <v>28</v>
      </c>
      <c r="B2212">
        <f ca="1">IF(OR(changes[[#This Row],[Type]]="Checklist",changes[[#This Row],[Type]]="checklist-flat"),1+IF(changes[[#This Row],[Type of change]] = "Edit",COUNTIFS($I$4:changes[[#This Row],[Name]],changes[[#This Row],[Name]], $E$4:changes[[#This Row],[Type of change]], "Edit")),B2211)</f>
        <v>1</v>
      </c>
      <c r="C2212" s="16">
        <v>44838</v>
      </c>
      <c r="D2212" s="1" t="s">
        <v>2809</v>
      </c>
      <c r="E2212" t="s">
        <v>27</v>
      </c>
      <c r="F2212" s="10" t="s">
        <v>9</v>
      </c>
      <c r="G2212" s="21" t="s">
        <v>2007</v>
      </c>
      <c r="H2212" s="19" t="s">
        <v>55</v>
      </c>
      <c r="I2212" s="21" t="s">
        <v>2013</v>
      </c>
      <c r="J2212" s="22"/>
      <c r="K2212" s="2" t="s">
        <v>6</v>
      </c>
      <c r="L2212" s="2" t="s">
        <v>2862</v>
      </c>
      <c r="M2212" s="2"/>
    </row>
    <row r="2213" spans="1:13" ht="15.75">
      <c r="A2213" t="s">
        <v>28</v>
      </c>
      <c r="B2213">
        <f ca="1">IF(OR(changes[[#This Row],[Type]]="Checklist",changes[[#This Row],[Type]]="checklist-flat"),1+IF(changes[[#This Row],[Type of change]] = "Edit",COUNTIFS($I$4:changes[[#This Row],[Name]],changes[[#This Row],[Name]], $E$4:changes[[#This Row],[Type of change]], "Edit")),B2212)</f>
        <v>1</v>
      </c>
      <c r="C2213" s="16">
        <v>44838</v>
      </c>
      <c r="D2213" s="1" t="s">
        <v>2809</v>
      </c>
      <c r="E2213" t="s">
        <v>27</v>
      </c>
      <c r="F2213" s="10" t="s">
        <v>9</v>
      </c>
      <c r="G2213" s="21" t="s">
        <v>2007</v>
      </c>
      <c r="H2213" s="19" t="s">
        <v>55</v>
      </c>
      <c r="I2213" s="21" t="s">
        <v>2014</v>
      </c>
      <c r="J2213" s="22"/>
      <c r="K2213" s="2" t="s">
        <v>6</v>
      </c>
      <c r="L2213" s="2" t="s">
        <v>2862</v>
      </c>
      <c r="M2213" s="2"/>
    </row>
    <row r="2214" spans="1:13" ht="15.75">
      <c r="A2214" t="s">
        <v>28</v>
      </c>
      <c r="B2214">
        <f ca="1">IF(OR(changes[[#This Row],[Type]]="Checklist",changes[[#This Row],[Type]]="checklist-flat"),1+IF(changes[[#This Row],[Type of change]] = "Edit",COUNTIFS($I$4:changes[[#This Row],[Name]],changes[[#This Row],[Name]], $E$4:changes[[#This Row],[Type of change]], "Edit")),B2213)</f>
        <v>1</v>
      </c>
      <c r="C2214" s="16">
        <v>44838</v>
      </c>
      <c r="D2214" s="1" t="s">
        <v>2809</v>
      </c>
      <c r="E2214" t="s">
        <v>27</v>
      </c>
      <c r="F2214" s="10" t="s">
        <v>9</v>
      </c>
      <c r="G2214" s="21" t="s">
        <v>2007</v>
      </c>
      <c r="H2214" s="19" t="s">
        <v>55</v>
      </c>
      <c r="I2214" s="21" t="s">
        <v>2015</v>
      </c>
      <c r="J2214" s="22"/>
      <c r="K2214" s="2" t="s">
        <v>6</v>
      </c>
      <c r="L2214" s="2" t="s">
        <v>2862</v>
      </c>
      <c r="M2214" s="2"/>
    </row>
    <row r="2215" spans="1:13">
      <c r="A2215" t="s">
        <v>28</v>
      </c>
      <c r="B2215">
        <f ca="1">IF(OR(changes[[#This Row],[Type]]="Checklist",changes[[#This Row],[Type]]="checklist-flat"),1+IF(changes[[#This Row],[Type of change]] = "Edit",COUNTIFS($I$4:changes[[#This Row],[Name]],changes[[#This Row],[Name]], $E$4:changes[[#This Row],[Type of change]], "Edit")),B2214)</f>
        <v>1</v>
      </c>
      <c r="C2215" s="16">
        <v>44838</v>
      </c>
      <c r="D2215" s="1" t="s">
        <v>2809</v>
      </c>
      <c r="E2215" t="s">
        <v>27</v>
      </c>
      <c r="F2215" t="s">
        <v>9</v>
      </c>
      <c r="G2215" t="s">
        <v>2007</v>
      </c>
      <c r="H2215" t="s">
        <v>479</v>
      </c>
      <c r="I2215" t="s">
        <v>2016</v>
      </c>
      <c r="K2215" s="2" t="s">
        <v>6</v>
      </c>
      <c r="L2215" s="2" t="s">
        <v>2862</v>
      </c>
      <c r="M2215" s="2"/>
    </row>
    <row r="2216" spans="1:13">
      <c r="A2216" t="s">
        <v>28</v>
      </c>
      <c r="B2216">
        <f ca="1">IF(OR(changes[[#This Row],[Type]]="Checklist",changes[[#This Row],[Type]]="checklist-flat"),1+IF(changes[[#This Row],[Type of change]] = "Edit",COUNTIFS($I$4:changes[[#This Row],[Name]],changes[[#This Row],[Name]], $E$4:changes[[#This Row],[Type of change]], "Edit")),B2215)</f>
        <v>1</v>
      </c>
      <c r="C2216" s="16">
        <v>44838</v>
      </c>
      <c r="D2216" s="1" t="s">
        <v>2809</v>
      </c>
      <c r="E2216" t="s">
        <v>27</v>
      </c>
      <c r="F2216" t="s">
        <v>9</v>
      </c>
      <c r="G2216" t="s">
        <v>2007</v>
      </c>
      <c r="H2216" t="s">
        <v>55</v>
      </c>
      <c r="I2216" t="s">
        <v>2017</v>
      </c>
      <c r="K2216" s="2" t="s">
        <v>6</v>
      </c>
      <c r="L2216" s="2" t="s">
        <v>2862</v>
      </c>
      <c r="M2216" s="2"/>
    </row>
    <row r="2217" spans="1:13">
      <c r="A2217" t="s">
        <v>28</v>
      </c>
      <c r="B2217">
        <f ca="1">IF(OR(changes[[#This Row],[Type]]="Checklist",changes[[#This Row],[Type]]="checklist-flat"),1+IF(changes[[#This Row],[Type of change]] = "Edit",COUNTIFS($I$4:changes[[#This Row],[Name]],changes[[#This Row],[Name]], $E$4:changes[[#This Row],[Type of change]], "Edit")),B2216)</f>
        <v>2</v>
      </c>
      <c r="C2217" s="16">
        <v>44841</v>
      </c>
      <c r="D2217" s="1" t="s">
        <v>2863</v>
      </c>
      <c r="E2217" t="s">
        <v>15</v>
      </c>
      <c r="F2217" t="s">
        <v>9</v>
      </c>
      <c r="G2217" t="s">
        <v>84</v>
      </c>
      <c r="H2217" t="s">
        <v>54</v>
      </c>
      <c r="I2217" t="s">
        <v>84</v>
      </c>
      <c r="K2217" s="2" t="s">
        <v>2864</v>
      </c>
      <c r="L2217" s="2" t="s">
        <v>2865</v>
      </c>
      <c r="M2217" s="2"/>
    </row>
    <row r="2218" spans="1:13">
      <c r="A2218" t="s">
        <v>28</v>
      </c>
      <c r="B2218">
        <f ca="1">IF(OR(changes[[#This Row],[Type]]="Checklist",changes[[#This Row],[Type]]="checklist-flat"),1+IF(changes[[#This Row],[Type of change]] = "Edit",COUNTIFS($I$4:changes[[#This Row],[Name]],changes[[#This Row],[Name]], $E$4:changes[[#This Row],[Type of change]], "Edit")),B2217)</f>
        <v>2</v>
      </c>
      <c r="C2218" s="16">
        <v>44841</v>
      </c>
      <c r="D2218" s="1" t="s">
        <v>2863</v>
      </c>
      <c r="E2218" t="s">
        <v>15</v>
      </c>
      <c r="F2218" t="s">
        <v>9</v>
      </c>
      <c r="G2218" t="s">
        <v>84</v>
      </c>
      <c r="H2218" t="s">
        <v>55</v>
      </c>
      <c r="I2218" t="s">
        <v>85</v>
      </c>
      <c r="K2218" s="2" t="s">
        <v>2864</v>
      </c>
      <c r="L2218" s="2" t="s">
        <v>2865</v>
      </c>
      <c r="M2218" s="2"/>
    </row>
    <row r="2219" spans="1:13">
      <c r="A2219" t="s">
        <v>28</v>
      </c>
      <c r="B2219">
        <f ca="1">IF(OR(changes[[#This Row],[Type]]="Checklist",changes[[#This Row],[Type]]="checklist-flat"),1+IF(changes[[#This Row],[Type of change]] = "Edit",COUNTIFS($I$4:changes[[#This Row],[Name]],changes[[#This Row],[Name]], $E$4:changes[[#This Row],[Type of change]], "Edit")),B2218)</f>
        <v>2</v>
      </c>
      <c r="C2219" s="16">
        <v>44841</v>
      </c>
      <c r="D2219" s="1" t="s">
        <v>2863</v>
      </c>
      <c r="E2219" t="s">
        <v>15</v>
      </c>
      <c r="F2219" t="s">
        <v>9</v>
      </c>
      <c r="G2219" t="s">
        <v>84</v>
      </c>
      <c r="H2219" t="s">
        <v>55</v>
      </c>
      <c r="I2219" t="s">
        <v>86</v>
      </c>
      <c r="K2219" s="2" t="s">
        <v>2864</v>
      </c>
      <c r="L2219" s="2" t="s">
        <v>2865</v>
      </c>
      <c r="M2219" s="2"/>
    </row>
    <row r="2220" spans="1:13">
      <c r="A2220" t="s">
        <v>28</v>
      </c>
      <c r="B2220">
        <f ca="1">IF(OR(changes[[#This Row],[Type]]="Checklist",changes[[#This Row],[Type]]="checklist-flat"),1+IF(changes[[#This Row],[Type of change]] = "Edit",COUNTIFS($I$4:changes[[#This Row],[Name]],changes[[#This Row],[Name]], $E$4:changes[[#This Row],[Type of change]], "Edit")),B2219)</f>
        <v>2</v>
      </c>
      <c r="C2220" s="16">
        <v>44841</v>
      </c>
      <c r="D2220" s="1" t="s">
        <v>2863</v>
      </c>
      <c r="E2220" t="s">
        <v>15</v>
      </c>
      <c r="F2220" t="s">
        <v>9</v>
      </c>
      <c r="G2220" t="s">
        <v>84</v>
      </c>
      <c r="H2220" t="s">
        <v>55</v>
      </c>
      <c r="I2220" t="s">
        <v>87</v>
      </c>
      <c r="K2220" s="2" t="s">
        <v>2864</v>
      </c>
      <c r="L2220" s="2" t="s">
        <v>2865</v>
      </c>
      <c r="M2220" s="2"/>
    </row>
    <row r="2221" spans="1:13">
      <c r="A2221" t="s">
        <v>28</v>
      </c>
      <c r="B2221">
        <f ca="1">IF(OR(changes[[#This Row],[Type]]="Checklist",changes[[#This Row],[Type]]="checklist-flat"),1+IF(changes[[#This Row],[Type of change]] = "Edit",COUNTIFS($I$4:changes[[#This Row],[Name]],changes[[#This Row],[Name]], $E$4:changes[[#This Row],[Type of change]], "Edit")),B2220)</f>
        <v>2</v>
      </c>
      <c r="C2221" s="16">
        <v>44841</v>
      </c>
      <c r="D2221" s="1" t="s">
        <v>2863</v>
      </c>
      <c r="E2221" t="s">
        <v>15</v>
      </c>
      <c r="F2221" t="s">
        <v>9</v>
      </c>
      <c r="G2221" t="s">
        <v>84</v>
      </c>
      <c r="H2221" t="s">
        <v>55</v>
      </c>
      <c r="I2221" t="s">
        <v>88</v>
      </c>
      <c r="K2221" s="2" t="s">
        <v>2864</v>
      </c>
      <c r="L2221" s="2" t="s">
        <v>2865</v>
      </c>
      <c r="M2221" s="2"/>
    </row>
    <row r="2222" spans="1:13">
      <c r="A2222" t="s">
        <v>28</v>
      </c>
      <c r="B2222">
        <f ca="1">IF(OR(changes[[#This Row],[Type]]="Checklist",changes[[#This Row],[Type]]="checklist-flat"),1+IF(changes[[#This Row],[Type of change]] = "Edit",COUNTIFS($I$4:changes[[#This Row],[Name]],changes[[#This Row],[Name]], $E$4:changes[[#This Row],[Type of change]], "Edit")),B2221)</f>
        <v>2</v>
      </c>
      <c r="C2222" s="16">
        <v>44841</v>
      </c>
      <c r="D2222" s="1" t="s">
        <v>2863</v>
      </c>
      <c r="E2222" t="s">
        <v>15</v>
      </c>
      <c r="F2222" t="s">
        <v>9</v>
      </c>
      <c r="G2222" t="s">
        <v>84</v>
      </c>
      <c r="H2222" t="s">
        <v>55</v>
      </c>
      <c r="I2222" t="s">
        <v>89</v>
      </c>
      <c r="K2222" s="2" t="s">
        <v>2864</v>
      </c>
      <c r="L2222" s="2" t="s">
        <v>2865</v>
      </c>
      <c r="M2222" s="2"/>
    </row>
    <row r="2223" spans="1:13">
      <c r="A2223" t="s">
        <v>28</v>
      </c>
      <c r="B2223">
        <f ca="1">IF(OR(changes[[#This Row],[Type]]="Checklist",changes[[#This Row],[Type]]="checklist-flat"),1+IF(changes[[#This Row],[Type of change]] = "Edit",COUNTIFS($I$4:changes[[#This Row],[Name]],changes[[#This Row],[Name]], $E$4:changes[[#This Row],[Type of change]], "Edit")),B2222)</f>
        <v>2</v>
      </c>
      <c r="C2223" s="16">
        <v>44841</v>
      </c>
      <c r="D2223" s="1" t="s">
        <v>2863</v>
      </c>
      <c r="E2223" t="s">
        <v>15</v>
      </c>
      <c r="F2223" t="s">
        <v>9</v>
      </c>
      <c r="G2223" t="s">
        <v>84</v>
      </c>
      <c r="H2223" t="s">
        <v>55</v>
      </c>
      <c r="I2223" t="s">
        <v>90</v>
      </c>
      <c r="K2223" s="2" t="s">
        <v>2864</v>
      </c>
      <c r="L2223" s="2" t="s">
        <v>2865</v>
      </c>
      <c r="M2223" s="2"/>
    </row>
    <row r="2224" spans="1:13">
      <c r="A2224" t="s">
        <v>28</v>
      </c>
      <c r="B2224">
        <f ca="1">IF(OR(changes[[#This Row],[Type]]="Checklist",changes[[#This Row],[Type]]="checklist-flat"),1+IF(changes[[#This Row],[Type of change]] = "Edit",COUNTIFS($I$4:changes[[#This Row],[Name]],changes[[#This Row],[Name]], $E$4:changes[[#This Row],[Type of change]], "Edit")),B2223)</f>
        <v>2</v>
      </c>
      <c r="C2224" s="16">
        <v>44841</v>
      </c>
      <c r="D2224" s="1" t="s">
        <v>2863</v>
      </c>
      <c r="E2224" t="s">
        <v>15</v>
      </c>
      <c r="F2224" t="s">
        <v>9</v>
      </c>
      <c r="G2224" t="s">
        <v>84</v>
      </c>
      <c r="H2224" t="s">
        <v>55</v>
      </c>
      <c r="I2224" t="s">
        <v>91</v>
      </c>
      <c r="K2224" s="2" t="s">
        <v>2864</v>
      </c>
      <c r="L2224" s="2" t="s">
        <v>2865</v>
      </c>
      <c r="M2224" s="2"/>
    </row>
    <row r="2225" spans="1:13">
      <c r="A2225" t="s">
        <v>28</v>
      </c>
      <c r="B2225">
        <f ca="1">IF(OR(changes[[#This Row],[Type]]="Checklist",changes[[#This Row],[Type]]="checklist-flat"),1+IF(changes[[#This Row],[Type of change]] = "Edit",COUNTIFS($I$4:changes[[#This Row],[Name]],changes[[#This Row],[Name]], $E$4:changes[[#This Row],[Type of change]], "Edit")),B2224)</f>
        <v>2</v>
      </c>
      <c r="C2225" s="16">
        <v>44841</v>
      </c>
      <c r="D2225" s="1" t="s">
        <v>2863</v>
      </c>
      <c r="E2225" t="s">
        <v>15</v>
      </c>
      <c r="F2225" t="s">
        <v>9</v>
      </c>
      <c r="G2225" t="s">
        <v>84</v>
      </c>
      <c r="H2225" t="s">
        <v>55</v>
      </c>
      <c r="I2225" t="s">
        <v>92</v>
      </c>
      <c r="K2225" s="2" t="s">
        <v>2864</v>
      </c>
      <c r="L2225" s="2" t="s">
        <v>2865</v>
      </c>
      <c r="M2225" s="2"/>
    </row>
    <row r="2226" spans="1:13">
      <c r="A2226" t="s">
        <v>28</v>
      </c>
      <c r="B2226">
        <f ca="1">IF(OR(changes[[#This Row],[Type]]="Checklist",changes[[#This Row],[Type]]="checklist-flat"),1+IF(changes[[#This Row],[Type of change]] = "Edit",COUNTIFS($I$4:changes[[#This Row],[Name]],changes[[#This Row],[Name]], $E$4:changes[[#This Row],[Type of change]], "Edit")),B2225)</f>
        <v>2</v>
      </c>
      <c r="C2226" s="16">
        <v>44841</v>
      </c>
      <c r="D2226" s="1" t="s">
        <v>2863</v>
      </c>
      <c r="E2226" t="s">
        <v>15</v>
      </c>
      <c r="F2226" t="s">
        <v>9</v>
      </c>
      <c r="G2226" t="s">
        <v>84</v>
      </c>
      <c r="H2226" t="s">
        <v>55</v>
      </c>
      <c r="I2226" t="s">
        <v>66</v>
      </c>
      <c r="K2226" s="2" t="s">
        <v>2864</v>
      </c>
      <c r="L2226" s="2" t="s">
        <v>2865</v>
      </c>
      <c r="M2226" s="2"/>
    </row>
    <row r="2227" spans="1:13">
      <c r="A2227" t="s">
        <v>28</v>
      </c>
      <c r="B2227">
        <f ca="1">IF(OR(changes[[#This Row],[Type]]="Checklist",changes[[#This Row],[Type]]="checklist-flat"),1+IF(changes[[#This Row],[Type of change]] = "Edit",COUNTIFS($I$4:changes[[#This Row],[Name]],changes[[#This Row],[Name]], $E$4:changes[[#This Row],[Type of change]], "Edit")),B2226)</f>
        <v>2</v>
      </c>
      <c r="C2227" s="16">
        <v>44841</v>
      </c>
      <c r="D2227" s="1" t="s">
        <v>2863</v>
      </c>
      <c r="E2227" t="s">
        <v>15</v>
      </c>
      <c r="F2227" t="s">
        <v>9</v>
      </c>
      <c r="G2227" t="s">
        <v>84</v>
      </c>
      <c r="H2227" t="s">
        <v>55</v>
      </c>
      <c r="I2227" t="s">
        <v>93</v>
      </c>
      <c r="K2227" s="2" t="s">
        <v>2864</v>
      </c>
      <c r="L2227" s="2" t="s">
        <v>2865</v>
      </c>
      <c r="M2227" s="2"/>
    </row>
    <row r="2228" spans="1:13">
      <c r="A2228" t="s">
        <v>28</v>
      </c>
      <c r="B2228">
        <f ca="1">IF(OR(changes[[#This Row],[Type]]="Checklist",changes[[#This Row],[Type]]="checklist-flat"),1+IF(changes[[#This Row],[Type of change]] = "Edit",COUNTIFS($I$4:changes[[#This Row],[Name]],changes[[#This Row],[Name]], $E$4:changes[[#This Row],[Type of change]], "Edit")),B2227)</f>
        <v>2</v>
      </c>
      <c r="C2228" s="16">
        <v>44841</v>
      </c>
      <c r="D2228" s="1" t="s">
        <v>2863</v>
      </c>
      <c r="E2228" t="s">
        <v>15</v>
      </c>
      <c r="F2228" t="s">
        <v>9</v>
      </c>
      <c r="G2228" t="s">
        <v>84</v>
      </c>
      <c r="H2228" t="s">
        <v>64</v>
      </c>
      <c r="I2228" t="s">
        <v>94</v>
      </c>
      <c r="K2228" s="2" t="s">
        <v>2864</v>
      </c>
      <c r="L2228" s="2" t="s">
        <v>2865</v>
      </c>
      <c r="M2228" s="2"/>
    </row>
    <row r="2229" spans="1:13">
      <c r="A2229" t="s">
        <v>28</v>
      </c>
      <c r="B2229">
        <f ca="1">IF(OR(changes[[#This Row],[Type]]="Checklist",changes[[#This Row],[Type]]="checklist-flat"),1+IF(changes[[#This Row],[Type of change]] = "Edit",COUNTIFS($I$4:changes[[#This Row],[Name]],changes[[#This Row],[Name]], $E$4:changes[[#This Row],[Type of change]], "Edit")),B2228)</f>
        <v>3</v>
      </c>
      <c r="C2229" s="16">
        <v>44841</v>
      </c>
      <c r="D2229" s="1" t="s">
        <v>2863</v>
      </c>
      <c r="E2229" t="s">
        <v>15</v>
      </c>
      <c r="F2229" t="s">
        <v>9</v>
      </c>
      <c r="G2229" t="s">
        <v>2866</v>
      </c>
      <c r="H2229" t="s">
        <v>54</v>
      </c>
      <c r="I2229" t="s">
        <v>106</v>
      </c>
      <c r="K2229" s="2" t="s">
        <v>2864</v>
      </c>
      <c r="L2229" s="2" t="s">
        <v>2865</v>
      </c>
      <c r="M2229" s="2"/>
    </row>
    <row r="2230" spans="1:13">
      <c r="A2230" t="s">
        <v>28</v>
      </c>
      <c r="B2230">
        <f ca="1">IF(OR(changes[[#This Row],[Type]]="Checklist",changes[[#This Row],[Type]]="checklist-flat"),1+IF(changes[[#This Row],[Type of change]] = "Edit",COUNTIFS($I$4:changes[[#This Row],[Name]],changes[[#This Row],[Name]], $E$4:changes[[#This Row],[Type of change]], "Edit")),B2229)</f>
        <v>3</v>
      </c>
      <c r="C2230" s="16">
        <v>44841</v>
      </c>
      <c r="D2230" s="1" t="s">
        <v>2863</v>
      </c>
      <c r="E2230" t="s">
        <v>15</v>
      </c>
      <c r="F2230" t="s">
        <v>9</v>
      </c>
      <c r="G2230" t="s">
        <v>2866</v>
      </c>
      <c r="H2230" t="s">
        <v>55</v>
      </c>
      <c r="I2230" t="s">
        <v>107</v>
      </c>
      <c r="K2230" s="2" t="s">
        <v>2864</v>
      </c>
      <c r="L2230" s="2" t="s">
        <v>2865</v>
      </c>
      <c r="M2230" s="2"/>
    </row>
    <row r="2231" spans="1:13">
      <c r="A2231" t="s">
        <v>28</v>
      </c>
      <c r="B2231">
        <f ca="1">IF(OR(changes[[#This Row],[Type]]="Checklist",changes[[#This Row],[Type]]="checklist-flat"),1+IF(changes[[#This Row],[Type of change]] = "Edit",COUNTIFS($I$4:changes[[#This Row],[Name]],changes[[#This Row],[Name]], $E$4:changes[[#This Row],[Type of change]], "Edit")),B2230)</f>
        <v>3</v>
      </c>
      <c r="C2231" s="16">
        <v>44841</v>
      </c>
      <c r="D2231" s="1" t="s">
        <v>2863</v>
      </c>
      <c r="E2231" t="s">
        <v>15</v>
      </c>
      <c r="F2231" t="s">
        <v>9</v>
      </c>
      <c r="G2231" t="s">
        <v>2866</v>
      </c>
      <c r="H2231" t="s">
        <v>55</v>
      </c>
      <c r="I2231" t="s">
        <v>108</v>
      </c>
      <c r="K2231" s="2" t="s">
        <v>2864</v>
      </c>
      <c r="L2231" s="2" t="s">
        <v>2865</v>
      </c>
      <c r="M2231" s="2"/>
    </row>
    <row r="2232" spans="1:13">
      <c r="A2232" t="s">
        <v>28</v>
      </c>
      <c r="B2232">
        <f ca="1">IF(OR(changes[[#This Row],[Type]]="Checklist",changes[[#This Row],[Type]]="checklist-flat"),1+IF(changes[[#This Row],[Type of change]] = "Edit",COUNTIFS($I$4:changes[[#This Row],[Name]],changes[[#This Row],[Name]], $E$4:changes[[#This Row],[Type of change]], "Edit")),B2231)</f>
        <v>3</v>
      </c>
      <c r="C2232" s="16">
        <v>44841</v>
      </c>
      <c r="D2232" s="1" t="s">
        <v>2863</v>
      </c>
      <c r="E2232" t="s">
        <v>15</v>
      </c>
      <c r="F2232" t="s">
        <v>9</v>
      </c>
      <c r="G2232" t="s">
        <v>2866</v>
      </c>
      <c r="H2232" t="s">
        <v>55</v>
      </c>
      <c r="I2232" t="s">
        <v>2190</v>
      </c>
      <c r="K2232" s="2" t="s">
        <v>2864</v>
      </c>
      <c r="L2232" s="2" t="s">
        <v>2865</v>
      </c>
      <c r="M2232" s="2"/>
    </row>
    <row r="2233" spans="1:13">
      <c r="A2233" t="s">
        <v>28</v>
      </c>
      <c r="B2233">
        <f ca="1">IF(OR(changes[[#This Row],[Type]]="Checklist",changes[[#This Row],[Type]]="checklist-flat"),1+IF(changes[[#This Row],[Type of change]] = "Edit",COUNTIFS($I$4:changes[[#This Row],[Name]],changes[[#This Row],[Name]], $E$4:changes[[#This Row],[Type of change]], "Edit")),B2232)</f>
        <v>3</v>
      </c>
      <c r="C2233" s="16">
        <v>44841</v>
      </c>
      <c r="D2233" s="1" t="s">
        <v>2863</v>
      </c>
      <c r="E2233" t="s">
        <v>15</v>
      </c>
      <c r="F2233" t="s">
        <v>9</v>
      </c>
      <c r="G2233" t="s">
        <v>2866</v>
      </c>
      <c r="H2233" t="s">
        <v>55</v>
      </c>
      <c r="I2233" t="s">
        <v>110</v>
      </c>
      <c r="K2233" s="2" t="s">
        <v>2864</v>
      </c>
      <c r="L2233" s="2" t="s">
        <v>2865</v>
      </c>
      <c r="M2233" s="2"/>
    </row>
    <row r="2234" spans="1:13">
      <c r="A2234" t="s">
        <v>28</v>
      </c>
      <c r="B2234">
        <f ca="1">IF(OR(changes[[#This Row],[Type]]="Checklist",changes[[#This Row],[Type]]="checklist-flat"),1+IF(changes[[#This Row],[Type of change]] = "Edit",COUNTIFS($I$4:changes[[#This Row],[Name]],changes[[#This Row],[Name]], $E$4:changes[[#This Row],[Type of change]], "Edit")),B2233)</f>
        <v>3</v>
      </c>
      <c r="C2234" s="16">
        <v>44841</v>
      </c>
      <c r="D2234" s="1" t="s">
        <v>2863</v>
      </c>
      <c r="E2234" t="s">
        <v>15</v>
      </c>
      <c r="F2234" t="s">
        <v>9</v>
      </c>
      <c r="G2234" t="s">
        <v>2866</v>
      </c>
      <c r="H2234" t="s">
        <v>55</v>
      </c>
      <c r="I2234" t="s">
        <v>111</v>
      </c>
      <c r="K2234" s="2" t="s">
        <v>2864</v>
      </c>
      <c r="L2234" s="2" t="s">
        <v>2865</v>
      </c>
      <c r="M2234" s="2"/>
    </row>
    <row r="2235" spans="1:13">
      <c r="A2235" t="s">
        <v>28</v>
      </c>
      <c r="B2235">
        <f ca="1">IF(OR(changes[[#This Row],[Type]]="Checklist",changes[[#This Row],[Type]]="checklist-flat"),1+IF(changes[[#This Row],[Type of change]] = "Edit",COUNTIFS($I$4:changes[[#This Row],[Name]],changes[[#This Row],[Name]], $E$4:changes[[#This Row],[Type of change]], "Edit")),B2234)</f>
        <v>3</v>
      </c>
      <c r="C2235" s="16">
        <v>44841</v>
      </c>
      <c r="D2235" s="1" t="s">
        <v>2863</v>
      </c>
      <c r="E2235" t="s">
        <v>15</v>
      </c>
      <c r="F2235" t="s">
        <v>9</v>
      </c>
      <c r="G2235" t="s">
        <v>2866</v>
      </c>
      <c r="H2235" t="s">
        <v>99</v>
      </c>
      <c r="I2235" t="s">
        <v>112</v>
      </c>
      <c r="K2235" s="2" t="s">
        <v>2864</v>
      </c>
      <c r="L2235" s="2" t="s">
        <v>2865</v>
      </c>
      <c r="M2235" s="2"/>
    </row>
    <row r="2236" spans="1:13">
      <c r="A2236" t="s">
        <v>28</v>
      </c>
      <c r="B2236">
        <f ca="1">IF(OR(changes[[#This Row],[Type]]="Checklist",changes[[#This Row],[Type]]="checklist-flat"),1+IF(changes[[#This Row],[Type of change]] = "Edit",COUNTIFS($I$4:changes[[#This Row],[Name]],changes[[#This Row],[Name]], $E$4:changes[[#This Row],[Type of change]], "Edit")),B2235)</f>
        <v>3</v>
      </c>
      <c r="C2236" s="16">
        <v>44841</v>
      </c>
      <c r="D2236" s="1" t="s">
        <v>2863</v>
      </c>
      <c r="E2236" t="s">
        <v>15</v>
      </c>
      <c r="F2236" t="s">
        <v>9</v>
      </c>
      <c r="G2236" t="s">
        <v>2866</v>
      </c>
      <c r="H2236" t="s">
        <v>99</v>
      </c>
      <c r="I2236" t="s">
        <v>113</v>
      </c>
      <c r="K2236" s="2" t="s">
        <v>2864</v>
      </c>
      <c r="L2236" s="2" t="s">
        <v>2865</v>
      </c>
      <c r="M2236" s="2"/>
    </row>
    <row r="2237" spans="1:13">
      <c r="A2237" t="s">
        <v>28</v>
      </c>
      <c r="B2237">
        <f ca="1">IF(OR(changes[[#This Row],[Type]]="Checklist",changes[[#This Row],[Type]]="checklist-flat"),1+IF(changes[[#This Row],[Type of change]] = "Edit",COUNTIFS($I$4:changes[[#This Row],[Name]],changes[[#This Row],[Name]], $E$4:changes[[#This Row],[Type of change]], "Edit")),B2236)</f>
        <v>3</v>
      </c>
      <c r="C2237" s="16">
        <v>44841</v>
      </c>
      <c r="D2237" s="1" t="s">
        <v>2863</v>
      </c>
      <c r="E2237" t="s">
        <v>15</v>
      </c>
      <c r="F2237" t="s">
        <v>9</v>
      </c>
      <c r="G2237" t="s">
        <v>2866</v>
      </c>
      <c r="H2237" t="s">
        <v>99</v>
      </c>
      <c r="I2237" t="s">
        <v>114</v>
      </c>
      <c r="K2237" s="2" t="s">
        <v>2864</v>
      </c>
      <c r="L2237" s="2" t="s">
        <v>2865</v>
      </c>
      <c r="M2237" s="2"/>
    </row>
    <row r="2238" spans="1:13">
      <c r="A2238" t="s">
        <v>28</v>
      </c>
      <c r="B2238">
        <f ca="1">IF(OR(changes[[#This Row],[Type]]="Checklist",changes[[#This Row],[Type]]="checklist-flat"),1+IF(changes[[#This Row],[Type of change]] = "Edit",COUNTIFS($I$4:changes[[#This Row],[Name]],changes[[#This Row],[Name]], $E$4:changes[[#This Row],[Type of change]], "Edit")),B2237)</f>
        <v>3</v>
      </c>
      <c r="C2238" s="16">
        <v>44841</v>
      </c>
      <c r="D2238" s="1" t="s">
        <v>2863</v>
      </c>
      <c r="E2238" t="s">
        <v>15</v>
      </c>
      <c r="F2238" t="s">
        <v>9</v>
      </c>
      <c r="G2238" t="s">
        <v>2866</v>
      </c>
      <c r="H2238" t="s">
        <v>55</v>
      </c>
      <c r="I2238" t="s">
        <v>115</v>
      </c>
      <c r="K2238" s="2" t="s">
        <v>2864</v>
      </c>
      <c r="L2238" s="2" t="s">
        <v>2865</v>
      </c>
      <c r="M2238" s="2"/>
    </row>
    <row r="2239" spans="1:13">
      <c r="A2239" t="s">
        <v>28</v>
      </c>
      <c r="B2239">
        <f ca="1">IF(OR(changes[[#This Row],[Type]]="Checklist",changes[[#This Row],[Type]]="checklist-flat"),1+IF(changes[[#This Row],[Type of change]] = "Edit",COUNTIFS($I$4:changes[[#This Row],[Name]],changes[[#This Row],[Name]], $E$4:changes[[#This Row],[Type of change]], "Edit")),B2238)</f>
        <v>3</v>
      </c>
      <c r="C2239" s="16">
        <v>44841</v>
      </c>
      <c r="D2239" s="1" t="s">
        <v>2863</v>
      </c>
      <c r="E2239" t="s">
        <v>15</v>
      </c>
      <c r="F2239" t="s">
        <v>9</v>
      </c>
      <c r="G2239" t="s">
        <v>2866</v>
      </c>
      <c r="H2239" t="s">
        <v>55</v>
      </c>
      <c r="I2239" t="s">
        <v>116</v>
      </c>
      <c r="K2239" s="2" t="s">
        <v>2864</v>
      </c>
      <c r="L2239" s="2" t="s">
        <v>2865</v>
      </c>
      <c r="M2239" s="2"/>
    </row>
    <row r="2240" spans="1:13">
      <c r="A2240" t="s">
        <v>28</v>
      </c>
      <c r="B2240">
        <f ca="1">IF(OR(changes[[#This Row],[Type]]="Checklist",changes[[#This Row],[Type]]="checklist-flat"),1+IF(changes[[#This Row],[Type of change]] = "Edit",COUNTIFS($I$4:changes[[#This Row],[Name]],changes[[#This Row],[Name]], $E$4:changes[[#This Row],[Type of change]], "Edit")),B2239)</f>
        <v>3</v>
      </c>
      <c r="C2240" s="16">
        <v>44841</v>
      </c>
      <c r="D2240" s="1" t="s">
        <v>2863</v>
      </c>
      <c r="E2240" t="s">
        <v>15</v>
      </c>
      <c r="F2240" t="s">
        <v>9</v>
      </c>
      <c r="G2240" t="s">
        <v>2866</v>
      </c>
      <c r="H2240" t="s">
        <v>55</v>
      </c>
      <c r="I2240" t="s">
        <v>117</v>
      </c>
      <c r="K2240" s="2" t="s">
        <v>2864</v>
      </c>
      <c r="L2240" s="2" t="s">
        <v>2865</v>
      </c>
      <c r="M2240" s="2"/>
    </row>
    <row r="2241" spans="1:13">
      <c r="A2241" t="s">
        <v>28</v>
      </c>
      <c r="B2241">
        <f ca="1">IF(OR(changes[[#This Row],[Type]]="Checklist",changes[[#This Row],[Type]]="checklist-flat"),1+IF(changes[[#This Row],[Type of change]] = "Edit",COUNTIFS($I$4:changes[[#This Row],[Name]],changes[[#This Row],[Name]], $E$4:changes[[#This Row],[Type of change]], "Edit")),B2240)</f>
        <v>3</v>
      </c>
      <c r="C2241" s="16">
        <v>44841</v>
      </c>
      <c r="D2241" s="1" t="s">
        <v>2863</v>
      </c>
      <c r="E2241" t="s">
        <v>15</v>
      </c>
      <c r="F2241" t="s">
        <v>9</v>
      </c>
      <c r="G2241" t="s">
        <v>2866</v>
      </c>
      <c r="H2241" t="s">
        <v>55</v>
      </c>
      <c r="I2241" t="s">
        <v>118</v>
      </c>
      <c r="K2241" s="2" t="s">
        <v>2864</v>
      </c>
      <c r="L2241" s="2" t="s">
        <v>2865</v>
      </c>
      <c r="M2241" s="2"/>
    </row>
    <row r="2242" spans="1:13">
      <c r="A2242" t="s">
        <v>28</v>
      </c>
      <c r="B2242">
        <f ca="1">IF(OR(changes[[#This Row],[Type]]="Checklist",changes[[#This Row],[Type]]="checklist-flat"),1+IF(changes[[#This Row],[Type of change]] = "Edit",COUNTIFS($I$4:changes[[#This Row],[Name]],changes[[#This Row],[Name]], $E$4:changes[[#This Row],[Type of change]], "Edit")),B2241)</f>
        <v>3</v>
      </c>
      <c r="C2242" s="16">
        <v>44841</v>
      </c>
      <c r="D2242" s="1" t="s">
        <v>2863</v>
      </c>
      <c r="E2242" t="s">
        <v>15</v>
      </c>
      <c r="F2242" t="s">
        <v>9</v>
      </c>
      <c r="G2242" t="s">
        <v>2866</v>
      </c>
      <c r="H2242" t="s">
        <v>55</v>
      </c>
      <c r="I2242" t="s">
        <v>119</v>
      </c>
      <c r="K2242" s="2" t="s">
        <v>2864</v>
      </c>
      <c r="L2242" s="2" t="s">
        <v>2865</v>
      </c>
      <c r="M2242" s="2"/>
    </row>
    <row r="2243" spans="1:13">
      <c r="A2243" t="s">
        <v>28</v>
      </c>
      <c r="B2243">
        <f ca="1">IF(OR(changes[[#This Row],[Type]]="Checklist",changes[[#This Row],[Type]]="checklist-flat"),1+IF(changes[[#This Row],[Type of change]] = "Edit",COUNTIFS($I$4:changes[[#This Row],[Name]],changes[[#This Row],[Name]], $E$4:changes[[#This Row],[Type of change]], "Edit")),B2242)</f>
        <v>3</v>
      </c>
      <c r="C2243" s="16">
        <v>44841</v>
      </c>
      <c r="D2243" s="1" t="s">
        <v>2863</v>
      </c>
      <c r="E2243" t="s">
        <v>15</v>
      </c>
      <c r="F2243" t="s">
        <v>9</v>
      </c>
      <c r="G2243" t="s">
        <v>2866</v>
      </c>
      <c r="H2243" t="s">
        <v>55</v>
      </c>
      <c r="I2243" t="s">
        <v>120</v>
      </c>
      <c r="K2243" s="2" t="s">
        <v>2864</v>
      </c>
      <c r="L2243" s="2" t="s">
        <v>2865</v>
      </c>
      <c r="M2243" s="2"/>
    </row>
    <row r="2244" spans="1:13">
      <c r="A2244" t="s">
        <v>28</v>
      </c>
      <c r="B2244">
        <f ca="1">IF(OR(changes[[#This Row],[Type]]="Checklist",changes[[#This Row],[Type]]="checklist-flat"),1+IF(changes[[#This Row],[Type of change]] = "Edit",COUNTIFS($I$4:changes[[#This Row],[Name]],changes[[#This Row],[Name]], $E$4:changes[[#This Row],[Type of change]], "Edit")),B2243)</f>
        <v>3</v>
      </c>
      <c r="C2244" s="16">
        <v>44841</v>
      </c>
      <c r="D2244" s="1" t="s">
        <v>2863</v>
      </c>
      <c r="E2244" t="s">
        <v>15</v>
      </c>
      <c r="F2244" t="s">
        <v>9</v>
      </c>
      <c r="G2244" t="s">
        <v>2866</v>
      </c>
      <c r="H2244" t="s">
        <v>64</v>
      </c>
      <c r="I2244" t="s">
        <v>122</v>
      </c>
      <c r="K2244" s="2" t="s">
        <v>2864</v>
      </c>
      <c r="L2244" s="2" t="s">
        <v>2865</v>
      </c>
      <c r="M2244" s="2"/>
    </row>
    <row r="2245" spans="1:13">
      <c r="A2245" t="s">
        <v>28</v>
      </c>
      <c r="B2245">
        <f ca="1">IF(OR(changes[[#This Row],[Type]]="Checklist",changes[[#This Row],[Type]]="checklist-flat"),1+IF(changes[[#This Row],[Type of change]] = "Edit",COUNTIFS($I$4:changes[[#This Row],[Name]],changes[[#This Row],[Name]], $E$4:changes[[#This Row],[Type of change]], "Edit")),B2244)</f>
        <v>3</v>
      </c>
      <c r="C2245" s="16">
        <v>44841</v>
      </c>
      <c r="D2245" s="1" t="s">
        <v>2863</v>
      </c>
      <c r="E2245" t="s">
        <v>15</v>
      </c>
      <c r="F2245" t="s">
        <v>9</v>
      </c>
      <c r="G2245" t="s">
        <v>2866</v>
      </c>
      <c r="H2245" t="s">
        <v>55</v>
      </c>
      <c r="I2245" t="s">
        <v>123</v>
      </c>
      <c r="K2245" s="2" t="s">
        <v>2864</v>
      </c>
      <c r="L2245" s="2" t="s">
        <v>2865</v>
      </c>
      <c r="M2245" s="2"/>
    </row>
    <row r="2246" spans="1:13">
      <c r="A2246" t="s">
        <v>28</v>
      </c>
      <c r="B2246">
        <f ca="1">IF(OR(changes[[#This Row],[Type]]="Checklist",changes[[#This Row],[Type]]="checklist-flat"),1+IF(changes[[#This Row],[Type of change]] = "Edit",COUNTIFS($I$4:changes[[#This Row],[Name]],changes[[#This Row],[Name]], $E$4:changes[[#This Row],[Type of change]], "Edit")),B2245)</f>
        <v>3</v>
      </c>
      <c r="C2246" s="16">
        <v>44841</v>
      </c>
      <c r="D2246" s="1" t="s">
        <v>2863</v>
      </c>
      <c r="E2246" t="s">
        <v>15</v>
      </c>
      <c r="F2246" t="s">
        <v>9</v>
      </c>
      <c r="G2246" t="s">
        <v>2866</v>
      </c>
      <c r="H2246" t="s">
        <v>55</v>
      </c>
      <c r="I2246" t="s">
        <v>124</v>
      </c>
      <c r="K2246" s="2" t="s">
        <v>2864</v>
      </c>
      <c r="L2246" s="2" t="s">
        <v>2865</v>
      </c>
      <c r="M2246" s="2"/>
    </row>
    <row r="2247" spans="1:13">
      <c r="A2247" t="s">
        <v>28</v>
      </c>
      <c r="B2247">
        <f ca="1">IF(OR(changes[[#This Row],[Type]]="Checklist",changes[[#This Row],[Type]]="checklist-flat"),1+IF(changes[[#This Row],[Type of change]] = "Edit",COUNTIFS($I$4:changes[[#This Row],[Name]],changes[[#This Row],[Name]], $E$4:changes[[#This Row],[Type of change]], "Edit")),B2246)</f>
        <v>3</v>
      </c>
      <c r="C2247" s="16">
        <v>44841</v>
      </c>
      <c r="D2247" s="1" t="s">
        <v>2863</v>
      </c>
      <c r="E2247" t="s">
        <v>15</v>
      </c>
      <c r="F2247" t="s">
        <v>9</v>
      </c>
      <c r="G2247" t="s">
        <v>2866</v>
      </c>
      <c r="H2247" t="s">
        <v>55</v>
      </c>
      <c r="I2247" t="s">
        <v>125</v>
      </c>
      <c r="K2247" s="2" t="s">
        <v>2864</v>
      </c>
      <c r="L2247" s="2" t="s">
        <v>2865</v>
      </c>
      <c r="M2247" s="2"/>
    </row>
    <row r="2248" spans="1:13">
      <c r="A2248" t="s">
        <v>28</v>
      </c>
      <c r="B2248">
        <f ca="1">IF(OR(changes[[#This Row],[Type]]="Checklist",changes[[#This Row],[Type]]="checklist-flat"),1+IF(changes[[#This Row],[Type of change]] = "Edit",COUNTIFS($I$4:changes[[#This Row],[Name]],changes[[#This Row],[Name]], $E$4:changes[[#This Row],[Type of change]], "Edit")),B2247)</f>
        <v>3</v>
      </c>
      <c r="C2248" s="16">
        <v>44841</v>
      </c>
      <c r="D2248" s="1" t="s">
        <v>2863</v>
      </c>
      <c r="E2248" t="s">
        <v>15</v>
      </c>
      <c r="F2248" t="s">
        <v>9</v>
      </c>
      <c r="G2248" t="s">
        <v>2866</v>
      </c>
      <c r="H2248" t="s">
        <v>55</v>
      </c>
      <c r="I2248" t="s">
        <v>93</v>
      </c>
      <c r="K2248" s="2" t="s">
        <v>2864</v>
      </c>
      <c r="L2248" s="2" t="s">
        <v>2865</v>
      </c>
      <c r="M2248" s="2"/>
    </row>
    <row r="2249" spans="1:13">
      <c r="A2249" t="s">
        <v>28</v>
      </c>
      <c r="B2249">
        <f ca="1">IF(OR(changes[[#This Row],[Type]]="Checklist",changes[[#This Row],[Type]]="checklist-flat"),1+IF(changes[[#This Row],[Type of change]] = "Edit",COUNTIFS($I$4:changes[[#This Row],[Name]],changes[[#This Row],[Name]], $E$4:changes[[#This Row],[Type of change]], "Edit")),B2248)</f>
        <v>3</v>
      </c>
      <c r="C2249" s="16">
        <v>44841</v>
      </c>
      <c r="D2249" s="1" t="s">
        <v>2863</v>
      </c>
      <c r="E2249" t="s">
        <v>15</v>
      </c>
      <c r="F2249" t="s">
        <v>9</v>
      </c>
      <c r="G2249" t="s">
        <v>2866</v>
      </c>
      <c r="H2249" t="s">
        <v>64</v>
      </c>
      <c r="I2249" t="s">
        <v>94</v>
      </c>
      <c r="K2249" s="2" t="s">
        <v>2864</v>
      </c>
      <c r="L2249" s="2" t="s">
        <v>2865</v>
      </c>
      <c r="M2249" s="2"/>
    </row>
    <row r="2250" spans="1:13">
      <c r="A2250" t="s">
        <v>28</v>
      </c>
      <c r="B2250">
        <f ca="1">IF(OR(changes[[#This Row],[Type]]="Checklist",changes[[#This Row],[Type]]="checklist-flat"),1+IF(changes[[#This Row],[Type of change]] = "Edit",COUNTIFS($I$4:changes[[#This Row],[Name]],changes[[#This Row],[Name]], $E$4:changes[[#This Row],[Type of change]], "Edit")),B2249)</f>
        <v>2</v>
      </c>
      <c r="C2250" s="16">
        <v>44841</v>
      </c>
      <c r="D2250" s="1" t="s">
        <v>2867</v>
      </c>
      <c r="E2250" t="s">
        <v>15</v>
      </c>
      <c r="F2250" s="10" t="s">
        <v>9</v>
      </c>
      <c r="G2250" s="10" t="s">
        <v>1524</v>
      </c>
      <c r="H2250" s="19" t="s">
        <v>478</v>
      </c>
      <c r="I2250" s="10" t="s">
        <v>1524</v>
      </c>
      <c r="J2250" s="22"/>
      <c r="K2250" s="2" t="s">
        <v>2864</v>
      </c>
      <c r="L2250" s="2" t="s">
        <v>2868</v>
      </c>
      <c r="M2250" s="2" t="s">
        <v>2869</v>
      </c>
    </row>
    <row r="2251" spans="1:13" ht="15.75">
      <c r="A2251" t="s">
        <v>28</v>
      </c>
      <c r="B2251">
        <f ca="1">IF(OR(changes[[#This Row],[Type]]="Checklist",changes[[#This Row],[Type]]="checklist-flat"),1+IF(changes[[#This Row],[Type of change]] = "Edit",COUNTIFS($I$4:changes[[#This Row],[Name]],changes[[#This Row],[Name]], $E$4:changes[[#This Row],[Type of change]], "Edit")),B2250)</f>
        <v>2</v>
      </c>
      <c r="C2251" s="16">
        <v>44841</v>
      </c>
      <c r="D2251" s="1" t="s">
        <v>2867</v>
      </c>
      <c r="E2251" t="s">
        <v>15</v>
      </c>
      <c r="F2251" s="10" t="s">
        <v>9</v>
      </c>
      <c r="G2251" s="10" t="s">
        <v>1524</v>
      </c>
      <c r="H2251" s="19" t="s">
        <v>479</v>
      </c>
      <c r="I2251" s="21" t="s">
        <v>2870</v>
      </c>
      <c r="J2251" s="22"/>
      <c r="K2251" s="2" t="s">
        <v>2864</v>
      </c>
      <c r="L2251" s="2" t="s">
        <v>2868</v>
      </c>
      <c r="M2251" s="2"/>
    </row>
    <row r="2252" spans="1:13" ht="15.75">
      <c r="A2252" t="s">
        <v>28</v>
      </c>
      <c r="B2252">
        <f ca="1">IF(OR(changes[[#This Row],[Type]]="Checklist",changes[[#This Row],[Type]]="checklist-flat"),1+IF(changes[[#This Row],[Type of change]] = "Edit",COUNTIFS($I$4:changes[[#This Row],[Name]],changes[[#This Row],[Name]], $E$4:changes[[#This Row],[Type of change]], "Edit")),B2251)</f>
        <v>2</v>
      </c>
      <c r="C2252" s="16">
        <v>44841</v>
      </c>
      <c r="D2252" s="1" t="s">
        <v>2867</v>
      </c>
      <c r="E2252" t="s">
        <v>15</v>
      </c>
      <c r="F2252" s="10" t="s">
        <v>9</v>
      </c>
      <c r="G2252" s="10" t="s">
        <v>1524</v>
      </c>
      <c r="H2252" s="2" t="s">
        <v>55</v>
      </c>
      <c r="I2252" s="18" t="s">
        <v>2871</v>
      </c>
      <c r="J2252" s="23"/>
      <c r="K2252" s="2" t="s">
        <v>2864</v>
      </c>
      <c r="L2252" s="2" t="s">
        <v>2868</v>
      </c>
      <c r="M2252" s="2"/>
    </row>
    <row r="2253" spans="1:13" ht="15.75">
      <c r="A2253" t="s">
        <v>28</v>
      </c>
      <c r="B2253">
        <f ca="1">IF(OR(changes[[#This Row],[Type]]="Checklist",changes[[#This Row],[Type]]="checklist-flat"),1+IF(changes[[#This Row],[Type of change]] = "Edit",COUNTIFS($I$4:changes[[#This Row],[Name]],changes[[#This Row],[Name]], $E$4:changes[[#This Row],[Type of change]], "Edit")),B2252)</f>
        <v>2</v>
      </c>
      <c r="C2253" s="16">
        <v>44841</v>
      </c>
      <c r="D2253" s="1" t="s">
        <v>2867</v>
      </c>
      <c r="E2253" t="s">
        <v>15</v>
      </c>
      <c r="F2253" s="10" t="s">
        <v>9</v>
      </c>
      <c r="G2253" s="10" t="s">
        <v>1524</v>
      </c>
      <c r="H2253" s="2" t="s">
        <v>55</v>
      </c>
      <c r="I2253" s="18" t="s">
        <v>1478</v>
      </c>
      <c r="J2253" s="23"/>
      <c r="K2253" s="2" t="s">
        <v>2864</v>
      </c>
      <c r="L2253" s="2" t="s">
        <v>2868</v>
      </c>
      <c r="M2253" s="2"/>
    </row>
    <row r="2254" spans="1:13" ht="15.75">
      <c r="A2254" t="s">
        <v>28</v>
      </c>
      <c r="B2254">
        <f ca="1">IF(OR(changes[[#This Row],[Type]]="Checklist",changes[[#This Row],[Type]]="checklist-flat"),1+IF(changes[[#This Row],[Type of change]] = "Edit",COUNTIFS($I$4:changes[[#This Row],[Name]],changes[[#This Row],[Name]], $E$4:changes[[#This Row],[Type of change]], "Edit")),B2253)</f>
        <v>2</v>
      </c>
      <c r="C2254" s="16">
        <v>44841</v>
      </c>
      <c r="D2254" s="1" t="s">
        <v>2867</v>
      </c>
      <c r="E2254" t="s">
        <v>15</v>
      </c>
      <c r="F2254" s="10" t="s">
        <v>9</v>
      </c>
      <c r="G2254" s="10" t="s">
        <v>1524</v>
      </c>
      <c r="H2254" s="2" t="s">
        <v>55</v>
      </c>
      <c r="I2254" s="18" t="s">
        <v>1479</v>
      </c>
      <c r="J2254" s="23"/>
      <c r="K2254" s="2" t="s">
        <v>2864</v>
      </c>
      <c r="L2254" s="2" t="s">
        <v>2868</v>
      </c>
      <c r="M2254" s="2"/>
    </row>
    <row r="2255" spans="1:13" ht="15.75">
      <c r="A2255" t="s">
        <v>28</v>
      </c>
      <c r="B2255">
        <f ca="1">IF(OR(changes[[#This Row],[Type]]="Checklist",changes[[#This Row],[Type]]="checklist-flat"),1+IF(changes[[#This Row],[Type of change]] = "Edit",COUNTIFS($I$4:changes[[#This Row],[Name]],changes[[#This Row],[Name]], $E$4:changes[[#This Row],[Type of change]], "Edit")),B2254)</f>
        <v>2</v>
      </c>
      <c r="C2255" s="16">
        <v>44841</v>
      </c>
      <c r="D2255" s="1" t="s">
        <v>2867</v>
      </c>
      <c r="E2255" t="s">
        <v>15</v>
      </c>
      <c r="F2255" s="10" t="s">
        <v>9</v>
      </c>
      <c r="G2255" s="10" t="s">
        <v>1524</v>
      </c>
      <c r="H2255" s="2" t="s">
        <v>479</v>
      </c>
      <c r="I2255" s="18" t="s">
        <v>1402</v>
      </c>
      <c r="J2255" s="23"/>
      <c r="K2255" s="2" t="s">
        <v>2864</v>
      </c>
      <c r="L2255" s="2" t="s">
        <v>2868</v>
      </c>
      <c r="M2255" s="2"/>
    </row>
    <row r="2256" spans="1:13" ht="15.75">
      <c r="A2256" t="s">
        <v>28</v>
      </c>
      <c r="B2256">
        <f ca="1">IF(OR(changes[[#This Row],[Type]]="Checklist",changes[[#This Row],[Type]]="checklist-flat"),1+IF(changes[[#This Row],[Type of change]] = "Edit",COUNTIFS($I$4:changes[[#This Row],[Name]],changes[[#This Row],[Name]], $E$4:changes[[#This Row],[Type of change]], "Edit")),B2255)</f>
        <v>2</v>
      </c>
      <c r="C2256" s="16">
        <v>44841</v>
      </c>
      <c r="D2256" s="1" t="s">
        <v>2867</v>
      </c>
      <c r="E2256" t="s">
        <v>15</v>
      </c>
      <c r="F2256" s="10" t="s">
        <v>9</v>
      </c>
      <c r="G2256" s="10" t="s">
        <v>1524</v>
      </c>
      <c r="H2256" s="2" t="s">
        <v>55</v>
      </c>
      <c r="I2256" s="18" t="s">
        <v>1525</v>
      </c>
      <c r="J2256" s="23"/>
      <c r="K2256" s="2" t="s">
        <v>2864</v>
      </c>
      <c r="L2256" s="2" t="s">
        <v>2868</v>
      </c>
      <c r="M2256" s="2"/>
    </row>
    <row r="2257" spans="1:13" ht="15.75">
      <c r="A2257" t="s">
        <v>28</v>
      </c>
      <c r="B2257">
        <f ca="1">IF(OR(changes[[#This Row],[Type]]="Checklist",changes[[#This Row],[Type]]="checklist-flat"),1+IF(changes[[#This Row],[Type of change]] = "Edit",COUNTIFS($I$4:changes[[#This Row],[Name]],changes[[#This Row],[Name]], $E$4:changes[[#This Row],[Type of change]], "Edit")),B2256)</f>
        <v>2</v>
      </c>
      <c r="C2257" s="16">
        <v>44841</v>
      </c>
      <c r="D2257" s="1" t="s">
        <v>2867</v>
      </c>
      <c r="E2257" t="s">
        <v>15</v>
      </c>
      <c r="F2257" s="10" t="s">
        <v>9</v>
      </c>
      <c r="G2257" s="10" t="s">
        <v>1524</v>
      </c>
      <c r="H2257" s="2" t="s">
        <v>55</v>
      </c>
      <c r="I2257" s="18" t="s">
        <v>1526</v>
      </c>
      <c r="J2257" s="23"/>
      <c r="K2257" s="2" t="s">
        <v>2864</v>
      </c>
      <c r="L2257" s="2" t="s">
        <v>2868</v>
      </c>
      <c r="M2257" s="2"/>
    </row>
    <row r="2258" spans="1:13">
      <c r="A2258" t="s">
        <v>28</v>
      </c>
      <c r="B2258">
        <f ca="1">IF(OR(changes[[#This Row],[Type]]="Checklist",changes[[#This Row],[Type]]="checklist-flat"),1+IF(changes[[#This Row],[Type of change]] = "Edit",COUNTIFS($I$4:changes[[#This Row],[Name]],changes[[#This Row],[Name]], $E$4:changes[[#This Row],[Type of change]], "Edit")),B2257)</f>
        <v>2</v>
      </c>
      <c r="C2258" s="16">
        <v>44841</v>
      </c>
      <c r="D2258" s="1" t="s">
        <v>2867</v>
      </c>
      <c r="E2258" t="s">
        <v>15</v>
      </c>
      <c r="F2258" s="10" t="s">
        <v>9</v>
      </c>
      <c r="G2258" s="10" t="s">
        <v>1524</v>
      </c>
      <c r="H2258" s="10" t="s">
        <v>55</v>
      </c>
      <c r="I2258" s="10" t="s">
        <v>1504</v>
      </c>
      <c r="J2258" s="22"/>
      <c r="K2258" s="2" t="s">
        <v>2864</v>
      </c>
      <c r="L2258" s="2" t="s">
        <v>2868</v>
      </c>
      <c r="M2258" s="2"/>
    </row>
    <row r="2259" spans="1:13" ht="15.75">
      <c r="A2259" t="s">
        <v>28</v>
      </c>
      <c r="B2259">
        <f ca="1">IF(OR(changes[[#This Row],[Type]]="Checklist",changes[[#This Row],[Type]]="checklist-flat"),1+IF(changes[[#This Row],[Type of change]] = "Edit",COUNTIFS($I$4:changes[[#This Row],[Name]],changes[[#This Row],[Name]], $E$4:changes[[#This Row],[Type of change]], "Edit")),B2258)</f>
        <v>2</v>
      </c>
      <c r="C2259" s="16">
        <v>44841</v>
      </c>
      <c r="D2259" s="1" t="s">
        <v>2867</v>
      </c>
      <c r="E2259" t="s">
        <v>15</v>
      </c>
      <c r="F2259" s="10" t="s">
        <v>9</v>
      </c>
      <c r="G2259" s="10" t="s">
        <v>1524</v>
      </c>
      <c r="H2259" s="2" t="s">
        <v>55</v>
      </c>
      <c r="I2259" s="18" t="s">
        <v>1505</v>
      </c>
      <c r="J2259" s="22"/>
      <c r="K2259" s="2" t="s">
        <v>2864</v>
      </c>
      <c r="L2259" s="2" t="s">
        <v>2868</v>
      </c>
      <c r="M2259" s="2"/>
    </row>
    <row r="2260" spans="1:13" ht="15.75">
      <c r="A2260" t="s">
        <v>28</v>
      </c>
      <c r="B2260">
        <f ca="1">IF(OR(changes[[#This Row],[Type]]="Checklist",changes[[#This Row],[Type]]="checklist-flat"),1+IF(changes[[#This Row],[Type of change]] = "Edit",COUNTIFS($I$4:changes[[#This Row],[Name]],changes[[#This Row],[Name]], $E$4:changes[[#This Row],[Type of change]], "Edit")),B2259)</f>
        <v>2</v>
      </c>
      <c r="C2260" s="16">
        <v>44841</v>
      </c>
      <c r="D2260" s="1" t="s">
        <v>2867</v>
      </c>
      <c r="E2260" t="s">
        <v>15</v>
      </c>
      <c r="F2260" s="10" t="s">
        <v>9</v>
      </c>
      <c r="G2260" s="10" t="s">
        <v>1524</v>
      </c>
      <c r="H2260" s="2" t="s">
        <v>55</v>
      </c>
      <c r="I2260" s="18" t="s">
        <v>1506</v>
      </c>
      <c r="J2260" s="22"/>
      <c r="K2260" s="2" t="s">
        <v>2864</v>
      </c>
      <c r="L2260" s="2" t="s">
        <v>2868</v>
      </c>
      <c r="M2260" s="2"/>
    </row>
    <row r="2261" spans="1:13">
      <c r="A2261" t="s">
        <v>28</v>
      </c>
      <c r="B2261">
        <f ca="1">IF(OR(changes[[#This Row],[Type]]="Checklist",changes[[#This Row],[Type]]="checklist-flat"),1+IF(changes[[#This Row],[Type of change]] = "Edit",COUNTIFS($I$4:changes[[#This Row],[Name]],changes[[#This Row],[Name]], $E$4:changes[[#This Row],[Type of change]], "Edit")),B2260)</f>
        <v>2</v>
      </c>
      <c r="C2261" s="16">
        <v>44841</v>
      </c>
      <c r="D2261" s="1" t="s">
        <v>2867</v>
      </c>
      <c r="E2261" t="s">
        <v>15</v>
      </c>
      <c r="F2261" s="10" t="s">
        <v>9</v>
      </c>
      <c r="G2261" s="10" t="s">
        <v>1524</v>
      </c>
      <c r="H2261" s="59" t="s">
        <v>55</v>
      </c>
      <c r="I2261" s="58" t="s">
        <v>1533</v>
      </c>
      <c r="J2261" s="22"/>
      <c r="K2261" s="2" t="s">
        <v>2864</v>
      </c>
      <c r="L2261" s="2" t="s">
        <v>2868</v>
      </c>
      <c r="M2261" s="2"/>
    </row>
    <row r="2262" spans="1:13" ht="15.75">
      <c r="A2262" t="s">
        <v>28</v>
      </c>
      <c r="B2262">
        <f ca="1">IF(OR(changes[[#This Row],[Type]]="Checklist",changes[[#This Row],[Type]]="checklist-flat"),1+IF(changes[[#This Row],[Type of change]] = "Edit",COUNTIFS($I$4:changes[[#This Row],[Name]],changes[[#This Row],[Name]], $E$4:changes[[#This Row],[Type of change]], "Edit")),B2261)</f>
        <v>2</v>
      </c>
      <c r="C2262" s="16">
        <v>44841</v>
      </c>
      <c r="D2262" s="1" t="s">
        <v>2867</v>
      </c>
      <c r="E2262" t="s">
        <v>15</v>
      </c>
      <c r="F2262" s="10" t="s">
        <v>9</v>
      </c>
      <c r="G2262" s="10" t="s">
        <v>1524</v>
      </c>
      <c r="H2262" s="2" t="s">
        <v>55</v>
      </c>
      <c r="I2262" s="18" t="s">
        <v>1507</v>
      </c>
      <c r="J2262" s="23"/>
      <c r="K2262" s="2" t="s">
        <v>2864</v>
      </c>
      <c r="L2262" s="2" t="s">
        <v>2868</v>
      </c>
      <c r="M2262" s="2" t="s">
        <v>2872</v>
      </c>
    </row>
    <row r="2263" spans="1:13">
      <c r="A2263" t="s">
        <v>28</v>
      </c>
      <c r="B2263">
        <f ca="1">IF(OR(changes[[#This Row],[Type]]="Checklist",changes[[#This Row],[Type]]="checklist-flat"),1+IF(changes[[#This Row],[Type of change]] = "Edit",COUNTIFS($I$4:changes[[#This Row],[Name]],changes[[#This Row],[Name]], $E$4:changes[[#This Row],[Type of change]], "Edit")),B2262)</f>
        <v>2</v>
      </c>
      <c r="C2263" s="16">
        <v>44841</v>
      </c>
      <c r="D2263" s="1" t="s">
        <v>2867</v>
      </c>
      <c r="E2263" t="s">
        <v>15</v>
      </c>
      <c r="F2263" s="10" t="s">
        <v>9</v>
      </c>
      <c r="G2263" s="10" t="s">
        <v>1524</v>
      </c>
      <c r="H2263" s="2" t="s">
        <v>55</v>
      </c>
      <c r="I2263" s="30" t="s">
        <v>1513</v>
      </c>
      <c r="J2263" s="23"/>
      <c r="K2263" s="2" t="s">
        <v>2864</v>
      </c>
      <c r="L2263" s="2" t="s">
        <v>2868</v>
      </c>
      <c r="M2263" s="2"/>
    </row>
    <row r="2264" spans="1:13" ht="15.75">
      <c r="A2264" t="s">
        <v>28</v>
      </c>
      <c r="B2264">
        <f ca="1">IF(OR(changes[[#This Row],[Type]]="Checklist",changes[[#This Row],[Type]]="checklist-flat"),1+IF(changes[[#This Row],[Type of change]] = "Edit",COUNTIFS($I$4:changes[[#This Row],[Name]],changes[[#This Row],[Name]], $E$4:changes[[#This Row],[Type of change]], "Edit")),B2263)</f>
        <v>2</v>
      </c>
      <c r="C2264" s="16">
        <v>44841</v>
      </c>
      <c r="D2264" s="1" t="s">
        <v>2867</v>
      </c>
      <c r="E2264" t="s">
        <v>15</v>
      </c>
      <c r="F2264" s="10" t="s">
        <v>9</v>
      </c>
      <c r="G2264" s="10" t="s">
        <v>1524</v>
      </c>
      <c r="H2264" s="2" t="s">
        <v>479</v>
      </c>
      <c r="I2264" s="18" t="s">
        <v>1408</v>
      </c>
      <c r="J2264" s="23"/>
      <c r="K2264" s="2" t="s">
        <v>2864</v>
      </c>
      <c r="L2264" s="2" t="s">
        <v>2868</v>
      </c>
      <c r="M2264" s="2"/>
    </row>
    <row r="2265" spans="1:13">
      <c r="A2265" t="s">
        <v>28</v>
      </c>
      <c r="B2265">
        <f ca="1">IF(OR(changes[[#This Row],[Type]]="Checklist",changes[[#This Row],[Type]]="checklist-flat"),1+IF(changes[[#This Row],[Type of change]] = "Edit",COUNTIFS($I$4:changes[[#This Row],[Name]],changes[[#This Row],[Name]], $E$4:changes[[#This Row],[Type of change]], "Edit")),B2264)</f>
        <v>2</v>
      </c>
      <c r="C2265" s="16">
        <v>44841</v>
      </c>
      <c r="D2265" s="1" t="s">
        <v>2867</v>
      </c>
      <c r="E2265" t="s">
        <v>15</v>
      </c>
      <c r="F2265" s="10" t="s">
        <v>9</v>
      </c>
      <c r="G2265" s="10" t="s">
        <v>1524</v>
      </c>
      <c r="H2265" s="2" t="s">
        <v>55</v>
      </c>
      <c r="I2265" s="30" t="s">
        <v>1527</v>
      </c>
      <c r="J2265" s="23"/>
      <c r="K2265" s="2" t="s">
        <v>2864</v>
      </c>
      <c r="L2265" s="2" t="s">
        <v>2868</v>
      </c>
      <c r="M2265" s="2"/>
    </row>
    <row r="2266" spans="1:13" ht="15.75">
      <c r="A2266" t="s">
        <v>28</v>
      </c>
      <c r="B2266">
        <f ca="1">IF(OR(changes[[#This Row],[Type]]="Checklist",changes[[#This Row],[Type]]="checklist-flat"),1+IF(changes[[#This Row],[Type of change]] = "Edit",COUNTIFS($I$4:changes[[#This Row],[Name]],changes[[#This Row],[Name]], $E$4:changes[[#This Row],[Type of change]], "Edit")),B2265)</f>
        <v>2</v>
      </c>
      <c r="C2266" s="16">
        <v>44841</v>
      </c>
      <c r="D2266" s="1" t="s">
        <v>2867</v>
      </c>
      <c r="E2266" t="s">
        <v>15</v>
      </c>
      <c r="F2266" s="10" t="s">
        <v>9</v>
      </c>
      <c r="G2266" s="10" t="s">
        <v>1524</v>
      </c>
      <c r="H2266" s="2" t="s">
        <v>55</v>
      </c>
      <c r="I2266" s="18" t="s">
        <v>1520</v>
      </c>
      <c r="J2266" s="23"/>
      <c r="K2266" s="2" t="s">
        <v>2864</v>
      </c>
      <c r="L2266" s="2" t="s">
        <v>2868</v>
      </c>
      <c r="M2266" s="2"/>
    </row>
    <row r="2267" spans="1:13" ht="15.75">
      <c r="A2267" t="s">
        <v>28</v>
      </c>
      <c r="B2267">
        <f ca="1">IF(OR(changes[[#This Row],[Type]]="Checklist",changes[[#This Row],[Type]]="checklist-flat"),1+IF(changes[[#This Row],[Type of change]] = "Edit",COUNTIFS($I$4:changes[[#This Row],[Name]],changes[[#This Row],[Name]], $E$4:changes[[#This Row],[Type of change]], "Edit")),B2266)</f>
        <v>2</v>
      </c>
      <c r="C2267" s="16">
        <v>44841</v>
      </c>
      <c r="D2267" s="1" t="s">
        <v>2867</v>
      </c>
      <c r="E2267" t="s">
        <v>15</v>
      </c>
      <c r="F2267" s="10" t="s">
        <v>9</v>
      </c>
      <c r="G2267" s="10" t="s">
        <v>1524</v>
      </c>
      <c r="H2267" s="2" t="s">
        <v>479</v>
      </c>
      <c r="I2267" s="18" t="s">
        <v>1416</v>
      </c>
      <c r="J2267" s="23"/>
      <c r="K2267" s="2" t="s">
        <v>2864</v>
      </c>
      <c r="L2267" s="2" t="s">
        <v>2868</v>
      </c>
      <c r="M2267" s="2"/>
    </row>
    <row r="2268" spans="1:13" ht="15.75">
      <c r="A2268" t="s">
        <v>28</v>
      </c>
      <c r="B2268">
        <f ca="1">IF(OR(changes[[#This Row],[Type]]="Checklist",changes[[#This Row],[Type]]="checklist-flat"),1+IF(changes[[#This Row],[Type of change]] = "Edit",COUNTIFS($I$4:changes[[#This Row],[Name]],changes[[#This Row],[Name]], $E$4:changes[[#This Row],[Type of change]], "Edit")),B2267)</f>
        <v>2</v>
      </c>
      <c r="C2268" s="16">
        <v>44841</v>
      </c>
      <c r="D2268" s="1" t="s">
        <v>2867</v>
      </c>
      <c r="E2268" t="s">
        <v>15</v>
      </c>
      <c r="F2268" s="10" t="s">
        <v>9</v>
      </c>
      <c r="G2268" s="10" t="s">
        <v>1524</v>
      </c>
      <c r="H2268" s="2" t="s">
        <v>55</v>
      </c>
      <c r="I2268" s="18" t="s">
        <v>1528</v>
      </c>
      <c r="J2268" s="23"/>
      <c r="K2268" s="2" t="s">
        <v>2864</v>
      </c>
      <c r="L2268" s="2" t="s">
        <v>2868</v>
      </c>
      <c r="M2268" s="2"/>
    </row>
    <row r="2269" spans="1:13" ht="15.75">
      <c r="A2269" t="s">
        <v>28</v>
      </c>
      <c r="B2269">
        <f ca="1">IF(OR(changes[[#This Row],[Type]]="Checklist",changes[[#This Row],[Type]]="checklist-flat"),1+IF(changes[[#This Row],[Type of change]] = "Edit",COUNTIFS($I$4:changes[[#This Row],[Name]],changes[[#This Row],[Name]], $E$4:changes[[#This Row],[Type of change]], "Edit")),B2268)</f>
        <v>2</v>
      </c>
      <c r="C2269" s="16">
        <v>44841</v>
      </c>
      <c r="D2269" s="1" t="s">
        <v>2867</v>
      </c>
      <c r="E2269" t="s">
        <v>15</v>
      </c>
      <c r="F2269" s="10" t="s">
        <v>9</v>
      </c>
      <c r="G2269" s="10" t="s">
        <v>1524</v>
      </c>
      <c r="H2269" s="2" t="s">
        <v>55</v>
      </c>
      <c r="I2269" s="18" t="s">
        <v>1529</v>
      </c>
      <c r="J2269" s="23"/>
      <c r="K2269" s="2" t="s">
        <v>2864</v>
      </c>
      <c r="L2269" s="2" t="s">
        <v>2868</v>
      </c>
      <c r="M2269" s="2"/>
    </row>
    <row r="2270" spans="1:13" ht="15.75">
      <c r="A2270" t="s">
        <v>28</v>
      </c>
      <c r="B2270">
        <f ca="1">IF(OR(changes[[#This Row],[Type]]="Checklist",changes[[#This Row],[Type]]="checklist-flat"),1+IF(changes[[#This Row],[Type of change]] = "Edit",COUNTIFS($I$4:changes[[#This Row],[Name]],changes[[#This Row],[Name]], $E$4:changes[[#This Row],[Type of change]], "Edit")),B2269)</f>
        <v>2</v>
      </c>
      <c r="C2270" s="16">
        <v>44841</v>
      </c>
      <c r="D2270" s="1" t="s">
        <v>2867</v>
      </c>
      <c r="E2270" t="s">
        <v>15</v>
      </c>
      <c r="F2270" s="10" t="s">
        <v>9</v>
      </c>
      <c r="G2270" s="10" t="s">
        <v>1524</v>
      </c>
      <c r="H2270" s="2" t="s">
        <v>55</v>
      </c>
      <c r="I2270" s="18" t="s">
        <v>1523</v>
      </c>
      <c r="J2270" s="23"/>
      <c r="K2270" s="2" t="s">
        <v>2864</v>
      </c>
      <c r="L2270" s="2" t="s">
        <v>2868</v>
      </c>
      <c r="M2270" s="2"/>
    </row>
    <row r="2271" spans="1:13" ht="15.75">
      <c r="A2271" t="s">
        <v>28</v>
      </c>
      <c r="B2271">
        <f ca="1">IF(OR(changes[[#This Row],[Type]]="Checklist",changes[[#This Row],[Type]]="checklist-flat"),1+IF(changes[[#This Row],[Type of change]] = "Edit",COUNTIFS($I$4:changes[[#This Row],[Name]],changes[[#This Row],[Name]], $E$4:changes[[#This Row],[Type of change]], "Edit")),B2270)</f>
        <v>2</v>
      </c>
      <c r="C2271" s="16">
        <v>44841</v>
      </c>
      <c r="D2271" s="1" t="s">
        <v>2867</v>
      </c>
      <c r="E2271" t="s">
        <v>15</v>
      </c>
      <c r="F2271" s="10" t="s">
        <v>9</v>
      </c>
      <c r="G2271" s="10" t="s">
        <v>1524</v>
      </c>
      <c r="H2271" s="2" t="s">
        <v>55</v>
      </c>
      <c r="I2271" s="18" t="s">
        <v>93</v>
      </c>
      <c r="J2271" s="23"/>
      <c r="K2271" s="2" t="s">
        <v>2864</v>
      </c>
      <c r="L2271" s="2" t="s">
        <v>2868</v>
      </c>
      <c r="M2271" s="2"/>
    </row>
    <row r="2272" spans="1:13" ht="15.75">
      <c r="A2272" t="s">
        <v>28</v>
      </c>
      <c r="B2272">
        <f ca="1">IF(OR(changes[[#This Row],[Type]]="Checklist",changes[[#This Row],[Type]]="checklist-flat"),1+IF(changes[[#This Row],[Type of change]] = "Edit",COUNTIFS($I$4:changes[[#This Row],[Name]],changes[[#This Row],[Name]], $E$4:changes[[#This Row],[Type of change]], "Edit")),B2271)</f>
        <v>2</v>
      </c>
      <c r="C2272" s="16">
        <v>44841</v>
      </c>
      <c r="D2272" s="1" t="s">
        <v>2867</v>
      </c>
      <c r="E2272" t="s">
        <v>15</v>
      </c>
      <c r="F2272" s="10" t="s">
        <v>9</v>
      </c>
      <c r="G2272" s="10" t="s">
        <v>1524</v>
      </c>
      <c r="H2272" s="2" t="s">
        <v>64</v>
      </c>
      <c r="I2272" s="18" t="s">
        <v>94</v>
      </c>
      <c r="J2272" s="23"/>
      <c r="K2272" s="2" t="s">
        <v>2864</v>
      </c>
      <c r="L2272" s="2" t="s">
        <v>2868</v>
      </c>
      <c r="M2272" s="2"/>
    </row>
    <row r="2273" spans="1:13" ht="15.75">
      <c r="A2273" t="s">
        <v>11</v>
      </c>
      <c r="B2273">
        <f ca="1">IF(OR(changes[[#This Row],[Type]]="Checklist",changes[[#This Row],[Type]]="checklist-flat"),1+IF(changes[[#This Row],[Type of change]] = "Edit",COUNTIFS($I$4:changes[[#This Row],[Name]],changes[[#This Row],[Name]], $E$4:changes[[#This Row],[Type of change]], "Edit")),B2272)</f>
        <v>2</v>
      </c>
      <c r="C2273" s="16">
        <v>44841</v>
      </c>
      <c r="D2273" s="1" t="s">
        <v>2867</v>
      </c>
      <c r="E2273" t="s">
        <v>15</v>
      </c>
      <c r="F2273" s="10" t="s">
        <v>9</v>
      </c>
      <c r="G2273" s="10" t="s">
        <v>1530</v>
      </c>
      <c r="H2273" s="19" t="s">
        <v>478</v>
      </c>
      <c r="I2273" s="21" t="s">
        <v>1530</v>
      </c>
      <c r="J2273" s="22"/>
      <c r="K2273" s="2" t="s">
        <v>2864</v>
      </c>
      <c r="L2273" s="2" t="s">
        <v>2868</v>
      </c>
      <c r="M2273" s="2" t="s">
        <v>2873</v>
      </c>
    </row>
    <row r="2274" spans="1:13" ht="15.75">
      <c r="A2274" t="s">
        <v>11</v>
      </c>
      <c r="B2274">
        <f ca="1">IF(OR(changes[[#This Row],[Type]]="Checklist",changes[[#This Row],[Type]]="checklist-flat"),1+IF(changes[[#This Row],[Type of change]] = "Edit",COUNTIFS($I$4:changes[[#This Row],[Name]],changes[[#This Row],[Name]], $E$4:changes[[#This Row],[Type of change]], "Edit")),B2273)</f>
        <v>2</v>
      </c>
      <c r="C2274" s="16">
        <v>44841</v>
      </c>
      <c r="D2274" s="1" t="s">
        <v>2867</v>
      </c>
      <c r="E2274" t="s">
        <v>15</v>
      </c>
      <c r="F2274" s="10" t="s">
        <v>9</v>
      </c>
      <c r="G2274" s="10" t="s">
        <v>1530</v>
      </c>
      <c r="H2274" s="19" t="s">
        <v>479</v>
      </c>
      <c r="I2274" s="21" t="s">
        <v>1397</v>
      </c>
      <c r="J2274" s="22"/>
      <c r="K2274" s="2" t="s">
        <v>2864</v>
      </c>
      <c r="L2274" s="2" t="s">
        <v>2868</v>
      </c>
      <c r="M2274" s="2"/>
    </row>
    <row r="2275" spans="1:13" ht="15.75">
      <c r="A2275" t="s">
        <v>11</v>
      </c>
      <c r="B2275">
        <f ca="1">IF(OR(changes[[#This Row],[Type]]="Checklist",changes[[#This Row],[Type]]="checklist-flat"),1+IF(changes[[#This Row],[Type of change]] = "Edit",COUNTIFS($I$4:changes[[#This Row],[Name]],changes[[#This Row],[Name]], $E$4:changes[[#This Row],[Type of change]], "Edit")),B2274)</f>
        <v>2</v>
      </c>
      <c r="C2275" s="16">
        <v>44841</v>
      </c>
      <c r="D2275" s="1" t="s">
        <v>2867</v>
      </c>
      <c r="E2275" t="s">
        <v>15</v>
      </c>
      <c r="F2275" s="10" t="s">
        <v>9</v>
      </c>
      <c r="G2275" s="10" t="s">
        <v>1530</v>
      </c>
      <c r="H2275" s="19" t="s">
        <v>55</v>
      </c>
      <c r="I2275" s="21" t="s">
        <v>2871</v>
      </c>
      <c r="J2275" s="22"/>
      <c r="K2275" s="2" t="s">
        <v>2864</v>
      </c>
      <c r="L2275" s="2" t="s">
        <v>2868</v>
      </c>
      <c r="M2275" s="2"/>
    </row>
    <row r="2276" spans="1:13" ht="15.75">
      <c r="A2276" t="s">
        <v>11</v>
      </c>
      <c r="B2276">
        <f ca="1">IF(OR(changes[[#This Row],[Type]]="Checklist",changes[[#This Row],[Type]]="checklist-flat"),1+IF(changes[[#This Row],[Type of change]] = "Edit",COUNTIFS($I$4:changes[[#This Row],[Name]],changes[[#This Row],[Name]], $E$4:changes[[#This Row],[Type of change]], "Edit")),B2275)</f>
        <v>2</v>
      </c>
      <c r="C2276" s="16">
        <v>44841</v>
      </c>
      <c r="D2276" s="1" t="s">
        <v>2867</v>
      </c>
      <c r="E2276" t="s">
        <v>15</v>
      </c>
      <c r="F2276" s="10" t="s">
        <v>9</v>
      </c>
      <c r="G2276" s="10" t="s">
        <v>1530</v>
      </c>
      <c r="H2276" s="2" t="s">
        <v>55</v>
      </c>
      <c r="I2276" s="18" t="s">
        <v>1478</v>
      </c>
      <c r="J2276" s="23"/>
      <c r="K2276" s="2" t="s">
        <v>2864</v>
      </c>
      <c r="L2276" s="2" t="s">
        <v>2868</v>
      </c>
      <c r="M2276" s="2"/>
    </row>
    <row r="2277" spans="1:13" ht="15.75">
      <c r="A2277" t="s">
        <v>11</v>
      </c>
      <c r="B2277">
        <f ca="1">IF(OR(changes[[#This Row],[Type]]="Checklist",changes[[#This Row],[Type]]="checklist-flat"),1+IF(changes[[#This Row],[Type of change]] = "Edit",COUNTIFS($I$4:changes[[#This Row],[Name]],changes[[#This Row],[Name]], $E$4:changes[[#This Row],[Type of change]], "Edit")),B2276)</f>
        <v>2</v>
      </c>
      <c r="C2277" s="16">
        <v>44841</v>
      </c>
      <c r="D2277" s="1" t="s">
        <v>2867</v>
      </c>
      <c r="E2277" t="s">
        <v>15</v>
      </c>
      <c r="F2277" s="10" t="s">
        <v>9</v>
      </c>
      <c r="G2277" s="10" t="s">
        <v>1530</v>
      </c>
      <c r="H2277" s="2" t="s">
        <v>55</v>
      </c>
      <c r="I2277" s="18" t="s">
        <v>1479</v>
      </c>
      <c r="J2277" s="23"/>
      <c r="K2277" s="2" t="s">
        <v>2864</v>
      </c>
      <c r="L2277" s="2" t="s">
        <v>2868</v>
      </c>
      <c r="M2277" s="2"/>
    </row>
    <row r="2278" spans="1:13" ht="15.75">
      <c r="A2278" t="s">
        <v>11</v>
      </c>
      <c r="B2278">
        <f ca="1">IF(OR(changes[[#This Row],[Type]]="Checklist",changes[[#This Row],[Type]]="checklist-flat"),1+IF(changes[[#This Row],[Type of change]] = "Edit",COUNTIFS($I$4:changes[[#This Row],[Name]],changes[[#This Row],[Name]], $E$4:changes[[#This Row],[Type of change]], "Edit")),B2277)</f>
        <v>2</v>
      </c>
      <c r="C2278" s="16">
        <v>44841</v>
      </c>
      <c r="D2278" s="1" t="s">
        <v>2867</v>
      </c>
      <c r="E2278" t="s">
        <v>15</v>
      </c>
      <c r="F2278" s="10" t="s">
        <v>9</v>
      </c>
      <c r="G2278" s="10" t="s">
        <v>1530</v>
      </c>
      <c r="H2278" s="19" t="s">
        <v>479</v>
      </c>
      <c r="I2278" s="21" t="s">
        <v>1402</v>
      </c>
      <c r="J2278" s="22"/>
      <c r="K2278" s="2" t="s">
        <v>2864</v>
      </c>
      <c r="L2278" s="2" t="s">
        <v>2868</v>
      </c>
      <c r="M2278" s="2"/>
    </row>
    <row r="2279" spans="1:13" ht="15.75">
      <c r="A2279" t="s">
        <v>11</v>
      </c>
      <c r="B2279">
        <f ca="1">IF(OR(changes[[#This Row],[Type]]="Checklist",changes[[#This Row],[Type]]="checklist-flat"),1+IF(changes[[#This Row],[Type of change]] = "Edit",COUNTIFS($I$4:changes[[#This Row],[Name]],changes[[#This Row],[Name]], $E$4:changes[[#This Row],[Type of change]], "Edit")),B2278)</f>
        <v>2</v>
      </c>
      <c r="C2279" s="16">
        <v>44841</v>
      </c>
      <c r="D2279" s="1" t="s">
        <v>2867</v>
      </c>
      <c r="E2279" t="s">
        <v>15</v>
      </c>
      <c r="F2279" s="10" t="s">
        <v>9</v>
      </c>
      <c r="G2279" s="10" t="s">
        <v>1530</v>
      </c>
      <c r="H2279" s="2" t="s">
        <v>55</v>
      </c>
      <c r="I2279" s="18" t="s">
        <v>1525</v>
      </c>
      <c r="J2279" s="23"/>
      <c r="K2279" s="2" t="s">
        <v>2864</v>
      </c>
      <c r="L2279" s="2" t="s">
        <v>2868</v>
      </c>
      <c r="M2279" s="2"/>
    </row>
    <row r="2280" spans="1:13" ht="15.75">
      <c r="A2280" t="s">
        <v>11</v>
      </c>
      <c r="B2280">
        <f ca="1">IF(OR(changes[[#This Row],[Type]]="Checklist",changes[[#This Row],[Type]]="checklist-flat"),1+IF(changes[[#This Row],[Type of change]] = "Edit",COUNTIFS($I$4:changes[[#This Row],[Name]],changes[[#This Row],[Name]], $E$4:changes[[#This Row],[Type of change]], "Edit")),B2279)</f>
        <v>2</v>
      </c>
      <c r="C2280" s="16">
        <v>44841</v>
      </c>
      <c r="D2280" s="1" t="s">
        <v>2867</v>
      </c>
      <c r="E2280" t="s">
        <v>15</v>
      </c>
      <c r="F2280" s="10" t="s">
        <v>9</v>
      </c>
      <c r="G2280" s="10" t="s">
        <v>1530</v>
      </c>
      <c r="H2280" s="2" t="s">
        <v>55</v>
      </c>
      <c r="I2280" s="18" t="s">
        <v>1526</v>
      </c>
      <c r="J2280" s="23"/>
      <c r="K2280" s="2" t="s">
        <v>2864</v>
      </c>
      <c r="L2280" s="2" t="s">
        <v>2868</v>
      </c>
      <c r="M2280" s="2"/>
    </row>
    <row r="2281" spans="1:13" ht="15.75">
      <c r="A2281" t="s">
        <v>11</v>
      </c>
      <c r="B2281">
        <f ca="1">IF(OR(changes[[#This Row],[Type]]="Checklist",changes[[#This Row],[Type]]="checklist-flat"),1+IF(changes[[#This Row],[Type of change]] = "Edit",COUNTIFS($I$4:changes[[#This Row],[Name]],changes[[#This Row],[Name]], $E$4:changes[[#This Row],[Type of change]], "Edit")),B2280)</f>
        <v>2</v>
      </c>
      <c r="C2281" s="16">
        <v>44841</v>
      </c>
      <c r="D2281" s="1" t="s">
        <v>2867</v>
      </c>
      <c r="E2281" t="s">
        <v>15</v>
      </c>
      <c r="F2281" s="10" t="s">
        <v>9</v>
      </c>
      <c r="G2281" s="10" t="s">
        <v>1530</v>
      </c>
      <c r="H2281" s="2" t="s">
        <v>55</v>
      </c>
      <c r="I2281" s="18" t="s">
        <v>1507</v>
      </c>
      <c r="J2281" s="23"/>
      <c r="K2281" s="2" t="s">
        <v>2864</v>
      </c>
      <c r="L2281" s="2" t="s">
        <v>2868</v>
      </c>
      <c r="M2281" s="2"/>
    </row>
    <row r="2282" spans="1:13" ht="15.75">
      <c r="A2282" t="s">
        <v>11</v>
      </c>
      <c r="B2282">
        <f ca="1">IF(OR(changes[[#This Row],[Type]]="Checklist",changes[[#This Row],[Type]]="checklist-flat"),1+IF(changes[[#This Row],[Type of change]] = "Edit",COUNTIFS($I$4:changes[[#This Row],[Name]],changes[[#This Row],[Name]], $E$4:changes[[#This Row],[Type of change]], "Edit")),B2281)</f>
        <v>2</v>
      </c>
      <c r="C2282" s="16">
        <v>44841</v>
      </c>
      <c r="D2282" s="1" t="s">
        <v>2867</v>
      </c>
      <c r="E2282" t="s">
        <v>15</v>
      </c>
      <c r="F2282" s="10" t="s">
        <v>9</v>
      </c>
      <c r="G2282" s="10" t="s">
        <v>1530</v>
      </c>
      <c r="H2282" s="2" t="s">
        <v>55</v>
      </c>
      <c r="I2282" s="18" t="s">
        <v>1513</v>
      </c>
      <c r="J2282" s="23"/>
      <c r="K2282" s="2" t="s">
        <v>2864</v>
      </c>
      <c r="L2282" s="2" t="s">
        <v>2868</v>
      </c>
      <c r="M2282" s="2"/>
    </row>
    <row r="2283" spans="1:13" ht="15.75">
      <c r="A2283" t="s">
        <v>11</v>
      </c>
      <c r="B2283">
        <f ca="1">IF(OR(changes[[#This Row],[Type]]="Checklist",changes[[#This Row],[Type]]="checklist-flat"),1+IF(changes[[#This Row],[Type of change]] = "Edit",COUNTIFS($I$4:changes[[#This Row],[Name]],changes[[#This Row],[Name]], $E$4:changes[[#This Row],[Type of change]], "Edit")),B2282)</f>
        <v>2</v>
      </c>
      <c r="C2283" s="16">
        <v>44841</v>
      </c>
      <c r="D2283" s="1" t="s">
        <v>2867</v>
      </c>
      <c r="E2283" t="s">
        <v>15</v>
      </c>
      <c r="F2283" s="10" t="s">
        <v>9</v>
      </c>
      <c r="G2283" s="10" t="s">
        <v>1530</v>
      </c>
      <c r="H2283" s="19" t="s">
        <v>479</v>
      </c>
      <c r="I2283" s="21" t="s">
        <v>1408</v>
      </c>
      <c r="J2283" s="22"/>
      <c r="K2283" s="2" t="s">
        <v>2864</v>
      </c>
      <c r="L2283" s="2" t="s">
        <v>2868</v>
      </c>
      <c r="M2283" s="2"/>
    </row>
    <row r="2284" spans="1:13" ht="15.75">
      <c r="A2284" t="s">
        <v>11</v>
      </c>
      <c r="B2284">
        <f ca="1">IF(OR(changes[[#This Row],[Type]]="Checklist",changes[[#This Row],[Type]]="checklist-flat"),1+IF(changes[[#This Row],[Type of change]] = "Edit",COUNTIFS($I$4:changes[[#This Row],[Name]],changes[[#This Row],[Name]], $E$4:changes[[#This Row],[Type of change]], "Edit")),B2283)</f>
        <v>2</v>
      </c>
      <c r="C2284" s="16">
        <v>44841</v>
      </c>
      <c r="D2284" s="1" t="s">
        <v>2867</v>
      </c>
      <c r="E2284" t="s">
        <v>15</v>
      </c>
      <c r="F2284" s="10" t="s">
        <v>9</v>
      </c>
      <c r="G2284" s="10" t="s">
        <v>1530</v>
      </c>
      <c r="H2284" s="2" t="s">
        <v>55</v>
      </c>
      <c r="I2284" s="18" t="s">
        <v>1527</v>
      </c>
      <c r="J2284" s="23"/>
      <c r="K2284" s="2" t="s">
        <v>2864</v>
      </c>
      <c r="L2284" s="2" t="s">
        <v>2868</v>
      </c>
      <c r="M2284" s="2"/>
    </row>
    <row r="2285" spans="1:13" ht="15.75">
      <c r="A2285" t="s">
        <v>11</v>
      </c>
      <c r="B2285">
        <f ca="1">IF(OR(changes[[#This Row],[Type]]="Checklist",changes[[#This Row],[Type]]="checklist-flat"),1+IF(changes[[#This Row],[Type of change]] = "Edit",COUNTIFS($I$4:changes[[#This Row],[Name]],changes[[#This Row],[Name]], $E$4:changes[[#This Row],[Type of change]], "Edit")),B2284)</f>
        <v>2</v>
      </c>
      <c r="C2285" s="16">
        <v>44841</v>
      </c>
      <c r="D2285" s="1" t="s">
        <v>2867</v>
      </c>
      <c r="E2285" t="s">
        <v>15</v>
      </c>
      <c r="F2285" s="10" t="s">
        <v>9</v>
      </c>
      <c r="G2285" s="10" t="s">
        <v>1530</v>
      </c>
      <c r="H2285" s="2" t="s">
        <v>55</v>
      </c>
      <c r="I2285" s="18" t="s">
        <v>1520</v>
      </c>
      <c r="J2285" s="23"/>
      <c r="K2285" s="2" t="s">
        <v>2864</v>
      </c>
      <c r="L2285" s="2" t="s">
        <v>2868</v>
      </c>
      <c r="M2285" s="2"/>
    </row>
    <row r="2286" spans="1:13" ht="15.75">
      <c r="A2286" t="s">
        <v>11</v>
      </c>
      <c r="B2286">
        <f ca="1">IF(OR(changes[[#This Row],[Type]]="Checklist",changes[[#This Row],[Type]]="checklist-flat"),1+IF(changes[[#This Row],[Type of change]] = "Edit",COUNTIFS($I$4:changes[[#This Row],[Name]],changes[[#This Row],[Name]], $E$4:changes[[#This Row],[Type of change]], "Edit")),B2285)</f>
        <v>2</v>
      </c>
      <c r="C2286" s="16">
        <v>44841</v>
      </c>
      <c r="D2286" s="1" t="s">
        <v>2867</v>
      </c>
      <c r="E2286" t="s">
        <v>15</v>
      </c>
      <c r="F2286" s="10" t="s">
        <v>9</v>
      </c>
      <c r="G2286" s="10" t="s">
        <v>1530</v>
      </c>
      <c r="H2286" s="19" t="s">
        <v>479</v>
      </c>
      <c r="I2286" s="21" t="s">
        <v>1416</v>
      </c>
      <c r="J2286" s="22"/>
      <c r="K2286" s="2" t="s">
        <v>2864</v>
      </c>
      <c r="L2286" s="2" t="s">
        <v>2868</v>
      </c>
      <c r="M2286" s="2"/>
    </row>
    <row r="2287" spans="1:13" ht="15.75">
      <c r="A2287" t="s">
        <v>11</v>
      </c>
      <c r="B2287">
        <f ca="1">IF(OR(changes[[#This Row],[Type]]="Checklist",changes[[#This Row],[Type]]="checklist-flat"),1+IF(changes[[#This Row],[Type of change]] = "Edit",COUNTIFS($I$4:changes[[#This Row],[Name]],changes[[#This Row],[Name]], $E$4:changes[[#This Row],[Type of change]], "Edit")),B2286)</f>
        <v>2</v>
      </c>
      <c r="C2287" s="16">
        <v>44841</v>
      </c>
      <c r="D2287" s="1" t="s">
        <v>2867</v>
      </c>
      <c r="E2287" t="s">
        <v>15</v>
      </c>
      <c r="F2287" s="10" t="s">
        <v>9</v>
      </c>
      <c r="G2287" s="10" t="s">
        <v>1530</v>
      </c>
      <c r="H2287" s="19" t="s">
        <v>55</v>
      </c>
      <c r="I2287" s="21" t="s">
        <v>1523</v>
      </c>
      <c r="J2287" s="22"/>
      <c r="K2287" s="2" t="s">
        <v>2864</v>
      </c>
      <c r="L2287" s="2" t="s">
        <v>2868</v>
      </c>
      <c r="M2287" s="2"/>
    </row>
    <row r="2288" spans="1:13" ht="15.75">
      <c r="A2288" t="s">
        <v>11</v>
      </c>
      <c r="B2288">
        <f ca="1">IF(OR(changes[[#This Row],[Type]]="Checklist",changes[[#This Row],[Type]]="checklist-flat"),1+IF(changes[[#This Row],[Type of change]] = "Edit",COUNTIFS($I$4:changes[[#This Row],[Name]],changes[[#This Row],[Name]], $E$4:changes[[#This Row],[Type of change]], "Edit")),B2287)</f>
        <v>2</v>
      </c>
      <c r="C2288" s="16">
        <v>44841</v>
      </c>
      <c r="D2288" s="1" t="s">
        <v>2867</v>
      </c>
      <c r="E2288" t="s">
        <v>15</v>
      </c>
      <c r="F2288" s="10" t="s">
        <v>9</v>
      </c>
      <c r="G2288" s="10" t="s">
        <v>1530</v>
      </c>
      <c r="H2288" s="19" t="s">
        <v>55</v>
      </c>
      <c r="I2288" s="21" t="s">
        <v>93</v>
      </c>
      <c r="J2288" s="22"/>
      <c r="K2288" s="2" t="s">
        <v>2864</v>
      </c>
      <c r="L2288" s="2" t="s">
        <v>2868</v>
      </c>
      <c r="M2288" s="2"/>
    </row>
    <row r="2289" spans="1:14" ht="15.75">
      <c r="A2289" t="s">
        <v>11</v>
      </c>
      <c r="B2289">
        <f ca="1">IF(OR(changes[[#This Row],[Type]]="Checklist",changes[[#This Row],[Type]]="checklist-flat"),1+IF(changes[[#This Row],[Type of change]] = "Edit",COUNTIFS($I$4:changes[[#This Row],[Name]],changes[[#This Row],[Name]], $E$4:changes[[#This Row],[Type of change]], "Edit")),B2288)</f>
        <v>2</v>
      </c>
      <c r="C2289" s="16">
        <v>44841</v>
      </c>
      <c r="D2289" s="1" t="s">
        <v>2867</v>
      </c>
      <c r="E2289" t="s">
        <v>15</v>
      </c>
      <c r="F2289" s="10" t="s">
        <v>9</v>
      </c>
      <c r="G2289" s="10" t="s">
        <v>1530</v>
      </c>
      <c r="H2289" s="19" t="s">
        <v>64</v>
      </c>
      <c r="I2289" s="21" t="s">
        <v>94</v>
      </c>
      <c r="J2289" s="22"/>
      <c r="K2289" s="2" t="s">
        <v>2864</v>
      </c>
      <c r="L2289" s="2" t="s">
        <v>2868</v>
      </c>
      <c r="M2289" s="2"/>
    </row>
    <row r="2290" spans="1:14" ht="15.75">
      <c r="A2290" t="s">
        <v>28</v>
      </c>
      <c r="B2290">
        <f ca="1">IF(OR(changes[[#This Row],[Type]]="Checklist",changes[[#This Row],[Type]]="checklist-flat"),1+IF(changes[[#This Row],[Type of change]] = "Edit",COUNTIFS($I$4:changes[[#This Row],[Name]],changes[[#This Row],[Name]], $E$4:changes[[#This Row],[Type of change]], "Edit")),B2289)</f>
        <v>2</v>
      </c>
      <c r="C2290" s="16">
        <v>44861</v>
      </c>
      <c r="D2290" s="1" t="s">
        <v>2393</v>
      </c>
      <c r="E2290" t="s">
        <v>15</v>
      </c>
      <c r="F2290" s="10" t="s">
        <v>52</v>
      </c>
      <c r="G2290" s="21" t="s">
        <v>1585</v>
      </c>
      <c r="H2290" s="19" t="s">
        <v>478</v>
      </c>
      <c r="I2290" s="21" t="s">
        <v>1585</v>
      </c>
      <c r="J2290" s="22"/>
      <c r="K2290" s="2"/>
      <c r="M2290" s="2"/>
      <c r="N2290" t="s">
        <v>2874</v>
      </c>
    </row>
    <row r="2291" spans="1:14" ht="15.75">
      <c r="A2291" t="s">
        <v>28</v>
      </c>
      <c r="B2291">
        <f ca="1">IF(OR(changes[[#This Row],[Type]]="Checklist",changes[[#This Row],[Type]]="checklist-flat"),1+IF(changes[[#This Row],[Type of change]] = "Edit",COUNTIFS($I$4:changes[[#This Row],[Name]],changes[[#This Row],[Name]], $E$4:changes[[#This Row],[Type of change]], "Edit")),B2290)</f>
        <v>2</v>
      </c>
      <c r="C2291" s="16">
        <v>44861</v>
      </c>
      <c r="D2291" s="1" t="s">
        <v>2393</v>
      </c>
      <c r="E2291" t="s">
        <v>15</v>
      </c>
      <c r="F2291" s="10" t="s">
        <v>52</v>
      </c>
      <c r="G2291" s="21" t="s">
        <v>1585</v>
      </c>
      <c r="H2291" s="2" t="s">
        <v>479</v>
      </c>
      <c r="I2291" s="18" t="s">
        <v>1586</v>
      </c>
      <c r="J2291" s="23"/>
      <c r="K2291" s="2"/>
      <c r="M2291" s="2"/>
    </row>
    <row r="2292" spans="1:14" ht="15.75">
      <c r="A2292" t="s">
        <v>28</v>
      </c>
      <c r="B2292">
        <f ca="1">IF(OR(changes[[#This Row],[Type]]="Checklist",changes[[#This Row],[Type]]="checklist-flat"),1+IF(changes[[#This Row],[Type of change]] = "Edit",COUNTIFS($I$4:changes[[#This Row],[Name]],changes[[#This Row],[Name]], $E$4:changes[[#This Row],[Type of change]], "Edit")),B2291)</f>
        <v>2</v>
      </c>
      <c r="C2292" s="16">
        <v>44861</v>
      </c>
      <c r="D2292" s="1" t="s">
        <v>2393</v>
      </c>
      <c r="E2292" t="s">
        <v>15</v>
      </c>
      <c r="F2292" s="10" t="s">
        <v>52</v>
      </c>
      <c r="G2292" s="21" t="s">
        <v>1585</v>
      </c>
      <c r="H2292" s="2" t="s">
        <v>722</v>
      </c>
      <c r="I2292" s="18" t="s">
        <v>1586</v>
      </c>
      <c r="J2292" s="23"/>
      <c r="K2292" s="2"/>
      <c r="M2292" s="2"/>
    </row>
    <row r="2293" spans="1:14" ht="15.75">
      <c r="A2293" t="s">
        <v>28</v>
      </c>
      <c r="B2293">
        <f ca="1">IF(OR(changes[[#This Row],[Type]]="Checklist",changes[[#This Row],[Type]]="checklist-flat"),1+IF(changes[[#This Row],[Type of change]] = "Edit",COUNTIFS($I$4:changes[[#This Row],[Name]],changes[[#This Row],[Name]], $E$4:changes[[#This Row],[Type of change]], "Edit")),B2292)</f>
        <v>2</v>
      </c>
      <c r="C2293" s="16">
        <v>44861</v>
      </c>
      <c r="D2293" s="1" t="s">
        <v>2393</v>
      </c>
      <c r="E2293" t="s">
        <v>15</v>
      </c>
      <c r="F2293" s="10" t="s">
        <v>52</v>
      </c>
      <c r="G2293" s="21" t="s">
        <v>1585</v>
      </c>
      <c r="H2293" s="2" t="s">
        <v>214</v>
      </c>
      <c r="I2293" s="18" t="s">
        <v>1587</v>
      </c>
      <c r="J2293" s="23"/>
      <c r="K2293" s="2"/>
      <c r="M2293" s="2"/>
    </row>
    <row r="2294" spans="1:14" ht="15.75">
      <c r="A2294" t="s">
        <v>28</v>
      </c>
      <c r="B2294">
        <f ca="1">IF(OR(changes[[#This Row],[Type]]="Checklist",changes[[#This Row],[Type]]="checklist-flat"),1+IF(changes[[#This Row],[Type of change]] = "Edit",COUNTIFS($I$4:changes[[#This Row],[Name]],changes[[#This Row],[Name]], $E$4:changes[[#This Row],[Type of change]], "Edit")),B2293)</f>
        <v>2</v>
      </c>
      <c r="C2294" s="16">
        <v>44861</v>
      </c>
      <c r="D2294" s="1" t="s">
        <v>2393</v>
      </c>
      <c r="E2294" t="s">
        <v>15</v>
      </c>
      <c r="F2294" s="10" t="s">
        <v>52</v>
      </c>
      <c r="G2294" s="21" t="s">
        <v>1585</v>
      </c>
      <c r="H2294" s="2" t="s">
        <v>99</v>
      </c>
      <c r="I2294" s="18" t="s">
        <v>1588</v>
      </c>
      <c r="J2294" s="23"/>
      <c r="K2294" s="2"/>
      <c r="M2294" s="2"/>
    </row>
    <row r="2295" spans="1:14" ht="15.75">
      <c r="A2295" t="s">
        <v>28</v>
      </c>
      <c r="B2295">
        <f ca="1">IF(OR(changes[[#This Row],[Type]]="Checklist",changes[[#This Row],[Type]]="checklist-flat"),1+IF(changes[[#This Row],[Type of change]] = "Edit",COUNTIFS($I$4:changes[[#This Row],[Name]],changes[[#This Row],[Name]], $E$4:changes[[#This Row],[Type of change]], "Edit")),B2294)</f>
        <v>2</v>
      </c>
      <c r="C2295" s="16">
        <v>44861</v>
      </c>
      <c r="D2295" s="1" t="s">
        <v>2393</v>
      </c>
      <c r="E2295" t="s">
        <v>15</v>
      </c>
      <c r="F2295" s="10" t="s">
        <v>52</v>
      </c>
      <c r="G2295" s="21" t="s">
        <v>1585</v>
      </c>
      <c r="H2295" s="2" t="s">
        <v>99</v>
      </c>
      <c r="I2295" s="18" t="s">
        <v>1589</v>
      </c>
      <c r="J2295" s="23"/>
      <c r="K2295" s="2"/>
      <c r="M2295" s="2"/>
    </row>
    <row r="2296" spans="1:14" ht="15.75">
      <c r="A2296" t="s">
        <v>28</v>
      </c>
      <c r="B2296">
        <f ca="1">IF(OR(changes[[#This Row],[Type]]="Checklist",changes[[#This Row],[Type]]="checklist-flat"),1+IF(changes[[#This Row],[Type of change]] = "Edit",COUNTIFS($I$4:changes[[#This Row],[Name]],changes[[#This Row],[Name]], $E$4:changes[[#This Row],[Type of change]], "Edit")),B2295)</f>
        <v>2</v>
      </c>
      <c r="C2296" s="16">
        <v>44861</v>
      </c>
      <c r="D2296" s="1" t="s">
        <v>2393</v>
      </c>
      <c r="E2296" t="s">
        <v>15</v>
      </c>
      <c r="F2296" s="10" t="s">
        <v>52</v>
      </c>
      <c r="G2296" s="21" t="s">
        <v>1585</v>
      </c>
      <c r="H2296" s="2" t="s">
        <v>55</v>
      </c>
      <c r="I2296" s="18" t="s">
        <v>1590</v>
      </c>
      <c r="J2296" s="23"/>
      <c r="K2296" s="2"/>
      <c r="M2296" s="2"/>
    </row>
    <row r="2297" spans="1:14" ht="15.75">
      <c r="A2297" t="s">
        <v>28</v>
      </c>
      <c r="B2297">
        <f ca="1">IF(OR(changes[[#This Row],[Type]]="Checklist",changes[[#This Row],[Type]]="checklist-flat"),1+IF(changes[[#This Row],[Type of change]] = "Edit",COUNTIFS($I$4:changes[[#This Row],[Name]],changes[[#This Row],[Name]], $E$4:changes[[#This Row],[Type of change]], "Edit")),B2296)</f>
        <v>2</v>
      </c>
      <c r="C2297" s="16">
        <v>44861</v>
      </c>
      <c r="D2297" s="1" t="s">
        <v>2393</v>
      </c>
      <c r="E2297" t="s">
        <v>15</v>
      </c>
      <c r="F2297" s="10" t="s">
        <v>52</v>
      </c>
      <c r="G2297" s="21" t="s">
        <v>1585</v>
      </c>
      <c r="H2297" s="2" t="s">
        <v>55</v>
      </c>
      <c r="I2297" s="18" t="s">
        <v>1591</v>
      </c>
      <c r="J2297" s="23"/>
      <c r="K2297" s="2"/>
      <c r="M2297" s="2"/>
    </row>
    <row r="2298" spans="1:14" ht="15.75">
      <c r="A2298" t="s">
        <v>28</v>
      </c>
      <c r="B2298">
        <f ca="1">IF(OR(changes[[#This Row],[Type]]="Checklist",changes[[#This Row],[Type]]="checklist-flat"),1+IF(changes[[#This Row],[Type of change]] = "Edit",COUNTIFS($I$4:changes[[#This Row],[Name]],changes[[#This Row],[Name]], $E$4:changes[[#This Row],[Type of change]], "Edit")),B2297)</f>
        <v>2</v>
      </c>
      <c r="C2298" s="16">
        <v>44861</v>
      </c>
      <c r="D2298" s="1" t="s">
        <v>2393</v>
      </c>
      <c r="E2298" t="s">
        <v>15</v>
      </c>
      <c r="F2298" s="10" t="s">
        <v>52</v>
      </c>
      <c r="G2298" s="21" t="s">
        <v>1585</v>
      </c>
      <c r="H2298" s="2" t="s">
        <v>55</v>
      </c>
      <c r="I2298" s="18" t="s">
        <v>1592</v>
      </c>
      <c r="J2298" s="23"/>
      <c r="K2298" s="2"/>
      <c r="M2298" s="2"/>
    </row>
    <row r="2299" spans="1:14" ht="15.75">
      <c r="A2299" t="s">
        <v>28</v>
      </c>
      <c r="B2299">
        <f ca="1">IF(OR(changes[[#This Row],[Type]]="Checklist",changes[[#This Row],[Type]]="checklist-flat"),1+IF(changes[[#This Row],[Type of change]] = "Edit",COUNTIFS($I$4:changes[[#This Row],[Name]],changes[[#This Row],[Name]], $E$4:changes[[#This Row],[Type of change]], "Edit")),B2298)</f>
        <v>2</v>
      </c>
      <c r="C2299" s="16">
        <v>44861</v>
      </c>
      <c r="D2299" s="1" t="s">
        <v>2393</v>
      </c>
      <c r="E2299" t="s">
        <v>15</v>
      </c>
      <c r="F2299" s="10" t="s">
        <v>52</v>
      </c>
      <c r="G2299" s="21" t="s">
        <v>1585</v>
      </c>
      <c r="H2299" s="2" t="s">
        <v>55</v>
      </c>
      <c r="I2299" s="18" t="s">
        <v>1593</v>
      </c>
      <c r="J2299" s="23"/>
      <c r="K2299" s="2"/>
      <c r="M2299" s="2"/>
    </row>
    <row r="2300" spans="1:14" ht="15.75">
      <c r="A2300" t="s">
        <v>28</v>
      </c>
      <c r="B2300">
        <f ca="1">IF(OR(changes[[#This Row],[Type]]="Checklist",changes[[#This Row],[Type]]="checklist-flat"),1+IF(changes[[#This Row],[Type of change]] = "Edit",COUNTIFS($I$4:changes[[#This Row],[Name]],changes[[#This Row],[Name]], $E$4:changes[[#This Row],[Type of change]], "Edit")),B2299)</f>
        <v>2</v>
      </c>
      <c r="C2300" s="16">
        <v>44861</v>
      </c>
      <c r="D2300" s="1" t="s">
        <v>2393</v>
      </c>
      <c r="E2300" t="s">
        <v>15</v>
      </c>
      <c r="F2300" s="10" t="s">
        <v>52</v>
      </c>
      <c r="G2300" s="21" t="s">
        <v>1585</v>
      </c>
      <c r="H2300" s="2" t="s">
        <v>55</v>
      </c>
      <c r="I2300" s="18" t="s">
        <v>1594</v>
      </c>
      <c r="J2300" s="23"/>
      <c r="K2300" s="2"/>
      <c r="M2300" s="2"/>
    </row>
    <row r="2301" spans="1:14" ht="15.75">
      <c r="A2301" t="s">
        <v>28</v>
      </c>
      <c r="B2301">
        <f ca="1">IF(OR(changes[[#This Row],[Type]]="Checklist",changes[[#This Row],[Type]]="checklist-flat"),1+IF(changes[[#This Row],[Type of change]] = "Edit",COUNTIFS($I$4:changes[[#This Row],[Name]],changes[[#This Row],[Name]], $E$4:changes[[#This Row],[Type of change]], "Edit")),B2300)</f>
        <v>2</v>
      </c>
      <c r="C2301" s="16">
        <v>44861</v>
      </c>
      <c r="D2301" s="1" t="s">
        <v>2393</v>
      </c>
      <c r="E2301" t="s">
        <v>15</v>
      </c>
      <c r="F2301" s="10" t="s">
        <v>52</v>
      </c>
      <c r="G2301" s="56" t="s">
        <v>1585</v>
      </c>
      <c r="H2301" s="19" t="s">
        <v>55</v>
      </c>
      <c r="I2301" s="21" t="s">
        <v>1595</v>
      </c>
      <c r="J2301" s="22"/>
      <c r="K2301" s="2"/>
      <c r="M2301" s="2" t="s">
        <v>2799</v>
      </c>
    </row>
    <row r="2302" spans="1:14" ht="15.75">
      <c r="A2302" t="s">
        <v>28</v>
      </c>
      <c r="B2302">
        <f ca="1">IF(OR(changes[[#This Row],[Type]]="Checklist",changes[[#This Row],[Type]]="checklist-flat"),1+IF(changes[[#This Row],[Type of change]] = "Edit",COUNTIFS($I$4:changes[[#This Row],[Name]],changes[[#This Row],[Name]], $E$4:changes[[#This Row],[Type of change]], "Edit")),B2301)</f>
        <v>2</v>
      </c>
      <c r="C2302" s="16">
        <v>44861</v>
      </c>
      <c r="D2302" s="1" t="s">
        <v>2393</v>
      </c>
      <c r="E2302" t="s">
        <v>15</v>
      </c>
      <c r="F2302" s="10" t="s">
        <v>52</v>
      </c>
      <c r="G2302" s="21" t="s">
        <v>1585</v>
      </c>
      <c r="H2302" s="2" t="s">
        <v>479</v>
      </c>
      <c r="I2302" s="18" t="s">
        <v>1596</v>
      </c>
      <c r="J2302" s="23"/>
      <c r="K2302" s="2"/>
      <c r="M2302" s="2"/>
    </row>
    <row r="2303" spans="1:14" ht="15.75">
      <c r="A2303" t="s">
        <v>28</v>
      </c>
      <c r="B2303">
        <f ca="1">IF(OR(changes[[#This Row],[Type]]="Checklist",changes[[#This Row],[Type]]="checklist-flat"),1+IF(changes[[#This Row],[Type of change]] = "Edit",COUNTIFS($I$4:changes[[#This Row],[Name]],changes[[#This Row],[Name]], $E$4:changes[[#This Row],[Type of change]], "Edit")),B2302)</f>
        <v>2</v>
      </c>
      <c r="C2303" s="16">
        <v>44861</v>
      </c>
      <c r="D2303" s="1" t="s">
        <v>2393</v>
      </c>
      <c r="E2303" t="s">
        <v>15</v>
      </c>
      <c r="F2303" s="10" t="s">
        <v>52</v>
      </c>
      <c r="G2303" s="21" t="s">
        <v>1585</v>
      </c>
      <c r="H2303" s="2" t="s">
        <v>55</v>
      </c>
      <c r="I2303" s="18" t="s">
        <v>1597</v>
      </c>
      <c r="J2303" s="23"/>
      <c r="K2303" s="2"/>
      <c r="M2303" s="2"/>
    </row>
    <row r="2304" spans="1:14" ht="15.75">
      <c r="A2304" t="s">
        <v>28</v>
      </c>
      <c r="B2304">
        <f ca="1">IF(OR(changes[[#This Row],[Type]]="Checklist",changes[[#This Row],[Type]]="checklist-flat"),1+IF(changes[[#This Row],[Type of change]] = "Edit",COUNTIFS($I$4:changes[[#This Row],[Name]],changes[[#This Row],[Name]], $E$4:changes[[#This Row],[Type of change]], "Edit")),B2303)</f>
        <v>2</v>
      </c>
      <c r="C2304" s="16">
        <v>44861</v>
      </c>
      <c r="D2304" s="1" t="s">
        <v>2393</v>
      </c>
      <c r="E2304" t="s">
        <v>15</v>
      </c>
      <c r="F2304" s="10" t="s">
        <v>52</v>
      </c>
      <c r="G2304" s="21" t="s">
        <v>1585</v>
      </c>
      <c r="H2304" s="2" t="s">
        <v>55</v>
      </c>
      <c r="I2304" s="18" t="s">
        <v>1598</v>
      </c>
      <c r="J2304" s="23"/>
      <c r="K2304" s="2"/>
      <c r="M2304" s="2"/>
    </row>
    <row r="2305" spans="1:14" ht="15.75">
      <c r="A2305" t="s">
        <v>28</v>
      </c>
      <c r="B2305">
        <f ca="1">IF(OR(changes[[#This Row],[Type]]="Checklist",changes[[#This Row],[Type]]="checklist-flat"),1+IF(changes[[#This Row],[Type of change]] = "Edit",COUNTIFS($I$4:changes[[#This Row],[Name]],changes[[#This Row],[Name]], $E$4:changes[[#This Row],[Type of change]], "Edit")),B2304)</f>
        <v>2</v>
      </c>
      <c r="C2305" s="16">
        <v>44861</v>
      </c>
      <c r="D2305" s="1" t="s">
        <v>2393</v>
      </c>
      <c r="E2305" t="s">
        <v>15</v>
      </c>
      <c r="F2305" s="10" t="s">
        <v>52</v>
      </c>
      <c r="G2305" s="21" t="s">
        <v>1585</v>
      </c>
      <c r="H2305" s="2" t="s">
        <v>55</v>
      </c>
      <c r="I2305" s="18" t="s">
        <v>1599</v>
      </c>
      <c r="J2305" s="23"/>
      <c r="K2305" s="2"/>
      <c r="M2305" s="2"/>
    </row>
    <row r="2306" spans="1:14" ht="15.75">
      <c r="A2306" t="s">
        <v>28</v>
      </c>
      <c r="B2306">
        <f ca="1">IF(OR(changes[[#This Row],[Type]]="Checklist",changes[[#This Row],[Type]]="checklist-flat"),1+IF(changes[[#This Row],[Type of change]] = "Edit",COUNTIFS($I$4:changes[[#This Row],[Name]],changes[[#This Row],[Name]], $E$4:changes[[#This Row],[Type of change]], "Edit")),B2305)</f>
        <v>2</v>
      </c>
      <c r="C2306" s="16">
        <v>44861</v>
      </c>
      <c r="D2306" s="1" t="s">
        <v>2393</v>
      </c>
      <c r="E2306" t="s">
        <v>15</v>
      </c>
      <c r="F2306" s="10" t="s">
        <v>52</v>
      </c>
      <c r="G2306" s="21" t="s">
        <v>1585</v>
      </c>
      <c r="H2306" s="2" t="s">
        <v>55</v>
      </c>
      <c r="I2306" s="18" t="s">
        <v>1600</v>
      </c>
      <c r="J2306" s="23"/>
      <c r="K2306" s="2"/>
      <c r="M2306" s="2"/>
    </row>
    <row r="2307" spans="1:14" ht="15.75">
      <c r="A2307" t="s">
        <v>28</v>
      </c>
      <c r="B2307">
        <f ca="1">IF(OR(changes[[#This Row],[Type]]="Checklist",changes[[#This Row],[Type]]="checklist-flat"),1+IF(changes[[#This Row],[Type of change]] = "Edit",COUNTIFS($I$4:changes[[#This Row],[Name]],changes[[#This Row],[Name]], $E$4:changes[[#This Row],[Type of change]], "Edit")),B2306)</f>
        <v>2</v>
      </c>
      <c r="C2307" s="16">
        <v>44861</v>
      </c>
      <c r="D2307" s="1" t="s">
        <v>2393</v>
      </c>
      <c r="E2307" t="s">
        <v>15</v>
      </c>
      <c r="F2307" s="10" t="s">
        <v>52</v>
      </c>
      <c r="G2307" s="21" t="s">
        <v>1585</v>
      </c>
      <c r="H2307" s="2" t="s">
        <v>55</v>
      </c>
      <c r="I2307" s="18" t="s">
        <v>1601</v>
      </c>
      <c r="J2307" s="23"/>
      <c r="K2307" s="2"/>
      <c r="M2307" s="2"/>
    </row>
    <row r="2308" spans="1:14" ht="15.75">
      <c r="A2308" t="s">
        <v>28</v>
      </c>
      <c r="B2308">
        <f ca="1">IF(OR(changes[[#This Row],[Type]]="Checklist",changes[[#This Row],[Type]]="checklist-flat"),1+IF(changes[[#This Row],[Type of change]] = "Edit",COUNTIFS($I$4:changes[[#This Row],[Name]],changes[[#This Row],[Name]], $E$4:changes[[#This Row],[Type of change]], "Edit")),B2307)</f>
        <v>2</v>
      </c>
      <c r="C2308" s="16">
        <v>44861</v>
      </c>
      <c r="D2308" s="1" t="s">
        <v>2393</v>
      </c>
      <c r="E2308" t="s">
        <v>15</v>
      </c>
      <c r="F2308" s="10" t="s">
        <v>52</v>
      </c>
      <c r="G2308" s="21" t="s">
        <v>1585</v>
      </c>
      <c r="H2308" s="2" t="s">
        <v>55</v>
      </c>
      <c r="I2308" s="18" t="s">
        <v>1602</v>
      </c>
      <c r="J2308" s="23"/>
      <c r="K2308" s="2"/>
      <c r="M2308" s="2"/>
    </row>
    <row r="2309" spans="1:14" ht="15.75">
      <c r="A2309" t="s">
        <v>28</v>
      </c>
      <c r="B2309">
        <f ca="1">IF(OR(changes[[#This Row],[Type]]="Checklist",changes[[#This Row],[Type]]="checklist-flat"),1+IF(changes[[#This Row],[Type of change]] = "Edit",COUNTIFS($I$4:changes[[#This Row],[Name]],changes[[#This Row],[Name]], $E$4:changes[[#This Row],[Type of change]], "Edit")),B2308)</f>
        <v>2</v>
      </c>
      <c r="C2309" s="16">
        <v>44861</v>
      </c>
      <c r="D2309" s="1" t="s">
        <v>2393</v>
      </c>
      <c r="E2309" t="s">
        <v>15</v>
      </c>
      <c r="F2309" s="10" t="s">
        <v>52</v>
      </c>
      <c r="G2309" s="21" t="s">
        <v>1585</v>
      </c>
      <c r="H2309" s="2" t="s">
        <v>55</v>
      </c>
      <c r="I2309" s="18" t="s">
        <v>1603</v>
      </c>
      <c r="J2309" s="23"/>
      <c r="K2309" s="2"/>
      <c r="M2309" s="2"/>
    </row>
    <row r="2310" spans="1:14" ht="15.75">
      <c r="A2310" t="s">
        <v>28</v>
      </c>
      <c r="B2310">
        <f ca="1">IF(OR(changes[[#This Row],[Type]]="Checklist",changes[[#This Row],[Type]]="checklist-flat"),1+IF(changes[[#This Row],[Type of change]] = "Edit",COUNTIFS($I$4:changes[[#This Row],[Name]],changes[[#This Row],[Name]], $E$4:changes[[#This Row],[Type of change]], "Edit")),B2309)</f>
        <v>2</v>
      </c>
      <c r="C2310" s="16">
        <v>44861</v>
      </c>
      <c r="D2310" s="1" t="s">
        <v>2393</v>
      </c>
      <c r="E2310" t="s">
        <v>15</v>
      </c>
      <c r="F2310" s="10" t="s">
        <v>52</v>
      </c>
      <c r="G2310" s="21" t="s">
        <v>1585</v>
      </c>
      <c r="H2310" s="2" t="s">
        <v>55</v>
      </c>
      <c r="I2310" s="18" t="s">
        <v>1604</v>
      </c>
      <c r="J2310" s="23"/>
      <c r="K2310" s="2"/>
      <c r="M2310" s="2"/>
    </row>
    <row r="2311" spans="1:14" ht="15.75">
      <c r="A2311" t="s">
        <v>28</v>
      </c>
      <c r="B2311">
        <f ca="1">IF(OR(changes[[#This Row],[Type]]="Checklist",changes[[#This Row],[Type]]="checklist-flat"),1+IF(changes[[#This Row],[Type of change]] = "Edit",COUNTIFS($I$4:changes[[#This Row],[Name]],changes[[#This Row],[Name]], $E$4:changes[[#This Row],[Type of change]], "Edit")),B2310)</f>
        <v>2</v>
      </c>
      <c r="C2311" s="16">
        <v>44861</v>
      </c>
      <c r="D2311" s="1" t="s">
        <v>2393</v>
      </c>
      <c r="E2311" t="s">
        <v>15</v>
      </c>
      <c r="F2311" s="10" t="s">
        <v>52</v>
      </c>
      <c r="G2311" s="21" t="s">
        <v>1585</v>
      </c>
      <c r="H2311" s="2" t="s">
        <v>479</v>
      </c>
      <c r="I2311" s="18" t="s">
        <v>1605</v>
      </c>
      <c r="J2311" s="23"/>
      <c r="K2311" s="2"/>
      <c r="M2311" s="2"/>
    </row>
    <row r="2312" spans="1:14" ht="15.75">
      <c r="A2312" t="s">
        <v>28</v>
      </c>
      <c r="B2312">
        <f ca="1">IF(OR(changes[[#This Row],[Type]]="Checklist",changes[[#This Row],[Type]]="checklist-flat"),1+IF(changes[[#This Row],[Type of change]] = "Edit",COUNTIFS($I$4:changes[[#This Row],[Name]],changes[[#This Row],[Name]], $E$4:changes[[#This Row],[Type of change]], "Edit")),B2311)</f>
        <v>2</v>
      </c>
      <c r="C2312" s="16">
        <v>44861</v>
      </c>
      <c r="D2312" s="1" t="s">
        <v>2393</v>
      </c>
      <c r="E2312" t="s">
        <v>15</v>
      </c>
      <c r="F2312" s="10" t="s">
        <v>52</v>
      </c>
      <c r="G2312" s="21" t="s">
        <v>1585</v>
      </c>
      <c r="H2312" s="2" t="s">
        <v>722</v>
      </c>
      <c r="I2312" s="18" t="s">
        <v>1605</v>
      </c>
      <c r="J2312" s="23"/>
      <c r="K2312" s="2"/>
      <c r="M2312" s="2"/>
    </row>
    <row r="2313" spans="1:14" ht="15.75">
      <c r="A2313" t="s">
        <v>28</v>
      </c>
      <c r="B2313">
        <f ca="1">IF(OR(changes[[#This Row],[Type]]="Checklist",changes[[#This Row],[Type]]="checklist-flat"),1+IF(changes[[#This Row],[Type of change]] = "Edit",COUNTIFS($I$4:changes[[#This Row],[Name]],changes[[#This Row],[Name]], $E$4:changes[[#This Row],[Type of change]], "Edit")),B2312)</f>
        <v>2</v>
      </c>
      <c r="C2313" s="16">
        <v>44861</v>
      </c>
      <c r="D2313" s="1" t="s">
        <v>2393</v>
      </c>
      <c r="E2313" t="s">
        <v>15</v>
      </c>
      <c r="F2313" s="10" t="s">
        <v>52</v>
      </c>
      <c r="G2313" s="21" t="s">
        <v>1585</v>
      </c>
      <c r="H2313" s="2" t="s">
        <v>214</v>
      </c>
      <c r="I2313" s="18" t="s">
        <v>1606</v>
      </c>
      <c r="J2313" s="23"/>
      <c r="K2313" s="2"/>
      <c r="M2313" s="2"/>
    </row>
    <row r="2314" spans="1:14" ht="15.75">
      <c r="A2314" t="s">
        <v>28</v>
      </c>
      <c r="B2314">
        <f ca="1">IF(OR(changes[[#This Row],[Type]]="Checklist",changes[[#This Row],[Type]]="checklist-flat"),1+IF(changes[[#This Row],[Type of change]] = "Edit",COUNTIFS($I$4:changes[[#This Row],[Name]],changes[[#This Row],[Name]], $E$4:changes[[#This Row],[Type of change]], "Edit")),B2313)</f>
        <v>2</v>
      </c>
      <c r="C2314" s="16">
        <v>44861</v>
      </c>
      <c r="D2314" s="1" t="s">
        <v>2393</v>
      </c>
      <c r="E2314" t="s">
        <v>15</v>
      </c>
      <c r="F2314" s="10" t="s">
        <v>52</v>
      </c>
      <c r="G2314" s="21" t="s">
        <v>1585</v>
      </c>
      <c r="H2314" s="2" t="s">
        <v>55</v>
      </c>
      <c r="I2314" s="18" t="s">
        <v>1607</v>
      </c>
      <c r="J2314" s="23"/>
      <c r="K2314" s="2"/>
      <c r="M2314" s="2"/>
    </row>
    <row r="2315" spans="1:14" ht="15.75">
      <c r="A2315" t="s">
        <v>28</v>
      </c>
      <c r="B2315">
        <f ca="1">IF(OR(changes[[#This Row],[Type]]="Checklist",changes[[#This Row],[Type]]="checklist-flat"),1+IF(changes[[#This Row],[Type of change]] = "Edit",COUNTIFS($I$4:changes[[#This Row],[Name]],changes[[#This Row],[Name]], $E$4:changes[[#This Row],[Type of change]], "Edit")),B2314)</f>
        <v>2</v>
      </c>
      <c r="C2315" s="16">
        <v>44861</v>
      </c>
      <c r="D2315" s="1" t="s">
        <v>2393</v>
      </c>
      <c r="E2315" t="s">
        <v>15</v>
      </c>
      <c r="F2315" s="10" t="s">
        <v>52</v>
      </c>
      <c r="G2315" s="21" t="s">
        <v>1585</v>
      </c>
      <c r="H2315" s="2" t="s">
        <v>55</v>
      </c>
      <c r="I2315" s="18" t="s">
        <v>1608</v>
      </c>
      <c r="J2315" s="23"/>
      <c r="K2315" s="2"/>
      <c r="M2315" s="2"/>
    </row>
    <row r="2316" spans="1:14" ht="15.75">
      <c r="A2316" t="s">
        <v>28</v>
      </c>
      <c r="B2316">
        <f ca="1">IF(OR(changes[[#This Row],[Type]]="Checklist",changes[[#This Row],[Type]]="checklist-flat"),1+IF(changes[[#This Row],[Type of change]] = "Edit",COUNTIFS($I$4:changes[[#This Row],[Name]],changes[[#This Row],[Name]], $E$4:changes[[#This Row],[Type of change]], "Edit")),B2315)</f>
        <v>2</v>
      </c>
      <c r="C2316" s="16">
        <v>44861</v>
      </c>
      <c r="D2316" s="1" t="s">
        <v>2393</v>
      </c>
      <c r="E2316" t="s">
        <v>15</v>
      </c>
      <c r="F2316" s="10" t="s">
        <v>52</v>
      </c>
      <c r="G2316" s="21" t="s">
        <v>1585</v>
      </c>
      <c r="H2316" s="2" t="s">
        <v>55</v>
      </c>
      <c r="I2316" s="18" t="s">
        <v>1609</v>
      </c>
      <c r="J2316" s="23"/>
      <c r="K2316" s="2"/>
      <c r="M2316" s="2"/>
    </row>
    <row r="2317" spans="1:14" ht="15.75">
      <c r="A2317" t="s">
        <v>28</v>
      </c>
      <c r="B2317">
        <f ca="1">IF(OR(changes[[#This Row],[Type]]="Checklist",changes[[#This Row],[Type]]="checklist-flat"),1+IF(changes[[#This Row],[Type of change]] = "Edit",COUNTIFS($I$4:changes[[#This Row],[Name]],changes[[#This Row],[Name]], $E$4:changes[[#This Row],[Type of change]], "Edit")),B2316)</f>
        <v>2</v>
      </c>
      <c r="C2317" s="16">
        <v>44861</v>
      </c>
      <c r="D2317" s="1" t="s">
        <v>2393</v>
      </c>
      <c r="E2317" t="s">
        <v>15</v>
      </c>
      <c r="F2317" s="10" t="s">
        <v>9</v>
      </c>
      <c r="G2317" s="21" t="s">
        <v>1585</v>
      </c>
      <c r="H2317" s="2" t="s">
        <v>64</v>
      </c>
      <c r="I2317" s="18" t="s">
        <v>1610</v>
      </c>
      <c r="J2317" s="23"/>
      <c r="K2317" s="2"/>
      <c r="M2317" s="2"/>
    </row>
    <row r="2318" spans="1:14" ht="15.75">
      <c r="A2318" t="s">
        <v>28</v>
      </c>
      <c r="B2318">
        <f ca="1">IF(OR(changes[[#This Row],[Type]]="Checklist",changes[[#This Row],[Type]]="checklist-flat"),1+IF(changes[[#This Row],[Type of change]] = "Edit",COUNTIFS($I$4:changes[[#This Row],[Name]],changes[[#This Row],[Name]], $E$4:changes[[#This Row],[Type of change]], "Edit")),B2317)</f>
        <v>1</v>
      </c>
      <c r="C2318" s="16">
        <v>44861</v>
      </c>
      <c r="D2318" s="1" t="s">
        <v>2393</v>
      </c>
      <c r="E2318" t="s">
        <v>27</v>
      </c>
      <c r="F2318" s="10" t="s">
        <v>9</v>
      </c>
      <c r="G2318" s="21" t="s">
        <v>2875</v>
      </c>
      <c r="H2318" s="19" t="s">
        <v>47</v>
      </c>
      <c r="I2318" s="21" t="s">
        <v>2875</v>
      </c>
      <c r="J2318" s="22"/>
      <c r="K2318" s="2" t="s">
        <v>31</v>
      </c>
      <c r="L2318" t="s">
        <v>2876</v>
      </c>
      <c r="M2318" s="2"/>
      <c r="N2318" t="s">
        <v>2877</v>
      </c>
    </row>
    <row r="2319" spans="1:14" ht="15.75">
      <c r="A2319" t="s">
        <v>28</v>
      </c>
      <c r="B2319">
        <f ca="1">IF(OR(changes[[#This Row],[Type]]="Checklist",changes[[#This Row],[Type]]="checklist-flat"),1+IF(changes[[#This Row],[Type of change]] = "Edit",COUNTIFS($I$4:changes[[#This Row],[Name]],changes[[#This Row],[Name]], $E$4:changes[[#This Row],[Type of change]], "Edit")),B2318)</f>
        <v>1</v>
      </c>
      <c r="C2319" s="16">
        <v>44861</v>
      </c>
      <c r="D2319" s="1" t="s">
        <v>2393</v>
      </c>
      <c r="E2319" t="s">
        <v>27</v>
      </c>
      <c r="F2319" s="10" t="s">
        <v>9</v>
      </c>
      <c r="G2319" s="21" t="s">
        <v>2875</v>
      </c>
      <c r="H2319" s="2" t="s">
        <v>269</v>
      </c>
      <c r="I2319" s="18" t="s">
        <v>2878</v>
      </c>
      <c r="J2319" s="23"/>
      <c r="K2319" s="2" t="s">
        <v>31</v>
      </c>
      <c r="L2319" t="s">
        <v>2876</v>
      </c>
      <c r="M2319" s="2"/>
      <c r="N2319" t="s">
        <v>2879</v>
      </c>
    </row>
    <row r="2320" spans="1:14" ht="15.75">
      <c r="A2320" t="s">
        <v>28</v>
      </c>
      <c r="B2320">
        <f ca="1">IF(OR(changes[[#This Row],[Type]]="Checklist",changes[[#This Row],[Type]]="checklist-flat"),1+IF(changes[[#This Row],[Type of change]] = "Edit",COUNTIFS($I$4:changes[[#This Row],[Name]],changes[[#This Row],[Name]], $E$4:changes[[#This Row],[Type of change]], "Edit")),B2319)</f>
        <v>1</v>
      </c>
      <c r="C2320" s="16">
        <v>44861</v>
      </c>
      <c r="D2320" s="1" t="s">
        <v>2393</v>
      </c>
      <c r="E2320" t="s">
        <v>27</v>
      </c>
      <c r="F2320" s="10" t="s">
        <v>9</v>
      </c>
      <c r="G2320" s="21" t="s">
        <v>2875</v>
      </c>
      <c r="H2320" s="2" t="s">
        <v>214</v>
      </c>
      <c r="I2320" s="18" t="s">
        <v>2880</v>
      </c>
      <c r="J2320" s="23"/>
      <c r="K2320" s="2" t="s">
        <v>31</v>
      </c>
      <c r="L2320" t="s">
        <v>2876</v>
      </c>
      <c r="M2320" s="2"/>
      <c r="N2320" t="s">
        <v>2879</v>
      </c>
    </row>
    <row r="2321" spans="1:14" ht="15.75">
      <c r="A2321" t="s">
        <v>28</v>
      </c>
      <c r="B2321">
        <f ca="1">IF(OR(changes[[#This Row],[Type]]="Checklist",changes[[#This Row],[Type]]="checklist-flat"),1+IF(changes[[#This Row],[Type of change]] = "Edit",COUNTIFS($I$4:changes[[#This Row],[Name]],changes[[#This Row],[Name]], $E$4:changes[[#This Row],[Type of change]], "Edit")),B2320)</f>
        <v>1</v>
      </c>
      <c r="C2321" s="16">
        <v>44861</v>
      </c>
      <c r="D2321" s="1" t="s">
        <v>2393</v>
      </c>
      <c r="E2321" t="s">
        <v>27</v>
      </c>
      <c r="F2321" s="10" t="s">
        <v>9</v>
      </c>
      <c r="G2321" s="21" t="s">
        <v>2875</v>
      </c>
      <c r="H2321" s="2" t="s">
        <v>269</v>
      </c>
      <c r="I2321" s="18" t="s">
        <v>2881</v>
      </c>
      <c r="J2321" s="23"/>
      <c r="K2321" s="2" t="s">
        <v>31</v>
      </c>
      <c r="L2321" t="s">
        <v>2876</v>
      </c>
      <c r="M2321" s="2"/>
      <c r="N2321" t="s">
        <v>2879</v>
      </c>
    </row>
    <row r="2322" spans="1:14" ht="15.75">
      <c r="A2322" t="s">
        <v>28</v>
      </c>
      <c r="B2322">
        <f ca="1">IF(OR(changes[[#This Row],[Type]]="Checklist",changes[[#This Row],[Type]]="checklist-flat"),1+IF(changes[[#This Row],[Type of change]] = "Edit",COUNTIFS($I$4:changes[[#This Row],[Name]],changes[[#This Row],[Name]], $E$4:changes[[#This Row],[Type of change]], "Edit")),B2321)</f>
        <v>1</v>
      </c>
      <c r="C2322" s="16">
        <v>44861</v>
      </c>
      <c r="D2322" s="1" t="s">
        <v>2393</v>
      </c>
      <c r="E2322" t="s">
        <v>27</v>
      </c>
      <c r="F2322" s="10" t="s">
        <v>9</v>
      </c>
      <c r="G2322" s="21" t="s">
        <v>2875</v>
      </c>
      <c r="H2322" s="2" t="s">
        <v>269</v>
      </c>
      <c r="I2322" s="18" t="s">
        <v>2882</v>
      </c>
      <c r="J2322" s="23"/>
      <c r="K2322" s="2" t="s">
        <v>31</v>
      </c>
      <c r="L2322" t="s">
        <v>2876</v>
      </c>
      <c r="M2322" s="2"/>
      <c r="N2322" t="s">
        <v>2879</v>
      </c>
    </row>
    <row r="2323" spans="1:14" ht="15.75">
      <c r="A2323" t="s">
        <v>28</v>
      </c>
      <c r="B2323">
        <f ca="1">IF(OR(changes[[#This Row],[Type]]="Checklist",changes[[#This Row],[Type]]="checklist-flat"),1+IF(changes[[#This Row],[Type of change]] = "Edit",COUNTIFS($I$4:changes[[#This Row],[Name]],changes[[#This Row],[Name]], $E$4:changes[[#This Row],[Type of change]], "Edit")),B2322)</f>
        <v>1</v>
      </c>
      <c r="C2323" s="16">
        <v>44861</v>
      </c>
      <c r="D2323" s="1" t="s">
        <v>2393</v>
      </c>
      <c r="E2323" t="s">
        <v>27</v>
      </c>
      <c r="F2323" s="10" t="s">
        <v>9</v>
      </c>
      <c r="G2323" s="21" t="s">
        <v>2875</v>
      </c>
      <c r="H2323" s="2" t="s">
        <v>1047</v>
      </c>
      <c r="I2323" s="18" t="s">
        <v>2883</v>
      </c>
      <c r="J2323" s="23"/>
      <c r="K2323" s="2" t="s">
        <v>31</v>
      </c>
      <c r="L2323" t="s">
        <v>2876</v>
      </c>
      <c r="M2323" s="2"/>
      <c r="N2323" t="s">
        <v>2879</v>
      </c>
    </row>
    <row r="2324" spans="1:14" ht="15.75">
      <c r="A2324" t="s">
        <v>28</v>
      </c>
      <c r="B2324">
        <f ca="1">IF(OR(changes[[#This Row],[Type]]="Checklist",changes[[#This Row],[Type]]="checklist-flat"),1+IF(changes[[#This Row],[Type of change]] = "Edit",COUNTIFS($I$4:changes[[#This Row],[Name]],changes[[#This Row],[Name]], $E$4:changes[[#This Row],[Type of change]], "Edit")),B2323)</f>
        <v>1</v>
      </c>
      <c r="C2324" s="16">
        <v>44861</v>
      </c>
      <c r="D2324" s="1" t="s">
        <v>2393</v>
      </c>
      <c r="E2324" t="s">
        <v>27</v>
      </c>
      <c r="F2324" s="10" t="s">
        <v>9</v>
      </c>
      <c r="G2324" s="21" t="s">
        <v>2875</v>
      </c>
      <c r="H2324" s="2" t="s">
        <v>64</v>
      </c>
      <c r="I2324" s="18" t="s">
        <v>2884</v>
      </c>
      <c r="J2324" s="23"/>
      <c r="K2324" s="2" t="s">
        <v>31</v>
      </c>
      <c r="L2324" t="s">
        <v>2876</v>
      </c>
      <c r="M2324" s="2"/>
      <c r="N2324" t="s">
        <v>2879</v>
      </c>
    </row>
    <row r="2325" spans="1:14" ht="15.75">
      <c r="A2325" t="s">
        <v>20</v>
      </c>
      <c r="B2325">
        <f ca="1">IF(OR(changes[[#This Row],[Type]]="Checklist",changes[[#This Row],[Type]]="checklist-flat"),1+IF(changes[[#This Row],[Type of change]] = "Edit",COUNTIFS($I$4:changes[[#This Row],[Name]],changes[[#This Row],[Name]], $E$4:changes[[#This Row],[Type of change]], "Edit")),B2324)</f>
        <v>1</v>
      </c>
      <c r="C2325" s="16">
        <v>44867</v>
      </c>
      <c r="D2325" s="1" t="s">
        <v>2885</v>
      </c>
      <c r="E2325" t="s">
        <v>27</v>
      </c>
      <c r="F2325" s="10" t="s">
        <v>9</v>
      </c>
      <c r="G2325" s="21" t="s">
        <v>2886</v>
      </c>
      <c r="H2325" s="19" t="s">
        <v>1950</v>
      </c>
      <c r="I2325" s="21" t="s">
        <v>2886</v>
      </c>
      <c r="J2325" s="22"/>
      <c r="K2325" s="2" t="s">
        <v>6</v>
      </c>
      <c r="L2325" t="s">
        <v>2887</v>
      </c>
      <c r="M2325" s="2"/>
      <c r="N2325" t="s">
        <v>2888</v>
      </c>
    </row>
    <row r="2326" spans="1:14" ht="15.75">
      <c r="A2326" t="s">
        <v>20</v>
      </c>
      <c r="B2326">
        <f ca="1">IF(OR(changes[[#This Row],[Type]]="Checklist",changes[[#This Row],[Type]]="checklist-flat"),1+IF(changes[[#This Row],[Type of change]] = "Edit",COUNTIFS($I$4:changes[[#This Row],[Name]],changes[[#This Row],[Name]], $E$4:changes[[#This Row],[Type of change]], "Edit")),B2325)</f>
        <v>1</v>
      </c>
      <c r="C2326" s="16">
        <v>44867</v>
      </c>
      <c r="D2326" s="1" t="s">
        <v>2885</v>
      </c>
      <c r="E2326" t="s">
        <v>27</v>
      </c>
      <c r="F2326" s="10" t="s">
        <v>9</v>
      </c>
      <c r="G2326" s="21" t="s">
        <v>2886</v>
      </c>
      <c r="H2326" s="2" t="s">
        <v>55</v>
      </c>
      <c r="I2326" s="57" t="s">
        <v>2889</v>
      </c>
      <c r="J2326" s="23"/>
      <c r="K2326" s="2" t="s">
        <v>6</v>
      </c>
      <c r="L2326" t="s">
        <v>2887</v>
      </c>
      <c r="M2326" s="2"/>
    </row>
    <row r="2327" spans="1:14" ht="15.75">
      <c r="A2327" t="s">
        <v>20</v>
      </c>
      <c r="B2327">
        <f ca="1">IF(OR(changes[[#This Row],[Type]]="Checklist",changes[[#This Row],[Type]]="checklist-flat"),1+IF(changes[[#This Row],[Type of change]] = "Edit",COUNTIFS($I$4:changes[[#This Row],[Name]],changes[[#This Row],[Name]], $E$4:changes[[#This Row],[Type of change]], "Edit")),B2326)</f>
        <v>1</v>
      </c>
      <c r="C2327" s="16">
        <v>44867</v>
      </c>
      <c r="D2327" s="1" t="s">
        <v>2885</v>
      </c>
      <c r="E2327" t="s">
        <v>27</v>
      </c>
      <c r="F2327" s="10" t="s">
        <v>9</v>
      </c>
      <c r="G2327" s="21" t="s">
        <v>2886</v>
      </c>
      <c r="H2327" s="2" t="s">
        <v>55</v>
      </c>
      <c r="I2327" s="57" t="s">
        <v>2890</v>
      </c>
      <c r="J2327" s="23"/>
      <c r="K2327" s="2" t="s">
        <v>6</v>
      </c>
      <c r="L2327" t="s">
        <v>2887</v>
      </c>
      <c r="M2327" s="2"/>
    </row>
    <row r="2328" spans="1:14" ht="15.75">
      <c r="A2328" t="s">
        <v>20</v>
      </c>
      <c r="B2328">
        <f ca="1">IF(OR(changes[[#This Row],[Type]]="Checklist",changes[[#This Row],[Type]]="checklist-flat"),1+IF(changes[[#This Row],[Type of change]] = "Edit",COUNTIFS($I$4:changes[[#This Row],[Name]],changes[[#This Row],[Name]], $E$4:changes[[#This Row],[Type of change]], "Edit")),B2327)</f>
        <v>1</v>
      </c>
      <c r="C2328" s="16">
        <v>44867</v>
      </c>
      <c r="D2328" s="1" t="s">
        <v>2885</v>
      </c>
      <c r="E2328" t="s">
        <v>27</v>
      </c>
      <c r="F2328" s="10" t="s">
        <v>9</v>
      </c>
      <c r="G2328" s="21" t="s">
        <v>2886</v>
      </c>
      <c r="H2328" s="2" t="s">
        <v>55</v>
      </c>
      <c r="I2328" s="57" t="s">
        <v>2891</v>
      </c>
      <c r="J2328" s="23"/>
      <c r="K2328" s="2" t="s">
        <v>6</v>
      </c>
      <c r="L2328" t="s">
        <v>2887</v>
      </c>
      <c r="M2328" s="2"/>
    </row>
    <row r="2329" spans="1:14" ht="15.75">
      <c r="A2329" t="s">
        <v>20</v>
      </c>
      <c r="B2329">
        <f ca="1">IF(OR(changes[[#This Row],[Type]]="Checklist",changes[[#This Row],[Type]]="checklist-flat"),1+IF(changes[[#This Row],[Type of change]] = "Edit",COUNTIFS($I$4:changes[[#This Row],[Name]],changes[[#This Row],[Name]], $E$4:changes[[#This Row],[Type of change]], "Edit")),B2328)</f>
        <v>1</v>
      </c>
      <c r="C2329" s="16">
        <v>44867</v>
      </c>
      <c r="D2329" s="1" t="s">
        <v>2885</v>
      </c>
      <c r="E2329" t="s">
        <v>27</v>
      </c>
      <c r="F2329" s="10" t="s">
        <v>9</v>
      </c>
      <c r="G2329" s="21" t="s">
        <v>2886</v>
      </c>
      <c r="H2329" s="2" t="s">
        <v>55</v>
      </c>
      <c r="I2329" s="57" t="s">
        <v>2892</v>
      </c>
      <c r="J2329" s="23"/>
      <c r="K2329" s="2" t="s">
        <v>6</v>
      </c>
      <c r="L2329" t="s">
        <v>2887</v>
      </c>
      <c r="M2329" s="2"/>
    </row>
    <row r="2330" spans="1:14" ht="15.75">
      <c r="A2330" t="s">
        <v>20</v>
      </c>
      <c r="B2330">
        <f ca="1">IF(OR(changes[[#This Row],[Type]]="Checklist",changes[[#This Row],[Type]]="checklist-flat"),1+IF(changes[[#This Row],[Type of change]] = "Edit",COUNTIFS($I$4:changes[[#This Row],[Name]],changes[[#This Row],[Name]], $E$4:changes[[#This Row],[Type of change]], "Edit")),B2329)</f>
        <v>1</v>
      </c>
      <c r="C2330" s="16">
        <v>44867</v>
      </c>
      <c r="D2330" s="1" t="s">
        <v>2885</v>
      </c>
      <c r="E2330" t="s">
        <v>27</v>
      </c>
      <c r="F2330" s="10" t="s">
        <v>9</v>
      </c>
      <c r="G2330" s="21" t="s">
        <v>2886</v>
      </c>
      <c r="H2330" s="2" t="s">
        <v>55</v>
      </c>
      <c r="I2330" s="57" t="s">
        <v>2893</v>
      </c>
      <c r="J2330" s="23"/>
      <c r="K2330" s="2" t="s">
        <v>6</v>
      </c>
      <c r="L2330" t="s">
        <v>2887</v>
      </c>
      <c r="M2330" s="2"/>
    </row>
    <row r="2331" spans="1:14" ht="15.75">
      <c r="A2331" t="s">
        <v>20</v>
      </c>
      <c r="B2331">
        <f ca="1">IF(OR(changes[[#This Row],[Type]]="Checklist",changes[[#This Row],[Type]]="checklist-flat"),1+IF(changes[[#This Row],[Type of change]] = "Edit",COUNTIFS($I$4:changes[[#This Row],[Name]],changes[[#This Row],[Name]], $E$4:changes[[#This Row],[Type of change]], "Edit")),B2330)</f>
        <v>1</v>
      </c>
      <c r="C2331" s="16">
        <v>44867</v>
      </c>
      <c r="D2331" s="1" t="s">
        <v>2885</v>
      </c>
      <c r="E2331" t="s">
        <v>27</v>
      </c>
      <c r="F2331" s="10" t="s">
        <v>9</v>
      </c>
      <c r="G2331" s="21" t="s">
        <v>2886</v>
      </c>
      <c r="H2331" s="2" t="s">
        <v>55</v>
      </c>
      <c r="I2331" s="57" t="s">
        <v>2894</v>
      </c>
      <c r="J2331" s="23"/>
      <c r="K2331" s="2" t="s">
        <v>6</v>
      </c>
      <c r="L2331" t="s">
        <v>2887</v>
      </c>
      <c r="M2331" s="2"/>
    </row>
    <row r="2332" spans="1:14" ht="15.75">
      <c r="A2332" t="s">
        <v>20</v>
      </c>
      <c r="B2332">
        <f ca="1">IF(OR(changes[[#This Row],[Type]]="Checklist",changes[[#This Row],[Type]]="checklist-flat"),1+IF(changes[[#This Row],[Type of change]] = "Edit",COUNTIFS($I$4:changes[[#This Row],[Name]],changes[[#This Row],[Name]], $E$4:changes[[#This Row],[Type of change]], "Edit")),B2331)</f>
        <v>1</v>
      </c>
      <c r="C2332" s="16">
        <v>44867</v>
      </c>
      <c r="D2332" s="1" t="s">
        <v>2885</v>
      </c>
      <c r="E2332" t="s">
        <v>27</v>
      </c>
      <c r="F2332" s="10" t="s">
        <v>9</v>
      </c>
      <c r="G2332" s="21" t="s">
        <v>2886</v>
      </c>
      <c r="H2332" s="2" t="s">
        <v>55</v>
      </c>
      <c r="I2332" s="57" t="s">
        <v>2895</v>
      </c>
      <c r="J2332" s="23"/>
      <c r="K2332" s="2" t="s">
        <v>6</v>
      </c>
      <c r="L2332" t="s">
        <v>2887</v>
      </c>
      <c r="M2332" s="2"/>
    </row>
    <row r="2333" spans="1:14" ht="15.75">
      <c r="A2333" t="s">
        <v>20</v>
      </c>
      <c r="B2333">
        <f ca="1">IF(OR(changes[[#This Row],[Type]]="Checklist",changes[[#This Row],[Type]]="checklist-flat"),1+IF(changes[[#This Row],[Type of change]] = "Edit",COUNTIFS($I$4:changes[[#This Row],[Name]],changes[[#This Row],[Name]], $E$4:changes[[#This Row],[Type of change]], "Edit")),B2332)</f>
        <v>1</v>
      </c>
      <c r="C2333" s="16">
        <v>44867</v>
      </c>
      <c r="D2333" s="1" t="s">
        <v>2885</v>
      </c>
      <c r="E2333" t="s">
        <v>27</v>
      </c>
      <c r="F2333" s="10" t="s">
        <v>9</v>
      </c>
      <c r="G2333" s="21" t="s">
        <v>2886</v>
      </c>
      <c r="H2333" s="2" t="s">
        <v>55</v>
      </c>
      <c r="I2333" s="57" t="s">
        <v>2896</v>
      </c>
      <c r="J2333" s="23"/>
      <c r="K2333" s="2" t="s">
        <v>6</v>
      </c>
      <c r="L2333" t="s">
        <v>2887</v>
      </c>
      <c r="M2333" s="2"/>
    </row>
    <row r="2334" spans="1:14" ht="15.75">
      <c r="A2334" t="s">
        <v>20</v>
      </c>
      <c r="B2334">
        <f ca="1">IF(OR(changes[[#This Row],[Type]]="Checklist",changes[[#This Row],[Type]]="checklist-flat"),1+IF(changes[[#This Row],[Type of change]] = "Edit",COUNTIFS($I$4:changes[[#This Row],[Name]],changes[[#This Row],[Name]], $E$4:changes[[#This Row],[Type of change]], "Edit")),B2333)</f>
        <v>1</v>
      </c>
      <c r="C2334" s="16">
        <v>44867</v>
      </c>
      <c r="D2334" s="1" t="s">
        <v>2885</v>
      </c>
      <c r="E2334" t="s">
        <v>27</v>
      </c>
      <c r="F2334" s="10" t="s">
        <v>9</v>
      </c>
      <c r="G2334" s="21" t="s">
        <v>2886</v>
      </c>
      <c r="H2334" s="2" t="s">
        <v>55</v>
      </c>
      <c r="I2334" s="57" t="s">
        <v>2897</v>
      </c>
      <c r="J2334" s="23"/>
      <c r="K2334" s="2" t="s">
        <v>6</v>
      </c>
      <c r="L2334" t="s">
        <v>2887</v>
      </c>
      <c r="M2334" s="2"/>
    </row>
    <row r="2335" spans="1:14" ht="15.75">
      <c r="A2335" t="s">
        <v>20</v>
      </c>
      <c r="B2335">
        <f ca="1">IF(OR(changes[[#This Row],[Type]]="Checklist",changes[[#This Row],[Type]]="checklist-flat"),1+IF(changes[[#This Row],[Type of change]] = "Edit",COUNTIFS($I$4:changes[[#This Row],[Name]],changes[[#This Row],[Name]], $E$4:changes[[#This Row],[Type of change]], "Edit")),B2334)</f>
        <v>1</v>
      </c>
      <c r="C2335" s="16">
        <v>44867</v>
      </c>
      <c r="D2335" s="1" t="s">
        <v>2885</v>
      </c>
      <c r="E2335" t="s">
        <v>27</v>
      </c>
      <c r="F2335" s="10" t="s">
        <v>9</v>
      </c>
      <c r="G2335" s="21" t="s">
        <v>2886</v>
      </c>
      <c r="H2335" s="2" t="s">
        <v>55</v>
      </c>
      <c r="I2335" s="21" t="s">
        <v>2898</v>
      </c>
      <c r="J2335" s="22"/>
      <c r="K2335" s="2" t="s">
        <v>6</v>
      </c>
      <c r="L2335" t="s">
        <v>2887</v>
      </c>
      <c r="M2335" s="2"/>
    </row>
    <row r="2336" spans="1:14" ht="15.75">
      <c r="A2336" t="s">
        <v>20</v>
      </c>
      <c r="B2336">
        <f ca="1">IF(OR(changes[[#This Row],[Type]]="Checklist",changes[[#This Row],[Type]]="checklist-flat"),1+IF(changes[[#This Row],[Type of change]] = "Edit",COUNTIFS($I$4:changes[[#This Row],[Name]],changes[[#This Row],[Name]], $E$4:changes[[#This Row],[Type of change]], "Edit")),B2335)</f>
        <v>1</v>
      </c>
      <c r="C2336" s="16">
        <v>44867</v>
      </c>
      <c r="D2336" s="1" t="s">
        <v>2885</v>
      </c>
      <c r="E2336" t="s">
        <v>27</v>
      </c>
      <c r="F2336" s="10" t="s">
        <v>9</v>
      </c>
      <c r="G2336" s="21" t="s">
        <v>2886</v>
      </c>
      <c r="H2336" s="2" t="s">
        <v>55</v>
      </c>
      <c r="I2336" s="21" t="s">
        <v>2899</v>
      </c>
      <c r="J2336" s="22"/>
      <c r="K2336" s="2" t="s">
        <v>6</v>
      </c>
      <c r="L2336" t="s">
        <v>2887</v>
      </c>
      <c r="M2336" s="2"/>
    </row>
    <row r="2337" spans="1:13" ht="15.75">
      <c r="A2337" t="s">
        <v>20</v>
      </c>
      <c r="B2337">
        <f ca="1">IF(OR(changes[[#This Row],[Type]]="Checklist",changes[[#This Row],[Type]]="checklist-flat"),1+IF(changes[[#This Row],[Type of change]] = "Edit",COUNTIFS($I$4:changes[[#This Row],[Name]],changes[[#This Row],[Name]], $E$4:changes[[#This Row],[Type of change]], "Edit")),B2336)</f>
        <v>1</v>
      </c>
      <c r="C2337" s="16">
        <v>44867</v>
      </c>
      <c r="D2337" s="1" t="s">
        <v>2885</v>
      </c>
      <c r="E2337" t="s">
        <v>27</v>
      </c>
      <c r="F2337" s="10" t="s">
        <v>9</v>
      </c>
      <c r="G2337" s="21" t="s">
        <v>2886</v>
      </c>
      <c r="H2337" s="2" t="s">
        <v>55</v>
      </c>
      <c r="I2337" s="57" t="s">
        <v>2900</v>
      </c>
      <c r="J2337" s="23"/>
      <c r="K2337" s="2" t="s">
        <v>6</v>
      </c>
      <c r="L2337" t="s">
        <v>2887</v>
      </c>
      <c r="M2337" s="2"/>
    </row>
    <row r="2338" spans="1:13" ht="15.75">
      <c r="A2338" t="s">
        <v>20</v>
      </c>
      <c r="B2338">
        <f ca="1">IF(OR(changes[[#This Row],[Type]]="Checklist",changes[[#This Row],[Type]]="checklist-flat"),1+IF(changes[[#This Row],[Type of change]] = "Edit",COUNTIFS($I$4:changes[[#This Row],[Name]],changes[[#This Row],[Name]], $E$4:changes[[#This Row],[Type of change]], "Edit")),B2337)</f>
        <v>1</v>
      </c>
      <c r="C2338" s="16">
        <v>44867</v>
      </c>
      <c r="D2338" s="1" t="s">
        <v>2885</v>
      </c>
      <c r="E2338" t="s">
        <v>27</v>
      </c>
      <c r="F2338" s="10" t="s">
        <v>9</v>
      </c>
      <c r="G2338" s="21" t="s">
        <v>2886</v>
      </c>
      <c r="H2338" s="2" t="s">
        <v>55</v>
      </c>
      <c r="I2338" s="57" t="s">
        <v>2901</v>
      </c>
      <c r="J2338" s="23"/>
      <c r="K2338" s="2" t="s">
        <v>6</v>
      </c>
      <c r="L2338" t="s">
        <v>2887</v>
      </c>
      <c r="M2338" s="2"/>
    </row>
    <row r="2339" spans="1:13" ht="15.75">
      <c r="A2339" t="s">
        <v>20</v>
      </c>
      <c r="B2339">
        <f ca="1">IF(OR(changes[[#This Row],[Type]]="Checklist",changes[[#This Row],[Type]]="checklist-flat"),1+IF(changes[[#This Row],[Type of change]] = "Edit",COUNTIFS($I$4:changes[[#This Row],[Name]],changes[[#This Row],[Name]], $E$4:changes[[#This Row],[Type of change]], "Edit")),B2338)</f>
        <v>1</v>
      </c>
      <c r="C2339" s="16">
        <v>44867</v>
      </c>
      <c r="D2339" s="1" t="s">
        <v>2885</v>
      </c>
      <c r="E2339" t="s">
        <v>27</v>
      </c>
      <c r="F2339" s="10" t="s">
        <v>9</v>
      </c>
      <c r="G2339" s="21" t="s">
        <v>2886</v>
      </c>
      <c r="H2339" s="19" t="s">
        <v>55</v>
      </c>
      <c r="I2339" s="21" t="s">
        <v>1609</v>
      </c>
      <c r="J2339" s="22"/>
      <c r="K2339" s="2" t="s">
        <v>6</v>
      </c>
      <c r="L2339" t="s">
        <v>2887</v>
      </c>
      <c r="M2339" s="2"/>
    </row>
    <row r="2340" spans="1:13" ht="15.75">
      <c r="A2340" t="s">
        <v>20</v>
      </c>
      <c r="B2340">
        <f ca="1">IF(OR(changes[[#This Row],[Type]]="Checklist",changes[[#This Row],[Type]]="checklist-flat"),1+IF(changes[[#This Row],[Type of change]] = "Edit",COUNTIFS($I$4:changes[[#This Row],[Name]],changes[[#This Row],[Name]], $E$4:changes[[#This Row],[Type of change]], "Edit")),B2339)</f>
        <v>1</v>
      </c>
      <c r="C2340" s="16">
        <v>44867</v>
      </c>
      <c r="D2340" s="1" t="s">
        <v>2885</v>
      </c>
      <c r="E2340" t="s">
        <v>27</v>
      </c>
      <c r="F2340" s="10" t="s">
        <v>9</v>
      </c>
      <c r="G2340" s="21" t="s">
        <v>2886</v>
      </c>
      <c r="H2340" s="2" t="s">
        <v>64</v>
      </c>
      <c r="I2340" s="18" t="s">
        <v>1610</v>
      </c>
      <c r="J2340" s="23"/>
      <c r="K2340" s="2" t="s">
        <v>6</v>
      </c>
      <c r="L2340" t="s">
        <v>2887</v>
      </c>
      <c r="M2340" s="2"/>
    </row>
    <row r="2341" spans="1:13">
      <c r="A2341" t="s">
        <v>28</v>
      </c>
      <c r="B2341">
        <f ca="1">IF(OR(changes[[#This Row],[Type]]="Checklist",changes[[#This Row],[Type]]="checklist-flat"),1+IF(changes[[#This Row],[Type of change]] = "Edit",COUNTIFS($I$4:changes[[#This Row],[Name]],changes[[#This Row],[Name]], $E$4:changes[[#This Row],[Type of change]], "Edit")),B2340)</f>
        <v>1</v>
      </c>
      <c r="C2341" s="16">
        <v>44873</v>
      </c>
      <c r="D2341" s="1" t="s">
        <v>2863</v>
      </c>
      <c r="E2341" t="s">
        <v>27</v>
      </c>
      <c r="F2341" s="10" t="s">
        <v>52</v>
      </c>
      <c r="G2341" s="10" t="s">
        <v>1243</v>
      </c>
      <c r="H2341" s="10" t="s">
        <v>54</v>
      </c>
      <c r="I2341" s="10" t="s">
        <v>1243</v>
      </c>
      <c r="J2341" s="23"/>
      <c r="K2341" s="2" t="s">
        <v>6</v>
      </c>
      <c r="M2341" s="2"/>
    </row>
    <row r="2342" spans="1:13" ht="15.75">
      <c r="A2342" t="s">
        <v>28</v>
      </c>
      <c r="B2342">
        <f ca="1">IF(OR(changes[[#This Row],[Type]]="Checklist",changes[[#This Row],[Type]]="checklist-flat"),1+IF(changes[[#This Row],[Type of change]] = "Edit",COUNTIFS($I$4:changes[[#This Row],[Name]],changes[[#This Row],[Name]], $E$4:changes[[#This Row],[Type of change]], "Edit")),B2341)</f>
        <v>1</v>
      </c>
      <c r="C2342" s="16">
        <v>44873</v>
      </c>
      <c r="D2342" s="1" t="s">
        <v>2863</v>
      </c>
      <c r="E2342" t="s">
        <v>27</v>
      </c>
      <c r="F2342" s="10" t="s">
        <v>52</v>
      </c>
      <c r="G2342" s="18" t="s">
        <v>1243</v>
      </c>
      <c r="H2342" t="s">
        <v>55</v>
      </c>
      <c r="I2342" t="s">
        <v>62</v>
      </c>
      <c r="J2342" s="22"/>
      <c r="K2342" s="2" t="s">
        <v>6</v>
      </c>
      <c r="M2342" s="2"/>
    </row>
    <row r="2343" spans="1:13" ht="15.75">
      <c r="A2343" t="s">
        <v>28</v>
      </c>
      <c r="B2343">
        <f ca="1">IF(OR(changes[[#This Row],[Type]]="Checklist",changes[[#This Row],[Type]]="checklist-flat"),1+IF(changes[[#This Row],[Type of change]] = "Edit",COUNTIFS($I$4:changes[[#This Row],[Name]],changes[[#This Row],[Name]], $E$4:changes[[#This Row],[Type of change]], "Edit")),B2342)</f>
        <v>1</v>
      </c>
      <c r="C2343" s="16">
        <v>44873</v>
      </c>
      <c r="D2343" s="1" t="s">
        <v>2863</v>
      </c>
      <c r="E2343" t="s">
        <v>27</v>
      </c>
      <c r="F2343" s="10" t="s">
        <v>52</v>
      </c>
      <c r="G2343" s="18" t="s">
        <v>1243</v>
      </c>
      <c r="H2343" t="s">
        <v>55</v>
      </c>
      <c r="I2343" t="s">
        <v>63</v>
      </c>
      <c r="J2343" s="22"/>
      <c r="K2343" s="2" t="s">
        <v>6</v>
      </c>
      <c r="M2343" s="2"/>
    </row>
    <row r="2344" spans="1:13" ht="15.75">
      <c r="A2344" t="s">
        <v>28</v>
      </c>
      <c r="B2344">
        <f ca="1">IF(OR(changes[[#This Row],[Type]]="Checklist",changes[[#This Row],[Type]]="checklist-flat"),1+IF(changes[[#This Row],[Type of change]] = "Edit",COUNTIFS($I$4:changes[[#This Row],[Name]],changes[[#This Row],[Name]], $E$4:changes[[#This Row],[Type of change]], "Edit")),B2343)</f>
        <v>1</v>
      </c>
      <c r="C2344" s="16">
        <v>44873</v>
      </c>
      <c r="D2344" s="1" t="s">
        <v>2863</v>
      </c>
      <c r="E2344" t="s">
        <v>27</v>
      </c>
      <c r="F2344" s="10" t="s">
        <v>52</v>
      </c>
      <c r="G2344" s="18" t="s">
        <v>1243</v>
      </c>
      <c r="H2344" t="s">
        <v>64</v>
      </c>
      <c r="I2344" t="s">
        <v>65</v>
      </c>
      <c r="J2344" s="22"/>
      <c r="K2344" s="2" t="s">
        <v>6</v>
      </c>
      <c r="M2344" s="2"/>
    </row>
    <row r="2345" spans="1:13" ht="15.75">
      <c r="A2345" t="s">
        <v>28</v>
      </c>
      <c r="B2345">
        <f ca="1">IF(OR(changes[[#This Row],[Type]]="Checklist",changes[[#This Row],[Type]]="checklist-flat"),1+IF(changes[[#This Row],[Type of change]] = "Edit",COUNTIFS($I$4:changes[[#This Row],[Name]],changes[[#This Row],[Name]], $E$4:changes[[#This Row],[Type of change]], "Edit")),B2344)</f>
        <v>1</v>
      </c>
      <c r="C2345" s="16">
        <v>44873</v>
      </c>
      <c r="D2345" s="1" t="s">
        <v>2863</v>
      </c>
      <c r="E2345" t="s">
        <v>27</v>
      </c>
      <c r="F2345" s="10" t="s">
        <v>52</v>
      </c>
      <c r="G2345" s="18" t="s">
        <v>1243</v>
      </c>
      <c r="H2345" t="s">
        <v>55</v>
      </c>
      <c r="I2345" t="s">
        <v>660</v>
      </c>
      <c r="J2345" s="22"/>
      <c r="K2345" s="2" t="s">
        <v>6</v>
      </c>
      <c r="M2345" s="2"/>
    </row>
    <row r="2346" spans="1:13">
      <c r="A2346" t="s">
        <v>28</v>
      </c>
      <c r="B2346">
        <f ca="1">IF(OR(changes[[#This Row],[Type]]="Checklist",changes[[#This Row],[Type]]="checklist-flat"),1+IF(changes[[#This Row],[Type of change]] = "Edit",COUNTIFS($I$4:changes[[#This Row],[Name]],changes[[#This Row],[Name]], $E$4:changes[[#This Row],[Type of change]], "Edit")),B2345)</f>
        <v>1</v>
      </c>
      <c r="C2346" s="16">
        <v>44873</v>
      </c>
      <c r="D2346" s="1" t="s">
        <v>2863</v>
      </c>
      <c r="E2346" t="s">
        <v>27</v>
      </c>
      <c r="F2346" s="10" t="s">
        <v>52</v>
      </c>
      <c r="G2346" s="10" t="s">
        <v>1395</v>
      </c>
      <c r="H2346" s="10" t="s">
        <v>54</v>
      </c>
      <c r="I2346" s="10" t="s">
        <v>1395</v>
      </c>
      <c r="J2346" s="23"/>
      <c r="K2346" s="2"/>
      <c r="M2346" s="2"/>
    </row>
    <row r="2347" spans="1:13" ht="15.75">
      <c r="A2347" t="s">
        <v>28</v>
      </c>
      <c r="B2347">
        <f ca="1">IF(OR(changes[[#This Row],[Type]]="Checklist",changes[[#This Row],[Type]]="checklist-flat"),1+IF(changes[[#This Row],[Type of change]] = "Edit",COUNTIFS($I$4:changes[[#This Row],[Name]],changes[[#This Row],[Name]], $E$4:changes[[#This Row],[Type of change]], "Edit")),B2346)</f>
        <v>1</v>
      </c>
      <c r="C2347" s="16">
        <v>44873</v>
      </c>
      <c r="D2347" s="1" t="s">
        <v>2863</v>
      </c>
      <c r="E2347" t="s">
        <v>27</v>
      </c>
      <c r="F2347" s="10" t="s">
        <v>52</v>
      </c>
      <c r="G2347" s="18" t="s">
        <v>1395</v>
      </c>
      <c r="H2347" t="s">
        <v>55</v>
      </c>
      <c r="I2347" t="s">
        <v>62</v>
      </c>
      <c r="J2347" s="22"/>
      <c r="K2347" s="2"/>
      <c r="M2347" s="2"/>
    </row>
    <row r="2348" spans="1:13" ht="15.75">
      <c r="A2348" t="s">
        <v>28</v>
      </c>
      <c r="B2348">
        <f ca="1">IF(OR(changes[[#This Row],[Type]]="Checklist",changes[[#This Row],[Type]]="checklist-flat"),1+IF(changes[[#This Row],[Type of change]] = "Edit",COUNTIFS($I$4:changes[[#This Row],[Name]],changes[[#This Row],[Name]], $E$4:changes[[#This Row],[Type of change]], "Edit")),B2347)</f>
        <v>1</v>
      </c>
      <c r="C2348" s="16">
        <v>44873</v>
      </c>
      <c r="D2348" s="1" t="s">
        <v>2863</v>
      </c>
      <c r="E2348" t="s">
        <v>27</v>
      </c>
      <c r="F2348" s="10" t="s">
        <v>52</v>
      </c>
      <c r="G2348" s="18" t="s">
        <v>1395</v>
      </c>
      <c r="H2348" t="s">
        <v>55</v>
      </c>
      <c r="I2348" t="s">
        <v>63</v>
      </c>
      <c r="J2348" s="22"/>
      <c r="K2348" s="2"/>
      <c r="M2348" s="2"/>
    </row>
    <row r="2349" spans="1:13" ht="15.75">
      <c r="A2349" t="s">
        <v>28</v>
      </c>
      <c r="B2349">
        <f ca="1">IF(OR(changes[[#This Row],[Type]]="Checklist",changes[[#This Row],[Type]]="checklist-flat"),1+IF(changes[[#This Row],[Type of change]] = "Edit",COUNTIFS($I$4:changes[[#This Row],[Name]],changes[[#This Row],[Name]], $E$4:changes[[#This Row],[Type of change]], "Edit")),B2348)</f>
        <v>1</v>
      </c>
      <c r="C2349" s="16">
        <v>44873</v>
      </c>
      <c r="D2349" s="1" t="s">
        <v>2863</v>
      </c>
      <c r="E2349" t="s">
        <v>27</v>
      </c>
      <c r="F2349" s="10" t="s">
        <v>52</v>
      </c>
      <c r="G2349" s="18" t="s">
        <v>1395</v>
      </c>
      <c r="H2349" t="s">
        <v>64</v>
      </c>
      <c r="I2349" t="s">
        <v>65</v>
      </c>
      <c r="J2349" s="22"/>
      <c r="K2349" s="2"/>
      <c r="M2349" s="2"/>
    </row>
    <row r="2350" spans="1:13" ht="15.75">
      <c r="A2350" t="s">
        <v>28</v>
      </c>
      <c r="B2350">
        <f ca="1">IF(OR(changes[[#This Row],[Type]]="Checklist",changes[[#This Row],[Type]]="checklist-flat"),1+IF(changes[[#This Row],[Type of change]] = "Edit",COUNTIFS($I$4:changes[[#This Row],[Name]],changes[[#This Row],[Name]], $E$4:changes[[#This Row],[Type of change]], "Edit")),B2349)</f>
        <v>1</v>
      </c>
      <c r="C2350" s="16">
        <v>44873</v>
      </c>
      <c r="D2350" s="1" t="s">
        <v>2863</v>
      </c>
      <c r="E2350" t="s">
        <v>27</v>
      </c>
      <c r="F2350" s="10" t="s">
        <v>52</v>
      </c>
      <c r="G2350" s="18" t="s">
        <v>1395</v>
      </c>
      <c r="H2350" t="s">
        <v>55</v>
      </c>
      <c r="I2350" t="s">
        <v>660</v>
      </c>
      <c r="J2350" s="22"/>
      <c r="K2350" s="2"/>
      <c r="M2350" s="2"/>
    </row>
    <row r="2351" spans="1:13">
      <c r="A2351" t="s">
        <v>28</v>
      </c>
      <c r="B2351">
        <f ca="1">IF(OR(changes[[#This Row],[Type]]="Checklist",changes[[#This Row],[Type]]="checklist-flat"),1+IF(changes[[#This Row],[Type of change]] = "Edit",COUNTIFS($I$4:changes[[#This Row],[Name]],changes[[#This Row],[Name]], $E$4:changes[[#This Row],[Type of change]], "Edit")),B2350)</f>
        <v>1</v>
      </c>
      <c r="C2351" s="16">
        <v>44873</v>
      </c>
      <c r="D2351" s="1" t="s">
        <v>2863</v>
      </c>
      <c r="E2351" t="s">
        <v>27</v>
      </c>
      <c r="F2351" s="10" t="s">
        <v>52</v>
      </c>
      <c r="G2351" s="10" t="s">
        <v>659</v>
      </c>
      <c r="H2351" s="10" t="s">
        <v>54</v>
      </c>
      <c r="I2351" s="10" t="s">
        <v>659</v>
      </c>
      <c r="J2351" s="23"/>
      <c r="K2351" s="2"/>
      <c r="M2351" s="2"/>
    </row>
    <row r="2352" spans="1:13" ht="15.75">
      <c r="A2352" t="s">
        <v>28</v>
      </c>
      <c r="B2352">
        <f ca="1">IF(OR(changes[[#This Row],[Type]]="Checklist",changes[[#This Row],[Type]]="checklist-flat"),1+IF(changes[[#This Row],[Type of change]] = "Edit",COUNTIFS($I$4:changes[[#This Row],[Name]],changes[[#This Row],[Name]], $E$4:changes[[#This Row],[Type of change]], "Edit")),B2351)</f>
        <v>1</v>
      </c>
      <c r="C2352" s="16">
        <v>44873</v>
      </c>
      <c r="D2352" s="1" t="s">
        <v>2863</v>
      </c>
      <c r="E2352" t="s">
        <v>27</v>
      </c>
      <c r="F2352" s="10" t="s">
        <v>52</v>
      </c>
      <c r="G2352" s="18" t="s">
        <v>659</v>
      </c>
      <c r="H2352" t="s">
        <v>55</v>
      </c>
      <c r="I2352" t="s">
        <v>62</v>
      </c>
      <c r="J2352" s="22"/>
      <c r="K2352" s="2"/>
      <c r="M2352" s="2"/>
    </row>
    <row r="2353" spans="1:13" ht="15.75">
      <c r="A2353" t="s">
        <v>28</v>
      </c>
      <c r="B2353">
        <f ca="1">IF(OR(changes[[#This Row],[Type]]="Checklist",changes[[#This Row],[Type]]="checklist-flat"),1+IF(changes[[#This Row],[Type of change]] = "Edit",COUNTIFS($I$4:changes[[#This Row],[Name]],changes[[#This Row],[Name]], $E$4:changes[[#This Row],[Type of change]], "Edit")),B2352)</f>
        <v>1</v>
      </c>
      <c r="C2353" s="16">
        <v>44873</v>
      </c>
      <c r="D2353" s="1" t="s">
        <v>2863</v>
      </c>
      <c r="E2353" t="s">
        <v>27</v>
      </c>
      <c r="F2353" s="10" t="s">
        <v>52</v>
      </c>
      <c r="G2353" s="18" t="s">
        <v>659</v>
      </c>
      <c r="H2353" t="s">
        <v>55</v>
      </c>
      <c r="I2353" t="s">
        <v>63</v>
      </c>
      <c r="J2353" s="22"/>
      <c r="K2353" s="2"/>
      <c r="M2353" s="2"/>
    </row>
    <row r="2354" spans="1:13" ht="15.75">
      <c r="A2354" t="s">
        <v>28</v>
      </c>
      <c r="B2354">
        <f ca="1">IF(OR(changes[[#This Row],[Type]]="Checklist",changes[[#This Row],[Type]]="checklist-flat"),1+IF(changes[[#This Row],[Type of change]] = "Edit",COUNTIFS($I$4:changes[[#This Row],[Name]],changes[[#This Row],[Name]], $E$4:changes[[#This Row],[Type of change]], "Edit")),B2353)</f>
        <v>1</v>
      </c>
      <c r="C2354" s="16">
        <v>44873</v>
      </c>
      <c r="D2354" s="1" t="s">
        <v>2863</v>
      </c>
      <c r="E2354" t="s">
        <v>27</v>
      </c>
      <c r="F2354" s="10" t="s">
        <v>52</v>
      </c>
      <c r="G2354" s="18" t="s">
        <v>659</v>
      </c>
      <c r="H2354" t="s">
        <v>64</v>
      </c>
      <c r="I2354" t="s">
        <v>65</v>
      </c>
      <c r="J2354" s="22"/>
      <c r="K2354" s="2"/>
      <c r="M2354" s="2"/>
    </row>
    <row r="2355" spans="1:13" ht="15.75">
      <c r="A2355" t="s">
        <v>28</v>
      </c>
      <c r="B2355">
        <f ca="1">IF(OR(changes[[#This Row],[Type]]="Checklist",changes[[#This Row],[Type]]="checklist-flat"),1+IF(changes[[#This Row],[Type of change]] = "Edit",COUNTIFS($I$4:changes[[#This Row],[Name]],changes[[#This Row],[Name]], $E$4:changes[[#This Row],[Type of change]], "Edit")),B2354)</f>
        <v>1</v>
      </c>
      <c r="C2355" s="16">
        <v>44873</v>
      </c>
      <c r="D2355" s="1" t="s">
        <v>2863</v>
      </c>
      <c r="E2355" t="s">
        <v>27</v>
      </c>
      <c r="F2355" s="10" t="s">
        <v>52</v>
      </c>
      <c r="G2355" s="18" t="s">
        <v>659</v>
      </c>
      <c r="H2355" t="s">
        <v>55</v>
      </c>
      <c r="I2355" t="s">
        <v>660</v>
      </c>
      <c r="J2355" s="22"/>
      <c r="K2355" s="2"/>
      <c r="M2355" s="2"/>
    </row>
    <row r="2356" spans="1:13" ht="15.75">
      <c r="A2356" t="s">
        <v>28</v>
      </c>
      <c r="B2356">
        <f ca="1">IF(OR(changes[[#This Row],[Type]]="Checklist",changes[[#This Row],[Type]]="checklist-flat"),1+IF(changes[[#This Row],[Type of change]] = "Edit",COUNTIFS($I$4:changes[[#This Row],[Name]],changes[[#This Row],[Name]], $E$4:changes[[#This Row],[Type of change]], "Edit")),B2355)</f>
        <v>1</v>
      </c>
      <c r="C2356" s="16">
        <v>44873</v>
      </c>
      <c r="D2356" s="1" t="s">
        <v>2863</v>
      </c>
      <c r="E2356" s="10" t="s">
        <v>27</v>
      </c>
      <c r="F2356" s="18" t="s">
        <v>52</v>
      </c>
      <c r="G2356" s="18" t="s">
        <v>1068</v>
      </c>
      <c r="H2356" s="18" t="s">
        <v>54</v>
      </c>
      <c r="I2356" s="18" t="s">
        <v>1068</v>
      </c>
      <c r="J2356" s="23"/>
      <c r="K2356" s="2"/>
      <c r="M2356" s="2"/>
    </row>
    <row r="2357" spans="1:13" ht="15.75">
      <c r="A2357" t="s">
        <v>28</v>
      </c>
      <c r="B2357">
        <f ca="1">IF(OR(changes[[#This Row],[Type]]="Checklist",changes[[#This Row],[Type]]="checklist-flat"),1+IF(changes[[#This Row],[Type of change]] = "Edit",COUNTIFS($I$4:changes[[#This Row],[Name]],changes[[#This Row],[Name]], $E$4:changes[[#This Row],[Type of change]], "Edit")),B2356)</f>
        <v>1</v>
      </c>
      <c r="C2357" s="16">
        <v>44873</v>
      </c>
      <c r="D2357" s="1" t="s">
        <v>2863</v>
      </c>
      <c r="E2357" t="s">
        <v>27</v>
      </c>
      <c r="F2357" s="10" t="s">
        <v>52</v>
      </c>
      <c r="G2357" s="18" t="s">
        <v>1068</v>
      </c>
      <c r="H2357" s="19" t="s">
        <v>55</v>
      </c>
      <c r="I2357" s="21" t="s">
        <v>62</v>
      </c>
      <c r="J2357" s="22"/>
      <c r="K2357" s="2"/>
      <c r="M2357" s="2"/>
    </row>
    <row r="2358" spans="1:13" ht="15.75">
      <c r="A2358" t="s">
        <v>28</v>
      </c>
      <c r="B2358">
        <f ca="1">IF(OR(changes[[#This Row],[Type]]="Checklist",changes[[#This Row],[Type]]="checklist-flat"),1+IF(changes[[#This Row],[Type of change]] = "Edit",COUNTIFS($I$4:changes[[#This Row],[Name]],changes[[#This Row],[Name]], $E$4:changes[[#This Row],[Type of change]], "Edit")),B2357)</f>
        <v>1</v>
      </c>
      <c r="C2358" s="16">
        <v>44873</v>
      </c>
      <c r="D2358" s="1" t="s">
        <v>2863</v>
      </c>
      <c r="E2358" t="s">
        <v>27</v>
      </c>
      <c r="F2358" s="10" t="s">
        <v>52</v>
      </c>
      <c r="G2358" s="18" t="s">
        <v>1068</v>
      </c>
      <c r="H2358" s="2" t="s">
        <v>55</v>
      </c>
      <c r="I2358" s="18" t="s">
        <v>63</v>
      </c>
      <c r="J2358" s="23"/>
      <c r="K2358" s="2"/>
      <c r="M2358" s="2"/>
    </row>
    <row r="2359" spans="1:13" ht="15.75">
      <c r="A2359" t="s">
        <v>28</v>
      </c>
      <c r="B2359">
        <f ca="1">IF(OR(changes[[#This Row],[Type]]="Checklist",changes[[#This Row],[Type]]="checklist-flat"),1+IF(changes[[#This Row],[Type of change]] = "Edit",COUNTIFS($I$4:changes[[#This Row],[Name]],changes[[#This Row],[Name]], $E$4:changes[[#This Row],[Type of change]], "Edit")),B2358)</f>
        <v>1</v>
      </c>
      <c r="C2359" s="16">
        <v>44873</v>
      </c>
      <c r="D2359" s="1" t="s">
        <v>2863</v>
      </c>
      <c r="E2359" t="s">
        <v>27</v>
      </c>
      <c r="F2359" s="10" t="s">
        <v>52</v>
      </c>
      <c r="G2359" s="18" t="s">
        <v>1068</v>
      </c>
      <c r="H2359" s="2" t="s">
        <v>64</v>
      </c>
      <c r="I2359" s="18" t="s">
        <v>65</v>
      </c>
      <c r="J2359" s="23"/>
      <c r="K2359" s="2"/>
      <c r="M2359" s="2"/>
    </row>
    <row r="2360" spans="1:13" ht="15.75">
      <c r="A2360" t="s">
        <v>28</v>
      </c>
      <c r="B2360">
        <f ca="1">IF(OR(changes[[#This Row],[Type]]="Checklist",changes[[#This Row],[Type]]="checklist-flat"),1+IF(changes[[#This Row],[Type of change]] = "Edit",COUNTIFS($I$4:changes[[#This Row],[Name]],changes[[#This Row],[Name]], $E$4:changes[[#This Row],[Type of change]], "Edit")),B2359)</f>
        <v>1</v>
      </c>
      <c r="C2360" s="16">
        <v>44873</v>
      </c>
      <c r="D2360" s="1" t="s">
        <v>2863</v>
      </c>
      <c r="E2360" t="s">
        <v>27</v>
      </c>
      <c r="F2360" s="10" t="s">
        <v>52</v>
      </c>
      <c r="G2360" s="18" t="s">
        <v>1068</v>
      </c>
      <c r="H2360" s="2" t="s">
        <v>55</v>
      </c>
      <c r="I2360" s="18" t="s">
        <v>660</v>
      </c>
      <c r="J2360" s="23"/>
      <c r="K2360" s="2"/>
      <c r="M2360" s="2"/>
    </row>
    <row r="2361" spans="1:13" ht="15.75" customHeight="1">
      <c r="A2361" t="s">
        <v>28</v>
      </c>
      <c r="B2361">
        <f ca="1">IF(OR(changes[[#This Row],[Type]]="Checklist",changes[[#This Row],[Type]]="checklist-flat"),1+IF(changes[[#This Row],[Type of change]] = "Edit",COUNTIFS($I$4:changes[[#This Row],[Name]],changes[[#This Row],[Name]], $E$4:changes[[#This Row],[Type of change]], "Edit")),B2360)</f>
        <v>2</v>
      </c>
      <c r="C2361" s="16">
        <v>44880</v>
      </c>
      <c r="D2361" s="1" t="s">
        <v>2786</v>
      </c>
      <c r="E2361" t="s">
        <v>15</v>
      </c>
      <c r="F2361" s="10" t="s">
        <v>9</v>
      </c>
      <c r="G2361" s="10" t="s">
        <v>1493</v>
      </c>
      <c r="H2361" s="62" t="s">
        <v>478</v>
      </c>
      <c r="I2361" s="62" t="s">
        <v>1493</v>
      </c>
      <c r="J2361" s="22"/>
      <c r="K2361" s="2" t="s">
        <v>6</v>
      </c>
      <c r="L2361" t="s">
        <v>2868</v>
      </c>
      <c r="M2361" s="2"/>
    </row>
    <row r="2362" spans="1:13" ht="15.75">
      <c r="A2362" t="s">
        <v>28</v>
      </c>
      <c r="B2362">
        <f ca="1">IF(OR(changes[[#This Row],[Type]]="Checklist",changes[[#This Row],[Type]]="checklist-flat"),1+IF(changes[[#This Row],[Type of change]] = "Edit",COUNTIFS($I$4:changes[[#This Row],[Name]],changes[[#This Row],[Name]], $E$4:changes[[#This Row],[Type of change]], "Edit")),B2361)</f>
        <v>2</v>
      </c>
      <c r="C2362" s="16">
        <v>44880</v>
      </c>
      <c r="D2362" s="1" t="s">
        <v>2786</v>
      </c>
      <c r="E2362" t="s">
        <v>15</v>
      </c>
      <c r="F2362" s="10" t="s">
        <v>9</v>
      </c>
      <c r="G2362" s="10" t="s">
        <v>1493</v>
      </c>
      <c r="H2362" s="19" t="s">
        <v>479</v>
      </c>
      <c r="I2362" s="21" t="s">
        <v>1397</v>
      </c>
      <c r="J2362" s="22"/>
      <c r="K2362" s="2" t="s">
        <v>6</v>
      </c>
      <c r="L2362" t="s">
        <v>2868</v>
      </c>
      <c r="M2362" s="2"/>
    </row>
    <row r="2363" spans="1:13" ht="15.75">
      <c r="A2363" t="s">
        <v>28</v>
      </c>
      <c r="B2363">
        <f ca="1">IF(OR(changes[[#This Row],[Type]]="Checklist",changes[[#This Row],[Type]]="checklist-flat"),1+IF(changes[[#This Row],[Type of change]] = "Edit",COUNTIFS($I$4:changes[[#This Row],[Name]],changes[[#This Row],[Name]], $E$4:changes[[#This Row],[Type of change]], "Edit")),B2362)</f>
        <v>2</v>
      </c>
      <c r="C2363" s="16">
        <v>44880</v>
      </c>
      <c r="D2363" s="1" t="s">
        <v>2786</v>
      </c>
      <c r="E2363" t="s">
        <v>15</v>
      </c>
      <c r="F2363" s="10" t="s">
        <v>9</v>
      </c>
      <c r="G2363" s="10" t="s">
        <v>1493</v>
      </c>
      <c r="H2363" s="2" t="s">
        <v>55</v>
      </c>
      <c r="I2363" s="18" t="s">
        <v>1494</v>
      </c>
      <c r="J2363" s="23"/>
      <c r="K2363" s="2" t="s">
        <v>6</v>
      </c>
      <c r="L2363" t="s">
        <v>2868</v>
      </c>
      <c r="M2363" s="2"/>
    </row>
    <row r="2364" spans="1:13" ht="15.75" customHeight="1">
      <c r="A2364" t="s">
        <v>28</v>
      </c>
      <c r="B2364">
        <f ca="1">IF(OR(changes[[#This Row],[Type]]="Checklist",changes[[#This Row],[Type]]="checklist-flat"),1+IF(changes[[#This Row],[Type of change]] = "Edit",COUNTIFS($I$4:changes[[#This Row],[Name]],changes[[#This Row],[Name]], $E$4:changes[[#This Row],[Type of change]], "Edit")),B2363)</f>
        <v>2</v>
      </c>
      <c r="C2364" s="16">
        <v>44880</v>
      </c>
      <c r="D2364" s="1" t="s">
        <v>2786</v>
      </c>
      <c r="E2364" t="s">
        <v>15</v>
      </c>
      <c r="F2364" s="10" t="s">
        <v>9</v>
      </c>
      <c r="G2364" s="10" t="s">
        <v>1493</v>
      </c>
      <c r="H2364" s="63" t="s">
        <v>55</v>
      </c>
      <c r="I2364" s="63" t="s">
        <v>1495</v>
      </c>
      <c r="J2364" s="23"/>
      <c r="K2364" s="2" t="s">
        <v>6</v>
      </c>
      <c r="L2364" t="s">
        <v>2868</v>
      </c>
      <c r="M2364" s="2"/>
    </row>
    <row r="2365" spans="1:13" ht="15.75" customHeight="1">
      <c r="A2365" t="s">
        <v>28</v>
      </c>
      <c r="B2365">
        <f ca="1">IF(OR(changes[[#This Row],[Type]]="Checklist",changes[[#This Row],[Type]]="checklist-flat"),1+IF(changes[[#This Row],[Type of change]] = "Edit",COUNTIFS($I$4:changes[[#This Row],[Name]],changes[[#This Row],[Name]], $E$4:changes[[#This Row],[Type of change]], "Edit")),B2364)</f>
        <v>2</v>
      </c>
      <c r="C2365" s="16">
        <v>44880</v>
      </c>
      <c r="D2365" s="1" t="s">
        <v>2786</v>
      </c>
      <c r="E2365" t="s">
        <v>15</v>
      </c>
      <c r="F2365" s="10" t="s">
        <v>9</v>
      </c>
      <c r="G2365" s="10" t="s">
        <v>1493</v>
      </c>
      <c r="H2365" s="63" t="s">
        <v>55</v>
      </c>
      <c r="I2365" s="63" t="s">
        <v>1496</v>
      </c>
      <c r="J2365" s="23"/>
      <c r="K2365" s="2" t="s">
        <v>6</v>
      </c>
      <c r="L2365" t="s">
        <v>2868</v>
      </c>
      <c r="M2365" s="2"/>
    </row>
    <row r="2366" spans="1:13" ht="15.75" customHeight="1">
      <c r="A2366" t="s">
        <v>28</v>
      </c>
      <c r="B2366">
        <f ca="1">IF(OR(changes[[#This Row],[Type]]="Checklist",changes[[#This Row],[Type]]="checklist-flat"),1+IF(changes[[#This Row],[Type of change]] = "Edit",COUNTIFS($I$4:changes[[#This Row],[Name]],changes[[#This Row],[Name]], $E$4:changes[[#This Row],[Type of change]], "Edit")),B2365)</f>
        <v>2</v>
      </c>
      <c r="C2366" s="16">
        <v>44880</v>
      </c>
      <c r="D2366" s="1" t="s">
        <v>2786</v>
      </c>
      <c r="E2366" t="s">
        <v>15</v>
      </c>
      <c r="F2366" s="10" t="s">
        <v>9</v>
      </c>
      <c r="G2366" s="10" t="s">
        <v>1493</v>
      </c>
      <c r="H2366" s="10" t="s">
        <v>55</v>
      </c>
      <c r="I2366" s="10" t="s">
        <v>1497</v>
      </c>
      <c r="J2366" s="23"/>
      <c r="K2366" s="2" t="s">
        <v>6</v>
      </c>
      <c r="L2366" t="s">
        <v>2868</v>
      </c>
      <c r="M2366" s="2"/>
    </row>
    <row r="2367" spans="1:13" ht="15.75">
      <c r="A2367" t="s">
        <v>28</v>
      </c>
      <c r="B2367">
        <f ca="1">IF(OR(changes[[#This Row],[Type]]="Checklist",changes[[#This Row],[Type]]="checklist-flat"),1+IF(changes[[#This Row],[Type of change]] = "Edit",COUNTIFS($I$4:changes[[#This Row],[Name]],changes[[#This Row],[Name]], $E$4:changes[[#This Row],[Type of change]], "Edit")),B2366)</f>
        <v>2</v>
      </c>
      <c r="C2367" s="16">
        <v>44880</v>
      </c>
      <c r="D2367" s="1" t="s">
        <v>2786</v>
      </c>
      <c r="E2367" t="s">
        <v>15</v>
      </c>
      <c r="F2367" s="10" t="s">
        <v>9</v>
      </c>
      <c r="G2367" s="10" t="s">
        <v>1493</v>
      </c>
      <c r="H2367" s="2" t="s">
        <v>479</v>
      </c>
      <c r="I2367" s="18" t="s">
        <v>1402</v>
      </c>
      <c r="J2367" s="23"/>
      <c r="K2367" s="2" t="s">
        <v>6</v>
      </c>
      <c r="L2367" t="s">
        <v>2868</v>
      </c>
      <c r="M2367" s="2"/>
    </row>
    <row r="2368" spans="1:13" ht="15.75">
      <c r="A2368" t="s">
        <v>28</v>
      </c>
      <c r="B2368">
        <f ca="1">IF(OR(changes[[#This Row],[Type]]="Checklist",changes[[#This Row],[Type]]="checklist-flat"),1+IF(changes[[#This Row],[Type of change]] = "Edit",COUNTIFS($I$4:changes[[#This Row],[Name]],changes[[#This Row],[Name]], $E$4:changes[[#This Row],[Type of change]], "Edit")),B2367)</f>
        <v>2</v>
      </c>
      <c r="C2368" s="16">
        <v>44880</v>
      </c>
      <c r="D2368" s="1" t="s">
        <v>2786</v>
      </c>
      <c r="E2368" t="s">
        <v>15</v>
      </c>
      <c r="F2368" s="10" t="s">
        <v>9</v>
      </c>
      <c r="G2368" s="10" t="s">
        <v>1493</v>
      </c>
      <c r="H2368" s="2" t="s">
        <v>55</v>
      </c>
      <c r="I2368" s="18" t="s">
        <v>1324</v>
      </c>
      <c r="J2368" s="23"/>
      <c r="K2368" s="2" t="s">
        <v>6</v>
      </c>
      <c r="L2368" t="s">
        <v>2868</v>
      </c>
      <c r="M2368" s="2"/>
    </row>
    <row r="2369" spans="1:13" ht="15.75" customHeight="1">
      <c r="A2369" t="s">
        <v>28</v>
      </c>
      <c r="B2369">
        <f ca="1">IF(OR(changes[[#This Row],[Type]]="Checklist",changes[[#This Row],[Type]]="checklist-flat"),1+IF(changes[[#This Row],[Type of change]] = "Edit",COUNTIFS($I$4:changes[[#This Row],[Name]],changes[[#This Row],[Name]], $E$4:changes[[#This Row],[Type of change]], "Edit")),B2368)</f>
        <v>2</v>
      </c>
      <c r="C2369" s="16">
        <v>44880</v>
      </c>
      <c r="D2369" s="1" t="s">
        <v>2786</v>
      </c>
      <c r="E2369" t="s">
        <v>15</v>
      </c>
      <c r="F2369" s="10" t="s">
        <v>9</v>
      </c>
      <c r="G2369" s="10" t="s">
        <v>1493</v>
      </c>
      <c r="H2369" s="63" t="s">
        <v>55</v>
      </c>
      <c r="I2369" s="63" t="s">
        <v>1498</v>
      </c>
      <c r="J2369" s="23"/>
      <c r="K2369" s="2" t="s">
        <v>6</v>
      </c>
      <c r="L2369" t="s">
        <v>2868</v>
      </c>
      <c r="M2369" s="2"/>
    </row>
    <row r="2370" spans="1:13" ht="15.75" customHeight="1">
      <c r="A2370" t="s">
        <v>28</v>
      </c>
      <c r="B2370">
        <f ca="1">IF(OR(changes[[#This Row],[Type]]="Checklist",changes[[#This Row],[Type]]="checklist-flat"),1+IF(changes[[#This Row],[Type of change]] = "Edit",COUNTIFS($I$4:changes[[#This Row],[Name]],changes[[#This Row],[Name]], $E$4:changes[[#This Row],[Type of change]], "Edit")),B2369)</f>
        <v>2</v>
      </c>
      <c r="C2370" s="16">
        <v>44880</v>
      </c>
      <c r="D2370" s="1" t="s">
        <v>2786</v>
      </c>
      <c r="E2370" t="s">
        <v>15</v>
      </c>
      <c r="F2370" s="10" t="s">
        <v>9</v>
      </c>
      <c r="G2370" s="10" t="s">
        <v>1493</v>
      </c>
      <c r="H2370" s="63" t="s">
        <v>55</v>
      </c>
      <c r="I2370" s="63" t="s">
        <v>1499</v>
      </c>
      <c r="J2370" s="23"/>
      <c r="K2370" s="2" t="s">
        <v>6</v>
      </c>
      <c r="L2370" t="s">
        <v>2868</v>
      </c>
      <c r="M2370" s="2"/>
    </row>
    <row r="2371" spans="1:13" ht="15.75" customHeight="1">
      <c r="A2371" t="s">
        <v>28</v>
      </c>
      <c r="B2371">
        <f ca="1">IF(OR(changes[[#This Row],[Type]]="Checklist",changes[[#This Row],[Type]]="checklist-flat"),1+IF(changes[[#This Row],[Type of change]] = "Edit",COUNTIFS($I$4:changes[[#This Row],[Name]],changes[[#This Row],[Name]], $E$4:changes[[#This Row],[Type of change]], "Edit")),B2370)</f>
        <v>2</v>
      </c>
      <c r="C2371" s="16">
        <v>44880</v>
      </c>
      <c r="D2371" s="1" t="s">
        <v>2786</v>
      </c>
      <c r="E2371" t="s">
        <v>15</v>
      </c>
      <c r="F2371" s="10" t="s">
        <v>9</v>
      </c>
      <c r="G2371" s="10" t="s">
        <v>1493</v>
      </c>
      <c r="H2371" s="10" t="s">
        <v>55</v>
      </c>
      <c r="I2371" s="10" t="s">
        <v>1500</v>
      </c>
      <c r="J2371" s="23"/>
      <c r="K2371" s="2" t="s">
        <v>6</v>
      </c>
      <c r="L2371" t="s">
        <v>2868</v>
      </c>
      <c r="M2371" s="2"/>
    </row>
    <row r="2372" spans="1:13" ht="15.75">
      <c r="A2372" t="s">
        <v>28</v>
      </c>
      <c r="B2372">
        <f ca="1">IF(OR(changes[[#This Row],[Type]]="Checklist",changes[[#This Row],[Type]]="checklist-flat"),1+IF(changes[[#This Row],[Type of change]] = "Edit",COUNTIFS($I$4:changes[[#This Row],[Name]],changes[[#This Row],[Name]], $E$4:changes[[#This Row],[Type of change]], "Edit")),B2371)</f>
        <v>2</v>
      </c>
      <c r="C2372" s="16">
        <v>44880</v>
      </c>
      <c r="D2372" s="1" t="s">
        <v>2786</v>
      </c>
      <c r="E2372" t="s">
        <v>15</v>
      </c>
      <c r="F2372" s="10" t="s">
        <v>9</v>
      </c>
      <c r="G2372" s="10" t="s">
        <v>1493</v>
      </c>
      <c r="H2372" s="2" t="s">
        <v>55</v>
      </c>
      <c r="I2372" s="18" t="s">
        <v>1501</v>
      </c>
      <c r="J2372" s="23"/>
      <c r="K2372" s="2" t="s">
        <v>6</v>
      </c>
      <c r="L2372" t="s">
        <v>2868</v>
      </c>
      <c r="M2372" s="2" t="s">
        <v>2902</v>
      </c>
    </row>
    <row r="2373" spans="1:13" ht="15.75" customHeight="1">
      <c r="A2373" t="s">
        <v>28</v>
      </c>
      <c r="B2373">
        <f ca="1">IF(OR(changes[[#This Row],[Type]]="Checklist",changes[[#This Row],[Type]]="checklist-flat"),1+IF(changes[[#This Row],[Type of change]] = "Edit",COUNTIFS($I$4:changes[[#This Row],[Name]],changes[[#This Row],[Name]], $E$4:changes[[#This Row],[Type of change]], "Edit")),B2372)</f>
        <v>2</v>
      </c>
      <c r="C2373" s="16">
        <v>44880</v>
      </c>
      <c r="D2373" s="1" t="s">
        <v>2786</v>
      </c>
      <c r="E2373" t="s">
        <v>15</v>
      </c>
      <c r="F2373" s="10" t="s">
        <v>9</v>
      </c>
      <c r="G2373" s="10" t="s">
        <v>1493</v>
      </c>
      <c r="H2373" s="63" t="s">
        <v>55</v>
      </c>
      <c r="I2373" s="63" t="s">
        <v>1502</v>
      </c>
      <c r="J2373" s="23"/>
      <c r="K2373" s="2" t="s">
        <v>6</v>
      </c>
      <c r="L2373" t="s">
        <v>2868</v>
      </c>
      <c r="M2373" s="2" t="s">
        <v>2902</v>
      </c>
    </row>
    <row r="2374" spans="1:13" ht="15.75" customHeight="1">
      <c r="A2374" t="s">
        <v>28</v>
      </c>
      <c r="B2374">
        <f ca="1">IF(OR(changes[[#This Row],[Type]]="Checklist",changes[[#This Row],[Type]]="checklist-flat"),1+IF(changes[[#This Row],[Type of change]] = "Edit",COUNTIFS($I$4:changes[[#This Row],[Name]],changes[[#This Row],[Name]], $E$4:changes[[#This Row],[Type of change]], "Edit")),B2373)</f>
        <v>2</v>
      </c>
      <c r="C2374" s="16">
        <v>44880</v>
      </c>
      <c r="D2374" s="1" t="s">
        <v>2786</v>
      </c>
      <c r="E2374" t="s">
        <v>15</v>
      </c>
      <c r="F2374" s="10" t="s">
        <v>9</v>
      </c>
      <c r="G2374" s="10" t="s">
        <v>1493</v>
      </c>
      <c r="H2374" s="63" t="s">
        <v>55</v>
      </c>
      <c r="I2374" s="63" t="s">
        <v>1503</v>
      </c>
      <c r="J2374" s="23"/>
      <c r="K2374" s="2" t="s">
        <v>6</v>
      </c>
      <c r="L2374" t="s">
        <v>2868</v>
      </c>
      <c r="M2374" s="2" t="s">
        <v>2902</v>
      </c>
    </row>
    <row r="2375" spans="1:13" ht="15.75" customHeight="1">
      <c r="A2375" t="s">
        <v>28</v>
      </c>
      <c r="B2375">
        <f ca="1">IF(OR(changes[[#This Row],[Type]]="Checklist",changes[[#This Row],[Type]]="checklist-flat"),1+IF(changes[[#This Row],[Type of change]] = "Edit",COUNTIFS($I$4:changes[[#This Row],[Name]],changes[[#This Row],[Name]], $E$4:changes[[#This Row],[Type of change]], "Edit")),B2374)</f>
        <v>2</v>
      </c>
      <c r="C2375" s="16">
        <v>44880</v>
      </c>
      <c r="D2375" s="1" t="s">
        <v>2786</v>
      </c>
      <c r="E2375" t="s">
        <v>15</v>
      </c>
      <c r="F2375" s="10" t="s">
        <v>9</v>
      </c>
      <c r="G2375" s="10" t="s">
        <v>1493</v>
      </c>
      <c r="H2375" s="10" t="s">
        <v>55</v>
      </c>
      <c r="I2375" s="10" t="s">
        <v>1504</v>
      </c>
      <c r="J2375" s="23"/>
      <c r="K2375" s="2" t="s">
        <v>6</v>
      </c>
      <c r="L2375" t="s">
        <v>2868</v>
      </c>
      <c r="M2375" s="2" t="s">
        <v>2902</v>
      </c>
    </row>
    <row r="2376" spans="1:13" ht="15.75">
      <c r="A2376" t="s">
        <v>28</v>
      </c>
      <c r="B2376">
        <f ca="1">IF(OR(changes[[#This Row],[Type]]="Checklist",changes[[#This Row],[Type]]="checklist-flat"),1+IF(changes[[#This Row],[Type of change]] = "Edit",COUNTIFS($I$4:changes[[#This Row],[Name]],changes[[#This Row],[Name]], $E$4:changes[[#This Row],[Type of change]], "Edit")),B2375)</f>
        <v>2</v>
      </c>
      <c r="C2376" s="16">
        <v>44880</v>
      </c>
      <c r="D2376" s="1" t="s">
        <v>2786</v>
      </c>
      <c r="E2376" t="s">
        <v>15</v>
      </c>
      <c r="F2376" s="10" t="s">
        <v>9</v>
      </c>
      <c r="G2376" s="10" t="s">
        <v>1493</v>
      </c>
      <c r="H2376" s="2" t="s">
        <v>55</v>
      </c>
      <c r="I2376" s="18" t="s">
        <v>1505</v>
      </c>
      <c r="J2376" s="23"/>
      <c r="K2376" s="2" t="s">
        <v>6</v>
      </c>
      <c r="L2376" t="s">
        <v>2868</v>
      </c>
      <c r="M2376" s="2" t="s">
        <v>2902</v>
      </c>
    </row>
    <row r="2377" spans="1:13" ht="15.75">
      <c r="A2377" t="s">
        <v>28</v>
      </c>
      <c r="B2377">
        <f ca="1">IF(OR(changes[[#This Row],[Type]]="Checklist",changes[[#This Row],[Type]]="checklist-flat"),1+IF(changes[[#This Row],[Type of change]] = "Edit",COUNTIFS($I$4:changes[[#This Row],[Name]],changes[[#This Row],[Name]], $E$4:changes[[#This Row],[Type of change]], "Edit")),B2376)</f>
        <v>2</v>
      </c>
      <c r="C2377" s="16">
        <v>44880</v>
      </c>
      <c r="D2377" s="1" t="s">
        <v>2786</v>
      </c>
      <c r="E2377" t="s">
        <v>15</v>
      </c>
      <c r="F2377" s="10" t="s">
        <v>9</v>
      </c>
      <c r="G2377" s="10" t="s">
        <v>1493</v>
      </c>
      <c r="H2377" s="2" t="s">
        <v>55</v>
      </c>
      <c r="I2377" s="18" t="s">
        <v>1506</v>
      </c>
      <c r="J2377" s="23"/>
      <c r="K2377" s="2" t="s">
        <v>6</v>
      </c>
      <c r="L2377" t="s">
        <v>2868</v>
      </c>
      <c r="M2377" s="2" t="s">
        <v>2902</v>
      </c>
    </row>
    <row r="2378" spans="1:13" ht="15.75" customHeight="1">
      <c r="A2378" t="s">
        <v>28</v>
      </c>
      <c r="B2378">
        <f ca="1">IF(OR(changes[[#This Row],[Type]]="Checklist",changes[[#This Row],[Type]]="checklist-flat"),1+IF(changes[[#This Row],[Type of change]] = "Edit",COUNTIFS($I$4:changes[[#This Row],[Name]],changes[[#This Row],[Name]], $E$4:changes[[#This Row],[Type of change]], "Edit")),B2377)</f>
        <v>2</v>
      </c>
      <c r="C2378" s="16">
        <v>44880</v>
      </c>
      <c r="D2378" s="1" t="s">
        <v>2786</v>
      </c>
      <c r="E2378" t="s">
        <v>15</v>
      </c>
      <c r="F2378" s="10" t="s">
        <v>9</v>
      </c>
      <c r="G2378" s="10" t="s">
        <v>1493</v>
      </c>
      <c r="H2378" s="63" t="s">
        <v>55</v>
      </c>
      <c r="I2378" s="63" t="s">
        <v>1533</v>
      </c>
      <c r="J2378" s="23"/>
      <c r="K2378" s="2" t="s">
        <v>6</v>
      </c>
      <c r="L2378" t="s">
        <v>2868</v>
      </c>
      <c r="M2378" s="2" t="s">
        <v>2902</v>
      </c>
    </row>
    <row r="2379" spans="1:13" ht="15.75" customHeight="1">
      <c r="A2379" t="s">
        <v>28</v>
      </c>
      <c r="B2379">
        <f ca="1">IF(OR(changes[[#This Row],[Type]]="Checklist",changes[[#This Row],[Type]]="checklist-flat"),1+IF(changes[[#This Row],[Type of change]] = "Edit",COUNTIFS($I$4:changes[[#This Row],[Name]],changes[[#This Row],[Name]], $E$4:changes[[#This Row],[Type of change]], "Edit")),B2378)</f>
        <v>2</v>
      </c>
      <c r="C2379" s="16">
        <v>44880</v>
      </c>
      <c r="D2379" s="1" t="s">
        <v>2786</v>
      </c>
      <c r="E2379" t="s">
        <v>15</v>
      </c>
      <c r="F2379" s="10" t="s">
        <v>9</v>
      </c>
      <c r="G2379" s="10" t="s">
        <v>1493</v>
      </c>
      <c r="H2379" s="63" t="s">
        <v>55</v>
      </c>
      <c r="I2379" s="63" t="s">
        <v>1508</v>
      </c>
      <c r="J2379" s="23"/>
      <c r="K2379" s="2" t="s">
        <v>6</v>
      </c>
      <c r="L2379" t="s">
        <v>2868</v>
      </c>
      <c r="M2379" s="2"/>
    </row>
    <row r="2380" spans="1:13" ht="15.75" customHeight="1">
      <c r="A2380" t="s">
        <v>28</v>
      </c>
      <c r="B2380">
        <f ca="1">IF(OR(changes[[#This Row],[Type]]="Checklist",changes[[#This Row],[Type]]="checklist-flat"),1+IF(changes[[#This Row],[Type of change]] = "Edit",COUNTIFS($I$4:changes[[#This Row],[Name]],changes[[#This Row],[Name]], $E$4:changes[[#This Row],[Type of change]], "Edit")),B2379)</f>
        <v>2</v>
      </c>
      <c r="C2380" s="16">
        <v>44880</v>
      </c>
      <c r="D2380" s="1" t="s">
        <v>2786</v>
      </c>
      <c r="E2380" t="s">
        <v>15</v>
      </c>
      <c r="F2380" s="10" t="s">
        <v>9</v>
      </c>
      <c r="G2380" s="10" t="s">
        <v>1493</v>
      </c>
      <c r="H2380" s="10" t="s">
        <v>55</v>
      </c>
      <c r="I2380" s="10" t="s">
        <v>1509</v>
      </c>
      <c r="J2380" s="23"/>
      <c r="K2380" s="2" t="s">
        <v>6</v>
      </c>
      <c r="L2380" t="s">
        <v>2868</v>
      </c>
      <c r="M2380" s="2" t="s">
        <v>2902</v>
      </c>
    </row>
    <row r="2381" spans="1:13" ht="15.75">
      <c r="A2381" t="s">
        <v>28</v>
      </c>
      <c r="B2381">
        <f ca="1">IF(OR(changes[[#This Row],[Type]]="Checklist",changes[[#This Row],[Type]]="checklist-flat"),1+IF(changes[[#This Row],[Type of change]] = "Edit",COUNTIFS($I$4:changes[[#This Row],[Name]],changes[[#This Row],[Name]], $E$4:changes[[#This Row],[Type of change]], "Edit")),B2380)</f>
        <v>2</v>
      </c>
      <c r="C2381" s="16">
        <v>44880</v>
      </c>
      <c r="D2381" s="1" t="s">
        <v>2786</v>
      </c>
      <c r="E2381" t="s">
        <v>15</v>
      </c>
      <c r="F2381" s="10" t="s">
        <v>9</v>
      </c>
      <c r="G2381" s="10" t="s">
        <v>1493</v>
      </c>
      <c r="H2381" s="2" t="s">
        <v>55</v>
      </c>
      <c r="I2381" s="18" t="s">
        <v>1510</v>
      </c>
      <c r="J2381" s="23"/>
      <c r="K2381" s="2" t="s">
        <v>6</v>
      </c>
      <c r="L2381" t="s">
        <v>2868</v>
      </c>
      <c r="M2381" s="2" t="s">
        <v>2902</v>
      </c>
    </row>
    <row r="2382" spans="1:13" ht="15.75">
      <c r="A2382" t="s">
        <v>28</v>
      </c>
      <c r="B2382">
        <f ca="1">IF(OR(changes[[#This Row],[Type]]="Checklist",changes[[#This Row],[Type]]="checklist-flat"),1+IF(changes[[#This Row],[Type of change]] = "Edit",COUNTIFS($I$4:changes[[#This Row],[Name]],changes[[#This Row],[Name]], $E$4:changes[[#This Row],[Type of change]], "Edit")),B2381)</f>
        <v>2</v>
      </c>
      <c r="C2382" s="16">
        <v>44880</v>
      </c>
      <c r="D2382" s="1" t="s">
        <v>2786</v>
      </c>
      <c r="E2382" t="s">
        <v>15</v>
      </c>
      <c r="F2382" s="10" t="s">
        <v>9</v>
      </c>
      <c r="G2382" s="10" t="s">
        <v>1493</v>
      </c>
      <c r="H2382" s="2" t="s">
        <v>55</v>
      </c>
      <c r="I2382" s="18" t="s">
        <v>1511</v>
      </c>
      <c r="J2382" s="23"/>
      <c r="K2382" s="2" t="s">
        <v>6</v>
      </c>
      <c r="L2382" t="s">
        <v>2868</v>
      </c>
      <c r="M2382" s="2" t="s">
        <v>2902</v>
      </c>
    </row>
    <row r="2383" spans="1:13" ht="15.75" customHeight="1">
      <c r="A2383" t="s">
        <v>28</v>
      </c>
      <c r="B2383">
        <f ca="1">IF(OR(changes[[#This Row],[Type]]="Checklist",changes[[#This Row],[Type]]="checklist-flat"),1+IF(changes[[#This Row],[Type of change]] = "Edit",COUNTIFS($I$4:changes[[#This Row],[Name]],changes[[#This Row],[Name]], $E$4:changes[[#This Row],[Type of change]], "Edit")),B2382)</f>
        <v>2</v>
      </c>
      <c r="C2383" s="16">
        <v>44880</v>
      </c>
      <c r="D2383" s="1" t="s">
        <v>2786</v>
      </c>
      <c r="E2383" t="s">
        <v>15</v>
      </c>
      <c r="F2383" s="10" t="s">
        <v>9</v>
      </c>
      <c r="G2383" s="10" t="s">
        <v>1493</v>
      </c>
      <c r="H2383" s="63" t="s">
        <v>55</v>
      </c>
      <c r="I2383" s="63" t="s">
        <v>1512</v>
      </c>
      <c r="J2383" s="23"/>
      <c r="K2383" s="2" t="s">
        <v>6</v>
      </c>
      <c r="L2383" t="s">
        <v>2868</v>
      </c>
      <c r="M2383" s="2"/>
    </row>
    <row r="2384" spans="1:13" ht="15.75" customHeight="1">
      <c r="A2384" t="s">
        <v>28</v>
      </c>
      <c r="B2384">
        <f ca="1">IF(OR(changes[[#This Row],[Type]]="Checklist",changes[[#This Row],[Type]]="checklist-flat"),1+IF(changes[[#This Row],[Type of change]] = "Edit",COUNTIFS($I$4:changes[[#This Row],[Name]],changes[[#This Row],[Name]], $E$4:changes[[#This Row],[Type of change]], "Edit")),B2383)</f>
        <v>2</v>
      </c>
      <c r="C2384" s="16">
        <v>44880</v>
      </c>
      <c r="D2384" s="1" t="s">
        <v>2786</v>
      </c>
      <c r="E2384" t="s">
        <v>15</v>
      </c>
      <c r="F2384" s="10" t="s">
        <v>9</v>
      </c>
      <c r="G2384" s="10" t="s">
        <v>1493</v>
      </c>
      <c r="H2384" s="63" t="s">
        <v>55</v>
      </c>
      <c r="I2384" s="63" t="s">
        <v>1513</v>
      </c>
      <c r="J2384" s="23"/>
      <c r="K2384" s="2" t="s">
        <v>6</v>
      </c>
      <c r="L2384" t="s">
        <v>2868</v>
      </c>
      <c r="M2384" s="2"/>
    </row>
    <row r="2385" spans="1:13" ht="15.75" customHeight="1">
      <c r="A2385" t="s">
        <v>28</v>
      </c>
      <c r="B2385">
        <f ca="1">IF(OR(changes[[#This Row],[Type]]="Checklist",changes[[#This Row],[Type]]="checklist-flat"),1+IF(changes[[#This Row],[Type of change]] = "Edit",COUNTIFS($I$4:changes[[#This Row],[Name]],changes[[#This Row],[Name]], $E$4:changes[[#This Row],[Type of change]], "Edit")),B2384)</f>
        <v>2</v>
      </c>
      <c r="C2385" s="16">
        <v>44880</v>
      </c>
      <c r="D2385" s="1" t="s">
        <v>2786</v>
      </c>
      <c r="E2385" t="s">
        <v>15</v>
      </c>
      <c r="F2385" s="10" t="s">
        <v>9</v>
      </c>
      <c r="G2385" s="10" t="s">
        <v>1493</v>
      </c>
      <c r="H2385" s="10" t="s">
        <v>479</v>
      </c>
      <c r="I2385" s="10" t="s">
        <v>1408</v>
      </c>
      <c r="J2385" s="23"/>
      <c r="K2385" s="2" t="s">
        <v>6</v>
      </c>
      <c r="L2385" t="s">
        <v>2868</v>
      </c>
      <c r="M2385" s="2"/>
    </row>
    <row r="2386" spans="1:13" ht="15.75">
      <c r="A2386" t="s">
        <v>28</v>
      </c>
      <c r="B2386">
        <f ca="1">IF(OR(changes[[#This Row],[Type]]="Checklist",changes[[#This Row],[Type]]="checklist-flat"),1+IF(changes[[#This Row],[Type of change]] = "Edit",COUNTIFS($I$4:changes[[#This Row],[Name]],changes[[#This Row],[Name]], $E$4:changes[[#This Row],[Type of change]], "Edit")),B2385)</f>
        <v>2</v>
      </c>
      <c r="C2386" s="16">
        <v>44880</v>
      </c>
      <c r="D2386" s="1" t="s">
        <v>2786</v>
      </c>
      <c r="E2386" t="s">
        <v>15</v>
      </c>
      <c r="F2386" s="10" t="s">
        <v>9</v>
      </c>
      <c r="G2386" s="10" t="s">
        <v>1493</v>
      </c>
      <c r="H2386" s="2" t="s">
        <v>55</v>
      </c>
      <c r="I2386" s="18" t="s">
        <v>1514</v>
      </c>
      <c r="J2386" s="23"/>
      <c r="K2386" s="2" t="s">
        <v>6</v>
      </c>
      <c r="L2386" t="s">
        <v>2868</v>
      </c>
      <c r="M2386" s="2"/>
    </row>
    <row r="2387" spans="1:13" ht="15.75">
      <c r="A2387" t="s">
        <v>28</v>
      </c>
      <c r="B2387">
        <f ca="1">IF(OR(changes[[#This Row],[Type]]="Checklist",changes[[#This Row],[Type]]="checklist-flat"),1+IF(changes[[#This Row],[Type of change]] = "Edit",COUNTIFS($I$4:changes[[#This Row],[Name]],changes[[#This Row],[Name]], $E$4:changes[[#This Row],[Type of change]], "Edit")),B2386)</f>
        <v>2</v>
      </c>
      <c r="C2387" s="16">
        <v>44880</v>
      </c>
      <c r="D2387" s="1" t="s">
        <v>2786</v>
      </c>
      <c r="E2387" t="s">
        <v>15</v>
      </c>
      <c r="F2387" s="10" t="s">
        <v>9</v>
      </c>
      <c r="G2387" s="10" t="s">
        <v>1493</v>
      </c>
      <c r="H2387" s="2" t="s">
        <v>55</v>
      </c>
      <c r="I2387" s="18" t="s">
        <v>1515</v>
      </c>
      <c r="J2387" s="23"/>
      <c r="K2387" s="2" t="s">
        <v>6</v>
      </c>
      <c r="L2387" t="s">
        <v>2868</v>
      </c>
      <c r="M2387" s="2"/>
    </row>
    <row r="2388" spans="1:13" ht="15.75" customHeight="1">
      <c r="A2388" t="s">
        <v>28</v>
      </c>
      <c r="B2388">
        <f ca="1">IF(OR(changes[[#This Row],[Type]]="Checklist",changes[[#This Row],[Type]]="checklist-flat"),1+IF(changes[[#This Row],[Type of change]] = "Edit",COUNTIFS($I$4:changes[[#This Row],[Name]],changes[[#This Row],[Name]], $E$4:changes[[#This Row],[Type of change]], "Edit")),B2387)</f>
        <v>2</v>
      </c>
      <c r="C2388" s="16">
        <v>44880</v>
      </c>
      <c r="D2388" s="1" t="s">
        <v>2786</v>
      </c>
      <c r="E2388" t="s">
        <v>15</v>
      </c>
      <c r="F2388" s="10" t="s">
        <v>9</v>
      </c>
      <c r="G2388" s="10" t="s">
        <v>1493</v>
      </c>
      <c r="H2388" s="63" t="s">
        <v>55</v>
      </c>
      <c r="I2388" s="63" t="s">
        <v>1516</v>
      </c>
      <c r="J2388" s="23"/>
      <c r="K2388" s="2" t="s">
        <v>6</v>
      </c>
      <c r="L2388" t="s">
        <v>2868</v>
      </c>
      <c r="M2388" s="2"/>
    </row>
    <row r="2389" spans="1:13" ht="15.75" customHeight="1">
      <c r="A2389" t="s">
        <v>28</v>
      </c>
      <c r="B2389">
        <f ca="1">IF(OR(changes[[#This Row],[Type]]="Checklist",changes[[#This Row],[Type]]="checklist-flat"),1+IF(changes[[#This Row],[Type of change]] = "Edit",COUNTIFS($I$4:changes[[#This Row],[Name]],changes[[#This Row],[Name]], $E$4:changes[[#This Row],[Type of change]], "Edit")),B2388)</f>
        <v>2</v>
      </c>
      <c r="C2389" s="16">
        <v>44880</v>
      </c>
      <c r="D2389" s="1" t="s">
        <v>2786</v>
      </c>
      <c r="E2389" t="s">
        <v>15</v>
      </c>
      <c r="F2389" s="10" t="s">
        <v>9</v>
      </c>
      <c r="G2389" s="10" t="s">
        <v>1493</v>
      </c>
      <c r="H2389" s="63" t="s">
        <v>55</v>
      </c>
      <c r="I2389" s="63" t="s">
        <v>1517</v>
      </c>
      <c r="J2389" s="23"/>
      <c r="K2389" s="2" t="s">
        <v>6</v>
      </c>
      <c r="L2389" t="s">
        <v>2868</v>
      </c>
      <c r="M2389" s="2"/>
    </row>
    <row r="2390" spans="1:13" ht="15.75" customHeight="1">
      <c r="A2390" t="s">
        <v>28</v>
      </c>
      <c r="B2390">
        <f ca="1">IF(OR(changes[[#This Row],[Type]]="Checklist",changes[[#This Row],[Type]]="checklist-flat"),1+IF(changes[[#This Row],[Type of change]] = "Edit",COUNTIFS($I$4:changes[[#This Row],[Name]],changes[[#This Row],[Name]], $E$4:changes[[#This Row],[Type of change]], "Edit")),B2389)</f>
        <v>2</v>
      </c>
      <c r="C2390" s="16">
        <v>44880</v>
      </c>
      <c r="D2390" s="1" t="s">
        <v>2786</v>
      </c>
      <c r="E2390" t="s">
        <v>15</v>
      </c>
      <c r="F2390" s="10" t="s">
        <v>9</v>
      </c>
      <c r="G2390" s="10" t="s">
        <v>1493</v>
      </c>
      <c r="H2390" s="10" t="s">
        <v>55</v>
      </c>
      <c r="I2390" s="10" t="s">
        <v>1518</v>
      </c>
      <c r="J2390" s="23"/>
      <c r="K2390" s="2" t="s">
        <v>6</v>
      </c>
      <c r="L2390" t="s">
        <v>2868</v>
      </c>
      <c r="M2390" s="2"/>
    </row>
    <row r="2391" spans="1:13" ht="15.75">
      <c r="A2391" t="s">
        <v>28</v>
      </c>
      <c r="B2391">
        <f ca="1">IF(OR(changes[[#This Row],[Type]]="Checklist",changes[[#This Row],[Type]]="checklist-flat"),1+IF(changes[[#This Row],[Type of change]] = "Edit",COUNTIFS($I$4:changes[[#This Row],[Name]],changes[[#This Row],[Name]], $E$4:changes[[#This Row],[Type of change]], "Edit")),B2390)</f>
        <v>2</v>
      </c>
      <c r="C2391" s="16">
        <v>44880</v>
      </c>
      <c r="D2391" s="1" t="s">
        <v>2786</v>
      </c>
      <c r="E2391" t="s">
        <v>15</v>
      </c>
      <c r="F2391" s="10" t="s">
        <v>9</v>
      </c>
      <c r="G2391" s="10" t="s">
        <v>1493</v>
      </c>
      <c r="H2391" s="2" t="s">
        <v>55</v>
      </c>
      <c r="I2391" s="18" t="s">
        <v>1519</v>
      </c>
      <c r="J2391" s="23"/>
      <c r="K2391" s="2" t="s">
        <v>6</v>
      </c>
      <c r="L2391" t="s">
        <v>2868</v>
      </c>
      <c r="M2391" s="2"/>
    </row>
    <row r="2392" spans="1:13" ht="15.75">
      <c r="A2392" t="s">
        <v>28</v>
      </c>
      <c r="B2392">
        <f ca="1">IF(OR(changes[[#This Row],[Type]]="Checklist",changes[[#This Row],[Type]]="checklist-flat"),1+IF(changes[[#This Row],[Type of change]] = "Edit",COUNTIFS($I$4:changes[[#This Row],[Name]],changes[[#This Row],[Name]], $E$4:changes[[#This Row],[Type of change]], "Edit")),B2391)</f>
        <v>2</v>
      </c>
      <c r="C2392" s="16">
        <v>44880</v>
      </c>
      <c r="D2392" s="1" t="s">
        <v>2786</v>
      </c>
      <c r="E2392" t="s">
        <v>15</v>
      </c>
      <c r="F2392" s="10" t="s">
        <v>9</v>
      </c>
      <c r="G2392" s="10" t="s">
        <v>1493</v>
      </c>
      <c r="H2392" s="2" t="s">
        <v>55</v>
      </c>
      <c r="I2392" s="18" t="s">
        <v>1520</v>
      </c>
      <c r="J2392" s="23"/>
      <c r="K2392" s="2" t="s">
        <v>6</v>
      </c>
      <c r="L2392" t="s">
        <v>2868</v>
      </c>
      <c r="M2392" s="2"/>
    </row>
    <row r="2393" spans="1:13" ht="15.75" customHeight="1">
      <c r="A2393" t="s">
        <v>28</v>
      </c>
      <c r="B2393">
        <f ca="1">IF(OR(changes[[#This Row],[Type]]="Checklist",changes[[#This Row],[Type]]="checklist-flat"),1+IF(changes[[#This Row],[Type of change]] = "Edit",COUNTIFS($I$4:changes[[#This Row],[Name]],changes[[#This Row],[Name]], $E$4:changes[[#This Row],[Type of change]], "Edit")),B2392)</f>
        <v>2</v>
      </c>
      <c r="C2393" s="16">
        <v>44880</v>
      </c>
      <c r="D2393" s="1" t="s">
        <v>2786</v>
      </c>
      <c r="E2393" t="s">
        <v>15</v>
      </c>
      <c r="F2393" s="10" t="s">
        <v>9</v>
      </c>
      <c r="G2393" s="10" t="s">
        <v>1493</v>
      </c>
      <c r="H2393" s="10" t="s">
        <v>479</v>
      </c>
      <c r="I2393" s="10" t="s">
        <v>1416</v>
      </c>
      <c r="J2393" s="23"/>
      <c r="K2393" s="2" t="s">
        <v>6</v>
      </c>
      <c r="L2393" t="s">
        <v>2868</v>
      </c>
      <c r="M2393" s="2"/>
    </row>
    <row r="2394" spans="1:13" ht="15.75" customHeight="1">
      <c r="A2394" t="s">
        <v>28</v>
      </c>
      <c r="B2394">
        <f ca="1">IF(OR(changes[[#This Row],[Type]]="Checklist",changes[[#This Row],[Type]]="checklist-flat"),1+IF(changes[[#This Row],[Type of change]] = "Edit",COUNTIFS($I$4:changes[[#This Row],[Name]],changes[[#This Row],[Name]], $E$4:changes[[#This Row],[Type of change]], "Edit")),B2393)</f>
        <v>2</v>
      </c>
      <c r="C2394" s="16">
        <v>44880</v>
      </c>
      <c r="D2394" s="1" t="s">
        <v>2786</v>
      </c>
      <c r="E2394" t="s">
        <v>15</v>
      </c>
      <c r="F2394" s="10" t="s">
        <v>9</v>
      </c>
      <c r="G2394" s="10" t="s">
        <v>1493</v>
      </c>
      <c r="H2394" s="63" t="s">
        <v>55</v>
      </c>
      <c r="I2394" s="63" t="s">
        <v>1521</v>
      </c>
      <c r="J2394" s="23"/>
      <c r="K2394" s="2" t="s">
        <v>6</v>
      </c>
      <c r="L2394" t="s">
        <v>2868</v>
      </c>
      <c r="M2394" s="2"/>
    </row>
    <row r="2395" spans="1:13" ht="15.75" customHeight="1">
      <c r="A2395" t="s">
        <v>28</v>
      </c>
      <c r="B2395">
        <f ca="1">IF(OR(changes[[#This Row],[Type]]="Checklist",changes[[#This Row],[Type]]="checklist-flat"),1+IF(changes[[#This Row],[Type of change]] = "Edit",COUNTIFS($I$4:changes[[#This Row],[Name]],changes[[#This Row],[Name]], $E$4:changes[[#This Row],[Type of change]], "Edit")),B2394)</f>
        <v>2</v>
      </c>
      <c r="C2395" s="16">
        <v>44880</v>
      </c>
      <c r="D2395" s="1" t="s">
        <v>2786</v>
      </c>
      <c r="E2395" t="s">
        <v>15</v>
      </c>
      <c r="F2395" s="10" t="s">
        <v>9</v>
      </c>
      <c r="G2395" s="10" t="s">
        <v>1493</v>
      </c>
      <c r="H2395" s="10" t="s">
        <v>55</v>
      </c>
      <c r="I2395" s="10" t="s">
        <v>1522</v>
      </c>
      <c r="J2395" s="23"/>
      <c r="K2395" s="2" t="s">
        <v>6</v>
      </c>
      <c r="L2395" t="s">
        <v>2868</v>
      </c>
      <c r="M2395" s="2"/>
    </row>
    <row r="2396" spans="1:13" ht="15.75">
      <c r="A2396" t="s">
        <v>28</v>
      </c>
      <c r="B2396">
        <f ca="1">IF(OR(changes[[#This Row],[Type]]="Checklist",changes[[#This Row],[Type]]="checklist-flat"),1+IF(changes[[#This Row],[Type of change]] = "Edit",COUNTIFS($I$4:changes[[#This Row],[Name]],changes[[#This Row],[Name]], $E$4:changes[[#This Row],[Type of change]], "Edit")),B2395)</f>
        <v>2</v>
      </c>
      <c r="C2396" s="16">
        <v>44880</v>
      </c>
      <c r="D2396" s="1" t="s">
        <v>2786</v>
      </c>
      <c r="E2396" t="s">
        <v>15</v>
      </c>
      <c r="F2396" s="10" t="s">
        <v>9</v>
      </c>
      <c r="G2396" s="10" t="s">
        <v>1493</v>
      </c>
      <c r="H2396" s="2" t="s">
        <v>55</v>
      </c>
      <c r="I2396" s="18" t="s">
        <v>1523</v>
      </c>
      <c r="J2396" s="23"/>
      <c r="K2396" s="2" t="s">
        <v>6</v>
      </c>
      <c r="L2396" t="s">
        <v>2868</v>
      </c>
      <c r="M2396" s="2"/>
    </row>
    <row r="2397" spans="1:13" ht="15.75">
      <c r="A2397" t="s">
        <v>28</v>
      </c>
      <c r="B2397">
        <f ca="1">IF(OR(changes[[#This Row],[Type]]="Checklist",changes[[#This Row],[Type]]="checklist-flat"),1+IF(changes[[#This Row],[Type of change]] = "Edit",COUNTIFS($I$4:changes[[#This Row],[Name]],changes[[#This Row],[Name]], $E$4:changes[[#This Row],[Type of change]], "Edit")),B2396)</f>
        <v>2</v>
      </c>
      <c r="C2397" s="16">
        <v>44880</v>
      </c>
      <c r="D2397" s="1" t="s">
        <v>2786</v>
      </c>
      <c r="E2397" t="s">
        <v>15</v>
      </c>
      <c r="F2397" s="10" t="s">
        <v>9</v>
      </c>
      <c r="G2397" s="10" t="s">
        <v>1493</v>
      </c>
      <c r="H2397" s="2" t="s">
        <v>55</v>
      </c>
      <c r="I2397" s="18" t="s">
        <v>93</v>
      </c>
      <c r="J2397" s="23"/>
      <c r="K2397" s="2" t="s">
        <v>6</v>
      </c>
      <c r="L2397" t="s">
        <v>2868</v>
      </c>
      <c r="M2397" s="2"/>
    </row>
    <row r="2398" spans="1:13">
      <c r="A2398" t="s">
        <v>28</v>
      </c>
      <c r="B2398">
        <f ca="1">IF(OR(changes[[#This Row],[Type]]="Checklist",changes[[#This Row],[Type]]="checklist-flat"),1+IF(changes[[#This Row],[Type of change]] = "Edit",COUNTIFS($I$4:changes[[#This Row],[Name]],changes[[#This Row],[Name]], $E$4:changes[[#This Row],[Type of change]], "Edit")),B2397)</f>
        <v>2</v>
      </c>
      <c r="C2398" s="16">
        <v>44880</v>
      </c>
      <c r="D2398" s="1" t="s">
        <v>2786</v>
      </c>
      <c r="E2398" t="s">
        <v>15</v>
      </c>
      <c r="F2398" s="10" t="s">
        <v>9</v>
      </c>
      <c r="G2398" s="10" t="s">
        <v>1493</v>
      </c>
      <c r="H2398" s="59" t="s">
        <v>64</v>
      </c>
      <c r="I2398" s="58" t="s">
        <v>94</v>
      </c>
      <c r="J2398" s="23"/>
      <c r="K2398" s="2" t="s">
        <v>6</v>
      </c>
      <c r="L2398" t="s">
        <v>2868</v>
      </c>
      <c r="M2398" s="2"/>
    </row>
    <row r="2399" spans="1:13">
      <c r="A2399" t="s">
        <v>28</v>
      </c>
      <c r="B2399">
        <f ca="1">IF(OR(changes[[#This Row],[Type]]="Checklist",changes[[#This Row],[Type]]="checklist-flat"),1+IF(changes[[#This Row],[Type of change]] = "Edit",COUNTIFS($I$4:changes[[#This Row],[Name]],changes[[#This Row],[Name]], $E$4:changes[[#This Row],[Type of change]], "Edit")),B2398)</f>
        <v>3</v>
      </c>
      <c r="C2399" s="16">
        <v>44880</v>
      </c>
      <c r="D2399" s="1" t="s">
        <v>2786</v>
      </c>
      <c r="E2399" t="s">
        <v>15</v>
      </c>
      <c r="F2399" s="10" t="s">
        <v>9</v>
      </c>
      <c r="G2399" s="10" t="s">
        <v>1530</v>
      </c>
      <c r="H2399" s="10" t="s">
        <v>478</v>
      </c>
      <c r="I2399" s="10" t="s">
        <v>1530</v>
      </c>
      <c r="J2399" s="10"/>
      <c r="K2399" s="10" t="s">
        <v>6</v>
      </c>
      <c r="L2399" t="s">
        <v>2868</v>
      </c>
      <c r="M2399" s="2"/>
    </row>
    <row r="2400" spans="1:13">
      <c r="A2400" t="s">
        <v>28</v>
      </c>
      <c r="B2400">
        <f ca="1">IF(OR(changes[[#This Row],[Type]]="Checklist",changes[[#This Row],[Type]]="checklist-flat"),1+IF(changes[[#This Row],[Type of change]] = "Edit",COUNTIFS($I$4:changes[[#This Row],[Name]],changes[[#This Row],[Name]], $E$4:changes[[#This Row],[Type of change]], "Edit")),B2399)</f>
        <v>3</v>
      </c>
      <c r="C2400" s="16">
        <v>44880</v>
      </c>
      <c r="D2400" s="1" t="s">
        <v>2786</v>
      </c>
      <c r="E2400" t="s">
        <v>15</v>
      </c>
      <c r="F2400" s="10" t="s">
        <v>9</v>
      </c>
      <c r="G2400" s="10" t="s">
        <v>1530</v>
      </c>
      <c r="H2400" s="10" t="s">
        <v>479</v>
      </c>
      <c r="I2400" s="10" t="s">
        <v>1397</v>
      </c>
      <c r="J2400" s="10"/>
      <c r="K2400" s="10" t="s">
        <v>6</v>
      </c>
      <c r="L2400" t="s">
        <v>2868</v>
      </c>
      <c r="M2400" s="2"/>
    </row>
    <row r="2401" spans="1:13">
      <c r="A2401" t="s">
        <v>28</v>
      </c>
      <c r="B2401">
        <f ca="1">IF(OR(changes[[#This Row],[Type]]="Checklist",changes[[#This Row],[Type]]="checklist-flat"),1+IF(changes[[#This Row],[Type of change]] = "Edit",COUNTIFS($I$4:changes[[#This Row],[Name]],changes[[#This Row],[Name]], $E$4:changes[[#This Row],[Type of change]], "Edit")),B2400)</f>
        <v>3</v>
      </c>
      <c r="C2401" s="16">
        <v>44880</v>
      </c>
      <c r="D2401" s="1" t="s">
        <v>2786</v>
      </c>
      <c r="E2401" t="s">
        <v>15</v>
      </c>
      <c r="F2401" s="10" t="s">
        <v>9</v>
      </c>
      <c r="G2401" s="10" t="s">
        <v>1530</v>
      </c>
      <c r="H2401" s="10" t="s">
        <v>55</v>
      </c>
      <c r="I2401" s="10" t="s">
        <v>2871</v>
      </c>
      <c r="J2401" s="10"/>
      <c r="K2401" s="10" t="s">
        <v>6</v>
      </c>
      <c r="L2401" t="s">
        <v>2868</v>
      </c>
      <c r="M2401" s="2"/>
    </row>
    <row r="2402" spans="1:13">
      <c r="A2402" t="s">
        <v>28</v>
      </c>
      <c r="B2402">
        <f ca="1">IF(OR(changes[[#This Row],[Type]]="Checklist",changes[[#This Row],[Type]]="checklist-flat"),1+IF(changes[[#This Row],[Type of change]] = "Edit",COUNTIFS($I$4:changes[[#This Row],[Name]],changes[[#This Row],[Name]], $E$4:changes[[#This Row],[Type of change]], "Edit")),B2401)</f>
        <v>3</v>
      </c>
      <c r="C2402" s="16">
        <v>44880</v>
      </c>
      <c r="D2402" s="1" t="s">
        <v>2786</v>
      </c>
      <c r="E2402" t="s">
        <v>15</v>
      </c>
      <c r="F2402" s="10" t="s">
        <v>9</v>
      </c>
      <c r="G2402" s="10" t="s">
        <v>1530</v>
      </c>
      <c r="H2402" s="10" t="s">
        <v>55</v>
      </c>
      <c r="I2402" s="10" t="s">
        <v>1478</v>
      </c>
      <c r="J2402" s="10"/>
      <c r="K2402" s="10" t="s">
        <v>6</v>
      </c>
      <c r="L2402" t="s">
        <v>2868</v>
      </c>
      <c r="M2402" s="2"/>
    </row>
    <row r="2403" spans="1:13">
      <c r="A2403" t="s">
        <v>28</v>
      </c>
      <c r="B2403">
        <f ca="1">IF(OR(changes[[#This Row],[Type]]="Checklist",changes[[#This Row],[Type]]="checklist-flat"),1+IF(changes[[#This Row],[Type of change]] = "Edit",COUNTIFS($I$4:changes[[#This Row],[Name]],changes[[#This Row],[Name]], $E$4:changes[[#This Row],[Type of change]], "Edit")),B2402)</f>
        <v>3</v>
      </c>
      <c r="C2403" s="16">
        <v>44880</v>
      </c>
      <c r="D2403" s="1" t="s">
        <v>2786</v>
      </c>
      <c r="E2403" t="s">
        <v>15</v>
      </c>
      <c r="F2403" s="10" t="s">
        <v>9</v>
      </c>
      <c r="G2403" s="10" t="s">
        <v>1530</v>
      </c>
      <c r="H2403" s="10" t="s">
        <v>55</v>
      </c>
      <c r="I2403" s="10" t="s">
        <v>1479</v>
      </c>
      <c r="J2403" s="10"/>
      <c r="K2403" s="10" t="s">
        <v>6</v>
      </c>
      <c r="L2403" t="s">
        <v>2868</v>
      </c>
      <c r="M2403" s="2"/>
    </row>
    <row r="2404" spans="1:13">
      <c r="A2404" t="s">
        <v>28</v>
      </c>
      <c r="B2404">
        <f ca="1">IF(OR(changes[[#This Row],[Type]]="Checklist",changes[[#This Row],[Type]]="checklist-flat"),1+IF(changes[[#This Row],[Type of change]] = "Edit",COUNTIFS($I$4:changes[[#This Row],[Name]],changes[[#This Row],[Name]], $E$4:changes[[#This Row],[Type of change]], "Edit")),B2403)</f>
        <v>3</v>
      </c>
      <c r="C2404" s="16">
        <v>44880</v>
      </c>
      <c r="D2404" s="1" t="s">
        <v>2786</v>
      </c>
      <c r="E2404" t="s">
        <v>15</v>
      </c>
      <c r="F2404" s="10" t="s">
        <v>9</v>
      </c>
      <c r="G2404" s="10" t="s">
        <v>1530</v>
      </c>
      <c r="H2404" s="10" t="s">
        <v>479</v>
      </c>
      <c r="I2404" s="10" t="s">
        <v>1402</v>
      </c>
      <c r="J2404" s="10"/>
      <c r="K2404" s="10" t="s">
        <v>6</v>
      </c>
      <c r="L2404" t="s">
        <v>2868</v>
      </c>
      <c r="M2404" s="2"/>
    </row>
    <row r="2405" spans="1:13">
      <c r="A2405" t="s">
        <v>28</v>
      </c>
      <c r="B2405">
        <f ca="1">IF(OR(changes[[#This Row],[Type]]="Checklist",changes[[#This Row],[Type]]="checklist-flat"),1+IF(changes[[#This Row],[Type of change]] = "Edit",COUNTIFS($I$4:changes[[#This Row],[Name]],changes[[#This Row],[Name]], $E$4:changes[[#This Row],[Type of change]], "Edit")),B2404)</f>
        <v>3</v>
      </c>
      <c r="C2405" s="16">
        <v>44880</v>
      </c>
      <c r="D2405" s="1" t="s">
        <v>2786</v>
      </c>
      <c r="E2405" t="s">
        <v>15</v>
      </c>
      <c r="F2405" s="10" t="s">
        <v>9</v>
      </c>
      <c r="G2405" s="10" t="s">
        <v>1530</v>
      </c>
      <c r="H2405" s="10" t="s">
        <v>55</v>
      </c>
      <c r="I2405" s="10" t="s">
        <v>1525</v>
      </c>
      <c r="J2405" s="10"/>
      <c r="K2405" s="10" t="s">
        <v>6</v>
      </c>
      <c r="L2405" t="s">
        <v>2868</v>
      </c>
      <c r="M2405" s="2"/>
    </row>
    <row r="2406" spans="1:13">
      <c r="A2406" t="s">
        <v>28</v>
      </c>
      <c r="B2406">
        <f ca="1">IF(OR(changes[[#This Row],[Type]]="Checklist",changes[[#This Row],[Type]]="checklist-flat"),1+IF(changes[[#This Row],[Type of change]] = "Edit",COUNTIFS($I$4:changes[[#This Row],[Name]],changes[[#This Row],[Name]], $E$4:changes[[#This Row],[Type of change]], "Edit")),B2405)</f>
        <v>3</v>
      </c>
      <c r="C2406" s="16">
        <v>44880</v>
      </c>
      <c r="D2406" s="1" t="s">
        <v>2786</v>
      </c>
      <c r="E2406" t="s">
        <v>15</v>
      </c>
      <c r="F2406" s="10" t="s">
        <v>9</v>
      </c>
      <c r="G2406" s="10" t="s">
        <v>1530</v>
      </c>
      <c r="H2406" s="10" t="s">
        <v>55</v>
      </c>
      <c r="I2406" s="10" t="s">
        <v>1526</v>
      </c>
      <c r="J2406" s="10"/>
      <c r="K2406" s="10" t="s">
        <v>6</v>
      </c>
      <c r="L2406" t="s">
        <v>2868</v>
      </c>
      <c r="M2406" s="2"/>
    </row>
    <row r="2407" spans="1:13" ht="15.75" customHeight="1">
      <c r="A2407" t="s">
        <v>28</v>
      </c>
      <c r="B2407">
        <f ca="1">IF(OR(changes[[#This Row],[Type]]="Checklist",changes[[#This Row],[Type]]="checklist-flat"),1+IF(changes[[#This Row],[Type of change]] = "Edit",COUNTIFS($I$4:changes[[#This Row],[Name]],changes[[#This Row],[Name]], $E$4:changes[[#This Row],[Type of change]], "Edit")),B2406)</f>
        <v>3</v>
      </c>
      <c r="C2407" s="16">
        <v>44880</v>
      </c>
      <c r="D2407" s="1" t="s">
        <v>2786</v>
      </c>
      <c r="E2407" t="s">
        <v>15</v>
      </c>
      <c r="F2407" s="10" t="s">
        <v>9</v>
      </c>
      <c r="G2407" s="10" t="s">
        <v>1530</v>
      </c>
      <c r="H2407" s="10" t="s">
        <v>55</v>
      </c>
      <c r="I2407" s="10" t="s">
        <v>1500</v>
      </c>
      <c r="J2407" s="10"/>
      <c r="K2407" s="10" t="s">
        <v>6</v>
      </c>
      <c r="L2407" t="s">
        <v>2868</v>
      </c>
      <c r="M2407" s="2"/>
    </row>
    <row r="2408" spans="1:13">
      <c r="A2408" t="s">
        <v>28</v>
      </c>
      <c r="B2408">
        <f ca="1">IF(OR(changes[[#This Row],[Type]]="Checklist",changes[[#This Row],[Type]]="checklist-flat"),1+IF(changes[[#This Row],[Type of change]] = "Edit",COUNTIFS($I$4:changes[[#This Row],[Name]],changes[[#This Row],[Name]], $E$4:changes[[#This Row],[Type of change]], "Edit")),B2407)</f>
        <v>3</v>
      </c>
      <c r="C2408" s="16">
        <v>44880</v>
      </c>
      <c r="D2408" s="1" t="s">
        <v>2786</v>
      </c>
      <c r="E2408" t="s">
        <v>15</v>
      </c>
      <c r="F2408" s="10" t="s">
        <v>9</v>
      </c>
      <c r="G2408" s="10" t="s">
        <v>1530</v>
      </c>
      <c r="H2408" s="10" t="s">
        <v>55</v>
      </c>
      <c r="I2408" s="10" t="s">
        <v>1501</v>
      </c>
      <c r="J2408" s="10"/>
      <c r="K2408" s="10" t="s">
        <v>6</v>
      </c>
      <c r="L2408" t="s">
        <v>2868</v>
      </c>
      <c r="M2408" s="2" t="s">
        <v>2902</v>
      </c>
    </row>
    <row r="2409" spans="1:13">
      <c r="A2409" t="s">
        <v>28</v>
      </c>
      <c r="B2409">
        <f ca="1">IF(OR(changes[[#This Row],[Type]]="Checklist",changes[[#This Row],[Type]]="checklist-flat"),1+IF(changes[[#This Row],[Type of change]] = "Edit",COUNTIFS($I$4:changes[[#This Row],[Name]],changes[[#This Row],[Name]], $E$4:changes[[#This Row],[Type of change]], "Edit")),B2408)</f>
        <v>3</v>
      </c>
      <c r="C2409" s="16">
        <v>44880</v>
      </c>
      <c r="D2409" s="1" t="s">
        <v>2786</v>
      </c>
      <c r="E2409" t="s">
        <v>15</v>
      </c>
      <c r="F2409" s="10" t="s">
        <v>9</v>
      </c>
      <c r="G2409" s="10" t="s">
        <v>1530</v>
      </c>
      <c r="H2409" s="10" t="s">
        <v>55</v>
      </c>
      <c r="I2409" s="10" t="s">
        <v>1532</v>
      </c>
      <c r="J2409" s="10"/>
      <c r="K2409" s="10" t="s">
        <v>6</v>
      </c>
      <c r="L2409" t="s">
        <v>2868</v>
      </c>
      <c r="M2409" s="2" t="s">
        <v>2902</v>
      </c>
    </row>
    <row r="2410" spans="1:13" ht="14.25" customHeight="1">
      <c r="A2410" t="s">
        <v>28</v>
      </c>
      <c r="B2410">
        <f ca="1">IF(OR(changes[[#This Row],[Type]]="Checklist",changes[[#This Row],[Type]]="checklist-flat"),1+IF(changes[[#This Row],[Type of change]] = "Edit",COUNTIFS($I$4:changes[[#This Row],[Name]],changes[[#This Row],[Name]], $E$4:changes[[#This Row],[Type of change]], "Edit")),B2409)</f>
        <v>3</v>
      </c>
      <c r="C2410" s="16">
        <v>44880</v>
      </c>
      <c r="D2410" s="1" t="s">
        <v>2786</v>
      </c>
      <c r="E2410" t="s">
        <v>15</v>
      </c>
      <c r="F2410" s="10" t="s">
        <v>9</v>
      </c>
      <c r="G2410" s="10" t="s">
        <v>1530</v>
      </c>
      <c r="H2410" s="10" t="s">
        <v>55</v>
      </c>
      <c r="I2410" s="10" t="s">
        <v>1502</v>
      </c>
      <c r="J2410" s="10"/>
      <c r="K2410" s="10" t="s">
        <v>6</v>
      </c>
      <c r="L2410" t="s">
        <v>2868</v>
      </c>
      <c r="M2410" s="2" t="s">
        <v>2902</v>
      </c>
    </row>
    <row r="2411" spans="1:13">
      <c r="A2411" t="s">
        <v>28</v>
      </c>
      <c r="B2411">
        <f ca="1">IF(OR(changes[[#This Row],[Type]]="Checklist",changes[[#This Row],[Type]]="checklist-flat"),1+IF(changes[[#This Row],[Type of change]] = "Edit",COUNTIFS($I$4:changes[[#This Row],[Name]],changes[[#This Row],[Name]], $E$4:changes[[#This Row],[Type of change]], "Edit")),B2410)</f>
        <v>3</v>
      </c>
      <c r="C2411" s="16">
        <v>44880</v>
      </c>
      <c r="D2411" s="1" t="s">
        <v>2786</v>
      </c>
      <c r="E2411" t="s">
        <v>15</v>
      </c>
      <c r="F2411" s="10" t="s">
        <v>9</v>
      </c>
      <c r="G2411" s="10" t="s">
        <v>1530</v>
      </c>
      <c r="H2411" s="10" t="s">
        <v>55</v>
      </c>
      <c r="I2411" s="10" t="s">
        <v>1503</v>
      </c>
      <c r="J2411" s="10"/>
      <c r="K2411" s="10" t="s">
        <v>6</v>
      </c>
      <c r="L2411" t="s">
        <v>2868</v>
      </c>
      <c r="M2411" s="2" t="s">
        <v>2902</v>
      </c>
    </row>
    <row r="2412" spans="1:13">
      <c r="A2412" t="s">
        <v>28</v>
      </c>
      <c r="B2412">
        <f ca="1">IF(OR(changes[[#This Row],[Type]]="Checklist",changes[[#This Row],[Type]]="checklist-flat"),1+IF(changes[[#This Row],[Type of change]] = "Edit",COUNTIFS($I$4:changes[[#This Row],[Name]],changes[[#This Row],[Name]], $E$4:changes[[#This Row],[Type of change]], "Edit")),B2411)</f>
        <v>3</v>
      </c>
      <c r="C2412" s="16">
        <v>44880</v>
      </c>
      <c r="D2412" s="1" t="s">
        <v>2786</v>
      </c>
      <c r="E2412" t="s">
        <v>15</v>
      </c>
      <c r="F2412" s="10" t="s">
        <v>9</v>
      </c>
      <c r="G2412" s="10" t="s">
        <v>1530</v>
      </c>
      <c r="H2412" s="10" t="s">
        <v>55</v>
      </c>
      <c r="I2412" s="10" t="s">
        <v>1504</v>
      </c>
      <c r="J2412" s="10"/>
      <c r="K2412" s="10" t="s">
        <v>6</v>
      </c>
      <c r="L2412" t="s">
        <v>2868</v>
      </c>
      <c r="M2412" s="2" t="s">
        <v>2902</v>
      </c>
    </row>
    <row r="2413" spans="1:13">
      <c r="A2413" t="s">
        <v>28</v>
      </c>
      <c r="B2413">
        <f ca="1">IF(OR(changes[[#This Row],[Type]]="Checklist",changes[[#This Row],[Type]]="checklist-flat"),1+IF(changes[[#This Row],[Type of change]] = "Edit",COUNTIFS($I$4:changes[[#This Row],[Name]],changes[[#This Row],[Name]], $E$4:changes[[#This Row],[Type of change]], "Edit")),B2412)</f>
        <v>3</v>
      </c>
      <c r="C2413" s="16">
        <v>44880</v>
      </c>
      <c r="D2413" s="1" t="s">
        <v>2786</v>
      </c>
      <c r="E2413" t="s">
        <v>15</v>
      </c>
      <c r="F2413" s="10" t="s">
        <v>9</v>
      </c>
      <c r="G2413" s="10" t="s">
        <v>1530</v>
      </c>
      <c r="H2413" s="10" t="s">
        <v>55</v>
      </c>
      <c r="I2413" s="10" t="s">
        <v>1505</v>
      </c>
      <c r="J2413" s="10"/>
      <c r="K2413" s="10" t="s">
        <v>6</v>
      </c>
      <c r="L2413" t="s">
        <v>2868</v>
      </c>
      <c r="M2413" s="2" t="s">
        <v>2902</v>
      </c>
    </row>
    <row r="2414" spans="1:13">
      <c r="A2414" t="s">
        <v>28</v>
      </c>
      <c r="B2414">
        <f ca="1">IF(OR(changes[[#This Row],[Type]]="Checklist",changes[[#This Row],[Type]]="checklist-flat"),1+IF(changes[[#This Row],[Type of change]] = "Edit",COUNTIFS($I$4:changes[[#This Row],[Name]],changes[[#This Row],[Name]], $E$4:changes[[#This Row],[Type of change]], "Edit")),B2413)</f>
        <v>3</v>
      </c>
      <c r="C2414" s="16">
        <v>44880</v>
      </c>
      <c r="D2414" s="1" t="s">
        <v>2786</v>
      </c>
      <c r="E2414" t="s">
        <v>15</v>
      </c>
      <c r="F2414" s="10" t="s">
        <v>9</v>
      </c>
      <c r="G2414" s="10" t="s">
        <v>1530</v>
      </c>
      <c r="H2414" s="10" t="s">
        <v>55</v>
      </c>
      <c r="I2414" s="10" t="s">
        <v>1506</v>
      </c>
      <c r="J2414" s="10"/>
      <c r="K2414" s="10" t="s">
        <v>6</v>
      </c>
      <c r="L2414" t="s">
        <v>2868</v>
      </c>
      <c r="M2414" s="2" t="s">
        <v>2902</v>
      </c>
    </row>
    <row r="2415" spans="1:13">
      <c r="A2415" t="s">
        <v>28</v>
      </c>
      <c r="B2415">
        <f ca="1">IF(OR(changes[[#This Row],[Type]]="Checklist",changes[[#This Row],[Type]]="checklist-flat"),1+IF(changes[[#This Row],[Type of change]] = "Edit",COUNTIFS($I$4:changes[[#This Row],[Name]],changes[[#This Row],[Name]], $E$4:changes[[#This Row],[Type of change]], "Edit")),B2414)</f>
        <v>3</v>
      </c>
      <c r="C2415" s="16">
        <v>44880</v>
      </c>
      <c r="D2415" s="1" t="s">
        <v>2786</v>
      </c>
      <c r="E2415" t="s">
        <v>15</v>
      </c>
      <c r="F2415" s="10" t="s">
        <v>9</v>
      </c>
      <c r="G2415" s="10" t="s">
        <v>1530</v>
      </c>
      <c r="H2415" s="10" t="s">
        <v>55</v>
      </c>
      <c r="I2415" s="10" t="s">
        <v>1533</v>
      </c>
      <c r="J2415" s="10"/>
      <c r="K2415" s="10" t="s">
        <v>6</v>
      </c>
      <c r="L2415" t="s">
        <v>2868</v>
      </c>
      <c r="M2415" s="2" t="s">
        <v>2902</v>
      </c>
    </row>
    <row r="2416" spans="1:13" ht="15.75" customHeight="1">
      <c r="A2416" t="s">
        <v>28</v>
      </c>
      <c r="B2416">
        <f ca="1">IF(OR(changes[[#This Row],[Type]]="Checklist",changes[[#This Row],[Type]]="checklist-flat"),1+IF(changes[[#This Row],[Type of change]] = "Edit",COUNTIFS($I$4:changes[[#This Row],[Name]],changes[[#This Row],[Name]], $E$4:changes[[#This Row],[Type of change]], "Edit")),B2415)</f>
        <v>3</v>
      </c>
      <c r="C2416" s="16">
        <v>44880</v>
      </c>
      <c r="D2416" s="1" t="s">
        <v>2786</v>
      </c>
      <c r="E2416" t="s">
        <v>15</v>
      </c>
      <c r="F2416" s="10" t="s">
        <v>9</v>
      </c>
      <c r="G2416" s="10" t="s">
        <v>1530</v>
      </c>
      <c r="H2416" s="10" t="s">
        <v>55</v>
      </c>
      <c r="I2416" s="10" t="s">
        <v>1513</v>
      </c>
      <c r="J2416" s="10"/>
      <c r="K2416" s="10" t="s">
        <v>6</v>
      </c>
      <c r="L2416" t="s">
        <v>2868</v>
      </c>
      <c r="M2416" s="2"/>
    </row>
    <row r="2417" spans="1:13" ht="14.25" customHeight="1">
      <c r="A2417" t="s">
        <v>28</v>
      </c>
      <c r="B2417">
        <f ca="1">IF(OR(changes[[#This Row],[Type]]="Checklist",changes[[#This Row],[Type]]="checklist-flat"),1+IF(changes[[#This Row],[Type of change]] = "Edit",COUNTIFS($I$4:changes[[#This Row],[Name]],changes[[#This Row],[Name]], $E$4:changes[[#This Row],[Type of change]], "Edit")),B2416)</f>
        <v>3</v>
      </c>
      <c r="C2417" s="16">
        <v>44880</v>
      </c>
      <c r="D2417" s="1" t="s">
        <v>2786</v>
      </c>
      <c r="E2417" t="s">
        <v>15</v>
      </c>
      <c r="F2417" s="10" t="s">
        <v>9</v>
      </c>
      <c r="G2417" s="10" t="s">
        <v>1530</v>
      </c>
      <c r="H2417" s="10" t="s">
        <v>479</v>
      </c>
      <c r="I2417" s="10" t="s">
        <v>1408</v>
      </c>
      <c r="J2417" s="10"/>
      <c r="K2417" s="10" t="s">
        <v>6</v>
      </c>
      <c r="L2417" t="s">
        <v>2868</v>
      </c>
      <c r="M2417" s="2"/>
    </row>
    <row r="2418" spans="1:13" ht="14.25" customHeight="1">
      <c r="A2418" t="s">
        <v>28</v>
      </c>
      <c r="B2418">
        <f ca="1">IF(OR(changes[[#This Row],[Type]]="Checklist",changes[[#This Row],[Type]]="checklist-flat"),1+IF(changes[[#This Row],[Type of change]] = "Edit",COUNTIFS($I$4:changes[[#This Row],[Name]],changes[[#This Row],[Name]], $E$4:changes[[#This Row],[Type of change]], "Edit")),B2417)</f>
        <v>3</v>
      </c>
      <c r="C2418" s="16">
        <v>44880</v>
      </c>
      <c r="D2418" s="1" t="s">
        <v>2786</v>
      </c>
      <c r="E2418" t="s">
        <v>15</v>
      </c>
      <c r="F2418" s="10" t="s">
        <v>9</v>
      </c>
      <c r="G2418" s="10" t="s">
        <v>1530</v>
      </c>
      <c r="H2418" s="10" t="s">
        <v>55</v>
      </c>
      <c r="I2418" s="10" t="s">
        <v>1527</v>
      </c>
      <c r="J2418" s="10"/>
      <c r="K2418" s="10" t="s">
        <v>6</v>
      </c>
      <c r="L2418" t="s">
        <v>2868</v>
      </c>
      <c r="M2418" s="2"/>
    </row>
    <row r="2419" spans="1:13">
      <c r="A2419" t="s">
        <v>28</v>
      </c>
      <c r="B2419">
        <f ca="1">IF(OR(changes[[#This Row],[Type]]="Checklist",changes[[#This Row],[Type]]="checklist-flat"),1+IF(changes[[#This Row],[Type of change]] = "Edit",COUNTIFS($I$4:changes[[#This Row],[Name]],changes[[#This Row],[Name]], $E$4:changes[[#This Row],[Type of change]], "Edit")),B2418)</f>
        <v>3</v>
      </c>
      <c r="C2419" s="16">
        <v>44880</v>
      </c>
      <c r="D2419" s="1" t="s">
        <v>2786</v>
      </c>
      <c r="E2419" t="s">
        <v>15</v>
      </c>
      <c r="F2419" s="10" t="s">
        <v>9</v>
      </c>
      <c r="G2419" s="10" t="s">
        <v>1530</v>
      </c>
      <c r="H2419" s="10" t="s">
        <v>55</v>
      </c>
      <c r="I2419" s="10" t="s">
        <v>1520</v>
      </c>
      <c r="J2419" s="10"/>
      <c r="K2419" s="10" t="s">
        <v>6</v>
      </c>
      <c r="L2419" t="s">
        <v>2868</v>
      </c>
      <c r="M2419" s="2"/>
    </row>
    <row r="2420" spans="1:13" ht="15.75" customHeight="1">
      <c r="A2420" t="s">
        <v>28</v>
      </c>
      <c r="B2420">
        <f ca="1">IF(OR(changes[[#This Row],[Type]]="Checklist",changes[[#This Row],[Type]]="checklist-flat"),1+IF(changes[[#This Row],[Type of change]] = "Edit",COUNTIFS($I$4:changes[[#This Row],[Name]],changes[[#This Row],[Name]], $E$4:changes[[#This Row],[Type of change]], "Edit")),B2419)</f>
        <v>3</v>
      </c>
      <c r="C2420" s="16">
        <v>44880</v>
      </c>
      <c r="D2420" s="1" t="s">
        <v>2786</v>
      </c>
      <c r="E2420" t="s">
        <v>15</v>
      </c>
      <c r="F2420" s="10" t="s">
        <v>9</v>
      </c>
      <c r="G2420" s="10" t="s">
        <v>1530</v>
      </c>
      <c r="H2420" s="10" t="s">
        <v>479</v>
      </c>
      <c r="I2420" s="10" t="s">
        <v>1416</v>
      </c>
      <c r="J2420" s="10"/>
      <c r="K2420" s="10" t="s">
        <v>6</v>
      </c>
      <c r="L2420" t="s">
        <v>2868</v>
      </c>
      <c r="M2420" s="2"/>
    </row>
    <row r="2421" spans="1:13" ht="15.75" customHeight="1">
      <c r="A2421" t="s">
        <v>28</v>
      </c>
      <c r="B2421">
        <f ca="1">IF(OR(changes[[#This Row],[Type]]="Checklist",changes[[#This Row],[Type]]="checklist-flat"),1+IF(changes[[#This Row],[Type of change]] = "Edit",COUNTIFS($I$4:changes[[#This Row],[Name]],changes[[#This Row],[Name]], $E$4:changes[[#This Row],[Type of change]], "Edit")),B2420)</f>
        <v>3</v>
      </c>
      <c r="C2421" s="16">
        <v>44880</v>
      </c>
      <c r="D2421" s="1" t="s">
        <v>2786</v>
      </c>
      <c r="E2421" t="s">
        <v>15</v>
      </c>
      <c r="F2421" s="10" t="s">
        <v>9</v>
      </c>
      <c r="G2421" s="10" t="s">
        <v>1530</v>
      </c>
      <c r="H2421" s="10" t="s">
        <v>55</v>
      </c>
      <c r="I2421" s="10" t="s">
        <v>1523</v>
      </c>
      <c r="J2421" s="10"/>
      <c r="K2421" s="10" t="s">
        <v>6</v>
      </c>
      <c r="L2421" t="s">
        <v>2868</v>
      </c>
      <c r="M2421" s="2"/>
    </row>
    <row r="2422" spans="1:13" ht="14.25" customHeight="1">
      <c r="A2422" t="s">
        <v>28</v>
      </c>
      <c r="B2422">
        <f ca="1">IF(OR(changes[[#This Row],[Type]]="Checklist",changes[[#This Row],[Type]]="checklist-flat"),1+IF(changes[[#This Row],[Type of change]] = "Edit",COUNTIFS($I$4:changes[[#This Row],[Name]],changes[[#This Row],[Name]], $E$4:changes[[#This Row],[Type of change]], "Edit")),B2421)</f>
        <v>3</v>
      </c>
      <c r="C2422" s="16">
        <v>44880</v>
      </c>
      <c r="D2422" s="1" t="s">
        <v>2786</v>
      </c>
      <c r="E2422" t="s">
        <v>15</v>
      </c>
      <c r="F2422" s="10" t="s">
        <v>9</v>
      </c>
      <c r="G2422" s="10" t="s">
        <v>1530</v>
      </c>
      <c r="H2422" s="10" t="s">
        <v>55</v>
      </c>
      <c r="I2422" s="10" t="s">
        <v>93</v>
      </c>
      <c r="J2422" s="10"/>
      <c r="K2422" s="10" t="s">
        <v>6</v>
      </c>
      <c r="L2422" t="s">
        <v>2868</v>
      </c>
      <c r="M2422" s="2"/>
    </row>
    <row r="2423" spans="1:13" ht="14.25" customHeight="1">
      <c r="A2423" t="s">
        <v>28</v>
      </c>
      <c r="B2423">
        <f ca="1">IF(OR(changes[[#This Row],[Type]]="Checklist",changes[[#This Row],[Type]]="checklist-flat"),1+IF(changes[[#This Row],[Type of change]] = "Edit",COUNTIFS($I$4:changes[[#This Row],[Name]],changes[[#This Row],[Name]], $E$4:changes[[#This Row],[Type of change]], "Edit")),B2422)</f>
        <v>3</v>
      </c>
      <c r="C2423" s="16">
        <v>44880</v>
      </c>
      <c r="D2423" s="1" t="s">
        <v>2786</v>
      </c>
      <c r="E2423" t="s">
        <v>15</v>
      </c>
      <c r="F2423" s="10" t="s">
        <v>9</v>
      </c>
      <c r="G2423" s="10" t="s">
        <v>1530</v>
      </c>
      <c r="H2423" s="10" t="s">
        <v>64</v>
      </c>
      <c r="I2423" s="10" t="s">
        <v>94</v>
      </c>
      <c r="J2423" s="10"/>
      <c r="K2423" s="10" t="s">
        <v>6</v>
      </c>
      <c r="L2423" t="s">
        <v>2868</v>
      </c>
      <c r="M2423" s="2"/>
    </row>
    <row r="2424" spans="1:13" ht="14.25" customHeight="1">
      <c r="A2424" t="s">
        <v>28</v>
      </c>
      <c r="B2424">
        <f ca="1">IF(OR(changes[[#This Row],[Type]]="Checklist",changes[[#This Row],[Type]]="checklist-flat"),1+IF(changes[[#This Row],[Type of change]] = "Edit",COUNTIFS($I$4:changes[[#This Row],[Name]],changes[[#This Row],[Name]], $E$4:changes[[#This Row],[Type of change]], "Edit")),B2423)</f>
        <v>2</v>
      </c>
      <c r="C2424" s="16">
        <v>44881</v>
      </c>
      <c r="D2424" s="1" t="s">
        <v>2863</v>
      </c>
      <c r="E2424" t="s">
        <v>15</v>
      </c>
      <c r="F2424" s="10" t="s">
        <v>9</v>
      </c>
      <c r="G2424" s="10" t="s">
        <v>2903</v>
      </c>
      <c r="H2424" s="10" t="s">
        <v>54</v>
      </c>
      <c r="I2424" s="10" t="s">
        <v>781</v>
      </c>
      <c r="J2424" s="10"/>
      <c r="K2424" s="10" t="s">
        <v>6</v>
      </c>
      <c r="L2424" t="s">
        <v>2904</v>
      </c>
      <c r="M2424" s="2"/>
    </row>
    <row r="2425" spans="1:13" ht="15.75">
      <c r="A2425" t="s">
        <v>28</v>
      </c>
      <c r="B2425">
        <f ca="1">IF(OR(changes[[#This Row],[Type]]="Checklist",changes[[#This Row],[Type]]="checklist-flat"),1+IF(changes[[#This Row],[Type of change]] = "Edit",COUNTIFS($I$4:changes[[#This Row],[Name]],changes[[#This Row],[Name]], $E$4:changes[[#This Row],[Type of change]], "Edit")),B2424)</f>
        <v>2</v>
      </c>
      <c r="C2425" s="16">
        <v>44881</v>
      </c>
      <c r="D2425" s="1" t="s">
        <v>2863</v>
      </c>
      <c r="E2425" t="s">
        <v>15</v>
      </c>
      <c r="F2425" s="10" t="s">
        <v>9</v>
      </c>
      <c r="G2425" s="18" t="s">
        <v>2903</v>
      </c>
      <c r="H2425" s="60" t="s">
        <v>55</v>
      </c>
      <c r="I2425" s="18" t="s">
        <v>782</v>
      </c>
      <c r="J2425" s="61"/>
      <c r="K2425" s="2" t="s">
        <v>6</v>
      </c>
      <c r="L2425" t="s">
        <v>2904</v>
      </c>
      <c r="M2425" s="2"/>
    </row>
    <row r="2426" spans="1:13" ht="15.75">
      <c r="A2426" t="s">
        <v>28</v>
      </c>
      <c r="B2426">
        <f ca="1">IF(OR(changes[[#This Row],[Type]]="Checklist",changes[[#This Row],[Type]]="checklist-flat"),1+IF(changes[[#This Row],[Type of change]] = "Edit",COUNTIFS($I$4:changes[[#This Row],[Name]],changes[[#This Row],[Name]], $E$4:changes[[#This Row],[Type of change]], "Edit")),B2425)</f>
        <v>2</v>
      </c>
      <c r="C2426" s="16">
        <v>44881</v>
      </c>
      <c r="D2426" s="1" t="s">
        <v>2863</v>
      </c>
      <c r="E2426" t="s">
        <v>15</v>
      </c>
      <c r="F2426" s="10" t="s">
        <v>9</v>
      </c>
      <c r="G2426" s="18" t="s">
        <v>2903</v>
      </c>
      <c r="H2426" s="60" t="s">
        <v>55</v>
      </c>
      <c r="I2426" s="18" t="s">
        <v>783</v>
      </c>
      <c r="J2426" s="61"/>
      <c r="K2426" s="2" t="s">
        <v>6</v>
      </c>
      <c r="L2426" t="s">
        <v>2904</v>
      </c>
      <c r="M2426" s="2"/>
    </row>
    <row r="2427" spans="1:13" ht="14.25" customHeight="1">
      <c r="A2427" t="s">
        <v>28</v>
      </c>
      <c r="B2427">
        <f ca="1">IF(OR(changes[[#This Row],[Type]]="Checklist",changes[[#This Row],[Type]]="checklist-flat"),1+IF(changes[[#This Row],[Type of change]] = "Edit",COUNTIFS($I$4:changes[[#This Row],[Name]],changes[[#This Row],[Name]], $E$4:changes[[#This Row],[Type of change]], "Edit")),B2426)</f>
        <v>2</v>
      </c>
      <c r="C2427" s="16">
        <v>44881</v>
      </c>
      <c r="D2427" s="1" t="s">
        <v>2863</v>
      </c>
      <c r="E2427" t="s">
        <v>15</v>
      </c>
      <c r="F2427" s="10" t="s">
        <v>9</v>
      </c>
      <c r="G2427" s="18" t="s">
        <v>2903</v>
      </c>
      <c r="H2427" s="64" t="s">
        <v>55</v>
      </c>
      <c r="I2427" s="21" t="s">
        <v>784</v>
      </c>
      <c r="J2427" s="61"/>
      <c r="K2427" s="2" t="s">
        <v>6</v>
      </c>
      <c r="L2427" t="s">
        <v>2904</v>
      </c>
      <c r="M2427" s="2" t="s">
        <v>2799</v>
      </c>
    </row>
    <row r="2428" spans="1:13" ht="14.25" customHeight="1">
      <c r="A2428" t="s">
        <v>28</v>
      </c>
      <c r="B2428">
        <f ca="1">IF(OR(changes[[#This Row],[Type]]="Checklist",changes[[#This Row],[Type]]="checklist-flat"),1+IF(changes[[#This Row],[Type of change]] = "Edit",COUNTIFS($I$4:changes[[#This Row],[Name]],changes[[#This Row],[Name]], $E$4:changes[[#This Row],[Type of change]], "Edit")),B2427)</f>
        <v>2</v>
      </c>
      <c r="C2428" s="16">
        <v>44881</v>
      </c>
      <c r="D2428" s="1" t="s">
        <v>2863</v>
      </c>
      <c r="E2428" t="s">
        <v>15</v>
      </c>
      <c r="F2428" s="10" t="s">
        <v>9</v>
      </c>
      <c r="G2428" s="18" t="s">
        <v>2903</v>
      </c>
      <c r="H2428" s="64" t="s">
        <v>55</v>
      </c>
      <c r="I2428" s="20" t="s">
        <v>785</v>
      </c>
      <c r="J2428" s="61"/>
      <c r="K2428" s="2" t="s">
        <v>6</v>
      </c>
      <c r="L2428" t="s">
        <v>2904</v>
      </c>
      <c r="M2428" s="2" t="s">
        <v>2799</v>
      </c>
    </row>
    <row r="2429" spans="1:13" ht="14.25" customHeight="1">
      <c r="A2429" t="s">
        <v>28</v>
      </c>
      <c r="B2429">
        <f ca="1">IF(OR(changes[[#This Row],[Type]]="Checklist",changes[[#This Row],[Type]]="checklist-flat"),1+IF(changes[[#This Row],[Type of change]] = "Edit",COUNTIFS($I$4:changes[[#This Row],[Name]],changes[[#This Row],[Name]], $E$4:changes[[#This Row],[Type of change]], "Edit")),B2428)</f>
        <v>2</v>
      </c>
      <c r="C2429" s="16">
        <v>44881</v>
      </c>
      <c r="D2429" s="1" t="s">
        <v>2863</v>
      </c>
      <c r="E2429" t="s">
        <v>15</v>
      </c>
      <c r="F2429" s="10" t="s">
        <v>9</v>
      </c>
      <c r="G2429" s="18" t="s">
        <v>2903</v>
      </c>
      <c r="H2429" s="60" t="s">
        <v>55</v>
      </c>
      <c r="I2429" s="18" t="s">
        <v>786</v>
      </c>
      <c r="J2429" s="61"/>
      <c r="K2429" s="2" t="s">
        <v>6</v>
      </c>
      <c r="L2429" t="s">
        <v>2904</v>
      </c>
      <c r="M2429" s="2"/>
    </row>
    <row r="2430" spans="1:13" ht="15.75">
      <c r="A2430" t="s">
        <v>28</v>
      </c>
      <c r="B2430">
        <f ca="1">IF(OR(changes[[#This Row],[Type]]="Checklist",changes[[#This Row],[Type]]="checklist-flat"),1+IF(changes[[#This Row],[Type of change]] = "Edit",COUNTIFS($I$4:changes[[#This Row],[Name]],changes[[#This Row],[Name]], $E$4:changes[[#This Row],[Type of change]], "Edit")),B2429)</f>
        <v>2</v>
      </c>
      <c r="C2430" s="16">
        <v>44881</v>
      </c>
      <c r="D2430" s="1" t="s">
        <v>2863</v>
      </c>
      <c r="E2430" t="s">
        <v>15</v>
      </c>
      <c r="F2430" s="10" t="s">
        <v>9</v>
      </c>
      <c r="G2430" s="18" t="s">
        <v>2903</v>
      </c>
      <c r="H2430" s="60" t="s">
        <v>55</v>
      </c>
      <c r="I2430" s="18" t="s">
        <v>787</v>
      </c>
      <c r="J2430" s="61"/>
      <c r="K2430" s="2" t="s">
        <v>6</v>
      </c>
      <c r="L2430" t="s">
        <v>2904</v>
      </c>
      <c r="M2430" s="2"/>
    </row>
    <row r="2431" spans="1:13" ht="15.75">
      <c r="A2431" t="s">
        <v>28</v>
      </c>
      <c r="B2431">
        <f ca="1">IF(OR(changes[[#This Row],[Type]]="Checklist",changes[[#This Row],[Type]]="checklist-flat"),1+IF(changes[[#This Row],[Type of change]] = "Edit",COUNTIFS($I$4:changes[[#This Row],[Name]],changes[[#This Row],[Name]], $E$4:changes[[#This Row],[Type of change]], "Edit")),B2430)</f>
        <v>2</v>
      </c>
      <c r="C2431" s="16">
        <v>44881</v>
      </c>
      <c r="D2431" s="1" t="s">
        <v>2863</v>
      </c>
      <c r="E2431" t="s">
        <v>15</v>
      </c>
      <c r="F2431" s="10" t="s">
        <v>9</v>
      </c>
      <c r="G2431" s="18" t="s">
        <v>2903</v>
      </c>
      <c r="H2431" s="60" t="s">
        <v>55</v>
      </c>
      <c r="I2431" s="18" t="s">
        <v>788</v>
      </c>
      <c r="J2431" s="61"/>
      <c r="K2431" s="2" t="s">
        <v>6</v>
      </c>
      <c r="L2431" t="s">
        <v>2904</v>
      </c>
      <c r="M2431" s="2"/>
    </row>
    <row r="2432" spans="1:13" ht="14.25" customHeight="1">
      <c r="A2432" t="s">
        <v>28</v>
      </c>
      <c r="B2432">
        <f ca="1">IF(OR(changes[[#This Row],[Type]]="Checklist",changes[[#This Row],[Type]]="checklist-flat"),1+IF(changes[[#This Row],[Type of change]] = "Edit",COUNTIFS($I$4:changes[[#This Row],[Name]],changes[[#This Row],[Name]], $E$4:changes[[#This Row],[Type of change]], "Edit")),B2431)</f>
        <v>2</v>
      </c>
      <c r="C2432" s="16">
        <v>44881</v>
      </c>
      <c r="D2432" s="1" t="s">
        <v>2863</v>
      </c>
      <c r="E2432" t="s">
        <v>15</v>
      </c>
      <c r="F2432" s="10" t="s">
        <v>9</v>
      </c>
      <c r="G2432" s="18" t="s">
        <v>2903</v>
      </c>
      <c r="H2432" s="60" t="s">
        <v>64</v>
      </c>
      <c r="I2432" s="18" t="s">
        <v>772</v>
      </c>
      <c r="J2432" s="61"/>
      <c r="K2432" s="2" t="s">
        <v>6</v>
      </c>
      <c r="L2432" t="s">
        <v>2904</v>
      </c>
      <c r="M2432" s="2"/>
    </row>
    <row r="2433" spans="1:14" ht="14.25" customHeight="1">
      <c r="A2433" t="s">
        <v>28</v>
      </c>
      <c r="B2433">
        <f ca="1">IF(OR(changes[[#This Row],[Type]]="Checklist",changes[[#This Row],[Type]]="checklist-flat"),1+IF(changes[[#This Row],[Type of change]] = "Edit",COUNTIFS($I$4:changes[[#This Row],[Name]],changes[[#This Row],[Name]], $E$4:changes[[#This Row],[Type of change]], "Edit")),B2432)</f>
        <v>2</v>
      </c>
      <c r="C2433" s="16">
        <v>44881</v>
      </c>
      <c r="D2433" s="1" t="s">
        <v>2863</v>
      </c>
      <c r="E2433" t="s">
        <v>15</v>
      </c>
      <c r="F2433" s="10" t="s">
        <v>9</v>
      </c>
      <c r="G2433" s="18" t="s">
        <v>2903</v>
      </c>
      <c r="H2433" s="64" t="s">
        <v>55</v>
      </c>
      <c r="I2433" s="21" t="s">
        <v>93</v>
      </c>
      <c r="J2433" s="61"/>
      <c r="K2433" s="2" t="s">
        <v>6</v>
      </c>
      <c r="L2433" t="s">
        <v>2904</v>
      </c>
      <c r="M2433" s="2"/>
    </row>
    <row r="2434" spans="1:14" ht="14.25" customHeight="1">
      <c r="A2434" t="s">
        <v>28</v>
      </c>
      <c r="B2434">
        <f ca="1">IF(OR(changes[[#This Row],[Type]]="Checklist",changes[[#This Row],[Type]]="checklist-flat"),1+IF(changes[[#This Row],[Type of change]] = "Edit",COUNTIFS($I$4:changes[[#This Row],[Name]],changes[[#This Row],[Name]], $E$4:changes[[#This Row],[Type of change]], "Edit")),B2433)</f>
        <v>2</v>
      </c>
      <c r="C2434" s="16">
        <v>44881</v>
      </c>
      <c r="D2434" s="1" t="s">
        <v>2863</v>
      </c>
      <c r="E2434" t="s">
        <v>15</v>
      </c>
      <c r="F2434" s="10" t="s">
        <v>9</v>
      </c>
      <c r="G2434" s="18" t="s">
        <v>2903</v>
      </c>
      <c r="H2434" s="60" t="s">
        <v>64</v>
      </c>
      <c r="I2434" s="18" t="s">
        <v>94</v>
      </c>
      <c r="J2434" s="61"/>
      <c r="K2434" s="2" t="s">
        <v>6</v>
      </c>
      <c r="L2434" t="s">
        <v>2904</v>
      </c>
      <c r="M2434" s="2"/>
    </row>
    <row r="2435" spans="1:14" ht="15.75">
      <c r="A2435" t="s">
        <v>28</v>
      </c>
      <c r="B2435">
        <f ca="1">IF(OR(changes[[#This Row],[Type]]="Checklist",changes[[#This Row],[Type]]="checklist-flat"),1+IF(changes[[#This Row],[Type of change]] = "Edit",COUNTIFS($I$4:changes[[#This Row],[Name]],changes[[#This Row],[Name]], $E$4:changes[[#This Row],[Type of change]], "Edit")),B2434)</f>
        <v>1</v>
      </c>
      <c r="C2435" s="16">
        <v>44882</v>
      </c>
      <c r="D2435" s="1" t="s">
        <v>2401</v>
      </c>
      <c r="E2435" t="s">
        <v>27</v>
      </c>
      <c r="F2435" s="10" t="s">
        <v>52</v>
      </c>
      <c r="G2435" s="18" t="s">
        <v>74</v>
      </c>
      <c r="H2435" s="2" t="s">
        <v>54</v>
      </c>
      <c r="I2435" s="18" t="s">
        <v>74</v>
      </c>
      <c r="J2435" s="23"/>
      <c r="K2435" s="2" t="s">
        <v>6</v>
      </c>
      <c r="M2435" s="2"/>
    </row>
    <row r="2436" spans="1:14" ht="15.75">
      <c r="A2436" t="s">
        <v>28</v>
      </c>
      <c r="B2436">
        <f ca="1">IF(OR(changes[[#This Row],[Type]]="Checklist",changes[[#This Row],[Type]]="checklist-flat"),1+IF(changes[[#This Row],[Type of change]] = "Edit",COUNTIFS($I$4:changes[[#This Row],[Name]],changes[[#This Row],[Name]], $E$4:changes[[#This Row],[Type of change]], "Edit")),B2435)</f>
        <v>1</v>
      </c>
      <c r="C2436" s="16">
        <v>44882</v>
      </c>
      <c r="D2436" s="1" t="s">
        <v>2401</v>
      </c>
      <c r="E2436" t="s">
        <v>27</v>
      </c>
      <c r="F2436" s="10" t="s">
        <v>52</v>
      </c>
      <c r="G2436" s="18" t="s">
        <v>74</v>
      </c>
      <c r="H2436" s="2" t="s">
        <v>55</v>
      </c>
      <c r="I2436" s="18" t="s">
        <v>62</v>
      </c>
      <c r="J2436" s="23"/>
      <c r="K2436" s="2" t="s">
        <v>6</v>
      </c>
      <c r="M2436" s="2"/>
    </row>
    <row r="2437" spans="1:14" ht="14.25" customHeight="1">
      <c r="A2437" t="s">
        <v>28</v>
      </c>
      <c r="B2437">
        <f ca="1">IF(OR(changes[[#This Row],[Type]]="Checklist",changes[[#This Row],[Type]]="checklist-flat"),1+IF(changes[[#This Row],[Type of change]] = "Edit",COUNTIFS($I$4:changes[[#This Row],[Name]],changes[[#This Row],[Name]], $E$4:changes[[#This Row],[Type of change]], "Edit")),B2436)</f>
        <v>1</v>
      </c>
      <c r="C2437" s="16">
        <v>44882</v>
      </c>
      <c r="D2437" s="1" t="s">
        <v>2401</v>
      </c>
      <c r="E2437" t="s">
        <v>27</v>
      </c>
      <c r="F2437" s="10" t="s">
        <v>52</v>
      </c>
      <c r="G2437" s="18" t="s">
        <v>74</v>
      </c>
      <c r="H2437" s="39" t="s">
        <v>55</v>
      </c>
      <c r="I2437" s="21" t="s">
        <v>63</v>
      </c>
      <c r="J2437" s="23"/>
      <c r="K2437" s="2" t="s">
        <v>6</v>
      </c>
      <c r="M2437" s="2"/>
    </row>
    <row r="2438" spans="1:14" ht="14.25" customHeight="1">
      <c r="A2438" t="s">
        <v>28</v>
      </c>
      <c r="B2438">
        <f ca="1">IF(OR(changes[[#This Row],[Type]]="Checklist",changes[[#This Row],[Type]]="checklist-flat"),1+IF(changes[[#This Row],[Type of change]] = "Edit",COUNTIFS($I$4:changes[[#This Row],[Name]],changes[[#This Row],[Name]], $E$4:changes[[#This Row],[Type of change]], "Edit")),B2437)</f>
        <v>1</v>
      </c>
      <c r="C2438" s="16">
        <v>44882</v>
      </c>
      <c r="D2438" s="1" t="s">
        <v>2401</v>
      </c>
      <c r="E2438" t="s">
        <v>27</v>
      </c>
      <c r="F2438" s="10" t="s">
        <v>52</v>
      </c>
      <c r="G2438" s="18" t="s">
        <v>74</v>
      </c>
      <c r="H2438" s="2" t="s">
        <v>64</v>
      </c>
      <c r="I2438" s="18" t="s">
        <v>65</v>
      </c>
      <c r="J2438" s="23"/>
      <c r="K2438" s="2" t="s">
        <v>6</v>
      </c>
      <c r="M2438" s="2"/>
    </row>
    <row r="2439" spans="1:14" ht="14.25" customHeight="1">
      <c r="A2439" t="s">
        <v>28</v>
      </c>
      <c r="B2439">
        <f ca="1">IF(OR(changes[[#This Row],[Type]]="Checklist",changes[[#This Row],[Type]]="checklist-flat"),1+IF(changes[[#This Row],[Type of change]] = "Edit",COUNTIFS($I$4:changes[[#This Row],[Name]],changes[[#This Row],[Name]], $E$4:changes[[#This Row],[Type of change]], "Edit")),B2438)</f>
        <v>1</v>
      </c>
      <c r="C2439" s="16">
        <v>44882</v>
      </c>
      <c r="D2439" s="1" t="s">
        <v>2401</v>
      </c>
      <c r="E2439" t="s">
        <v>27</v>
      </c>
      <c r="F2439" s="10" t="s">
        <v>52</v>
      </c>
      <c r="G2439" s="18" t="s">
        <v>74</v>
      </c>
      <c r="H2439" s="2" t="s">
        <v>55</v>
      </c>
      <c r="I2439" s="18" t="s">
        <v>75</v>
      </c>
      <c r="J2439" s="23"/>
      <c r="K2439" s="2" t="s">
        <v>6</v>
      </c>
      <c r="M2439" s="2"/>
    </row>
    <row r="2440" spans="1:14" ht="15.75" customHeight="1">
      <c r="A2440" t="s">
        <v>28</v>
      </c>
      <c r="B2440">
        <f ca="1">IF(OR(changes[[#This Row],[Type]]="Checklist",changes[[#This Row],[Type]]="checklist-flat"),1+IF(changes[[#This Row],[Type of change]] = "Edit",COUNTIFS($I$4:changes[[#This Row],[Name]],changes[[#This Row],[Name]], $E$4:changes[[#This Row],[Type of change]], "Edit")),B2439)</f>
        <v>1</v>
      </c>
      <c r="C2440" s="16">
        <v>44882</v>
      </c>
      <c r="D2440" s="1" t="s">
        <v>2401</v>
      </c>
      <c r="E2440" t="s">
        <v>27</v>
      </c>
      <c r="F2440" s="10" t="s">
        <v>52</v>
      </c>
      <c r="G2440" s="10" t="s">
        <v>1638</v>
      </c>
      <c r="H2440" s="10" t="s">
        <v>54</v>
      </c>
      <c r="I2440" s="10" t="s">
        <v>1638</v>
      </c>
      <c r="J2440" s="65"/>
      <c r="K2440" s="2" t="s">
        <v>6</v>
      </c>
      <c r="M2440" s="2"/>
    </row>
    <row r="2441" spans="1:14" ht="15.75">
      <c r="A2441" t="s">
        <v>28</v>
      </c>
      <c r="B2441">
        <f ca="1">IF(OR(changes[[#This Row],[Type]]="Checklist",changes[[#This Row],[Type]]="checklist-flat"),1+IF(changes[[#This Row],[Type of change]] = "Edit",COUNTIFS($I$4:changes[[#This Row],[Name]],changes[[#This Row],[Name]], $E$4:changes[[#This Row],[Type of change]], "Edit")),B2440)</f>
        <v>1</v>
      </c>
      <c r="C2441" s="16">
        <v>44882</v>
      </c>
      <c r="D2441" s="1" t="s">
        <v>2401</v>
      </c>
      <c r="E2441" t="s">
        <v>27</v>
      </c>
      <c r="F2441" s="10" t="s">
        <v>52</v>
      </c>
      <c r="G2441" s="10" t="s">
        <v>1638</v>
      </c>
      <c r="H2441" s="2" t="s">
        <v>55</v>
      </c>
      <c r="I2441" s="18" t="s">
        <v>62</v>
      </c>
      <c r="J2441" s="23"/>
      <c r="K2441" s="2" t="s">
        <v>6</v>
      </c>
      <c r="M2441" s="2"/>
    </row>
    <row r="2442" spans="1:14" ht="14.25" customHeight="1">
      <c r="A2442" t="s">
        <v>28</v>
      </c>
      <c r="B2442">
        <f ca="1">IF(OR(changes[[#This Row],[Type]]="Checklist",changes[[#This Row],[Type]]="checklist-flat"),1+IF(changes[[#This Row],[Type of change]] = "Edit",COUNTIFS($I$4:changes[[#This Row],[Name]],changes[[#This Row],[Name]], $E$4:changes[[#This Row],[Type of change]], "Edit")),B2441)</f>
        <v>1</v>
      </c>
      <c r="C2442" s="16">
        <v>44882</v>
      </c>
      <c r="D2442" s="1" t="s">
        <v>2401</v>
      </c>
      <c r="E2442" t="s">
        <v>27</v>
      </c>
      <c r="F2442" s="10" t="s">
        <v>52</v>
      </c>
      <c r="G2442" s="10" t="s">
        <v>1638</v>
      </c>
      <c r="H2442" s="39" t="s">
        <v>55</v>
      </c>
      <c r="I2442" s="21" t="s">
        <v>63</v>
      </c>
      <c r="J2442" s="23"/>
      <c r="K2442" s="2" t="s">
        <v>6</v>
      </c>
      <c r="M2442" s="2"/>
    </row>
    <row r="2443" spans="1:14" ht="14.25" customHeight="1">
      <c r="A2443" t="s">
        <v>28</v>
      </c>
      <c r="B2443">
        <f ca="1">IF(OR(changes[[#This Row],[Type]]="Checklist",changes[[#This Row],[Type]]="checklist-flat"),1+IF(changes[[#This Row],[Type of change]] = "Edit",COUNTIFS($I$4:changes[[#This Row],[Name]],changes[[#This Row],[Name]], $E$4:changes[[#This Row],[Type of change]], "Edit")),B2442)</f>
        <v>1</v>
      </c>
      <c r="C2443" s="16">
        <v>44882</v>
      </c>
      <c r="D2443" s="1" t="s">
        <v>2401</v>
      </c>
      <c r="E2443" t="s">
        <v>27</v>
      </c>
      <c r="F2443" s="10" t="s">
        <v>52</v>
      </c>
      <c r="G2443" s="10" t="s">
        <v>1638</v>
      </c>
      <c r="H2443" s="2" t="s">
        <v>64</v>
      </c>
      <c r="I2443" s="18" t="s">
        <v>65</v>
      </c>
      <c r="J2443" s="23"/>
      <c r="K2443" s="2" t="s">
        <v>6</v>
      </c>
      <c r="M2443" s="2"/>
    </row>
    <row r="2444" spans="1:14">
      <c r="A2444" t="s">
        <v>28</v>
      </c>
      <c r="B2444">
        <f ca="1">IF(OR(changes[[#This Row],[Type]]="Checklist",changes[[#This Row],[Type]]="checklist-flat"),1+IF(changes[[#This Row],[Type of change]] = "Edit",COUNTIFS($I$4:changes[[#This Row],[Name]],changes[[#This Row],[Name]], $E$4:changes[[#This Row],[Type of change]], "Edit")),B2443)</f>
        <v>1</v>
      </c>
      <c r="C2444" s="16">
        <v>44882</v>
      </c>
      <c r="D2444" s="1" t="s">
        <v>2401</v>
      </c>
      <c r="E2444" s="1" t="s">
        <v>27</v>
      </c>
      <c r="F2444" s="1" t="s">
        <v>52</v>
      </c>
      <c r="G2444" s="1" t="s">
        <v>1638</v>
      </c>
      <c r="H2444" s="1" t="s">
        <v>55</v>
      </c>
      <c r="I2444" s="1" t="s">
        <v>1639</v>
      </c>
      <c r="J2444" s="66"/>
      <c r="K2444" s="1" t="s">
        <v>6</v>
      </c>
      <c r="M2444" s="2"/>
    </row>
    <row r="2445" spans="1:14">
      <c r="A2445" t="s">
        <v>28</v>
      </c>
      <c r="B2445">
        <f ca="1">IF(OR(changes[[#This Row],[Type]]="Checklist",changes[[#This Row],[Type]]="checklist-flat"),1+IF(changes[[#This Row],[Type of change]] = "Edit",COUNTIFS($I$4:changes[[#This Row],[Name]],changes[[#This Row],[Name]], $E$4:changes[[#This Row],[Type of change]], "Edit")),B2444)</f>
        <v>2</v>
      </c>
      <c r="C2445" s="16">
        <v>44886</v>
      </c>
      <c r="D2445" s="1" t="s">
        <v>2393</v>
      </c>
      <c r="E2445" t="s">
        <v>15</v>
      </c>
      <c r="F2445" s="10" t="s">
        <v>52</v>
      </c>
      <c r="G2445" s="10" t="s">
        <v>710</v>
      </c>
      <c r="H2445" s="10" t="s">
        <v>478</v>
      </c>
      <c r="I2445" s="10" t="s">
        <v>710</v>
      </c>
      <c r="J2445" s="10"/>
      <c r="K2445" s="1" t="s">
        <v>6</v>
      </c>
      <c r="L2445" t="s">
        <v>2905</v>
      </c>
      <c r="M2445" s="2"/>
      <c r="N2445" t="s">
        <v>2906</v>
      </c>
    </row>
    <row r="2446" spans="1:14" ht="14.25" customHeight="1">
      <c r="A2446" t="s">
        <v>28</v>
      </c>
      <c r="B2446">
        <f ca="1">IF(OR(changes[[#This Row],[Type]]="Checklist",changes[[#This Row],[Type]]="checklist-flat"),1+IF(changes[[#This Row],[Type of change]] = "Edit",COUNTIFS($I$4:changes[[#This Row],[Name]],changes[[#This Row],[Name]], $E$4:changes[[#This Row],[Type of change]], "Edit")),B2445)</f>
        <v>2</v>
      </c>
      <c r="C2446" s="16">
        <v>44886</v>
      </c>
      <c r="D2446" s="1" t="s">
        <v>2393</v>
      </c>
      <c r="E2446" t="s">
        <v>15</v>
      </c>
      <c r="F2446" s="10" t="s">
        <v>52</v>
      </c>
      <c r="G2446" s="10" t="s">
        <v>710</v>
      </c>
      <c r="H2446" s="10" t="s">
        <v>479</v>
      </c>
      <c r="I2446" s="10" t="s">
        <v>711</v>
      </c>
      <c r="J2446" s="10"/>
      <c r="K2446" s="1" t="s">
        <v>6</v>
      </c>
      <c r="L2446" t="s">
        <v>2905</v>
      </c>
      <c r="M2446" s="2"/>
      <c r="N2446" t="s">
        <v>2907</v>
      </c>
    </row>
    <row r="2447" spans="1:14" ht="14.25" customHeight="1">
      <c r="A2447" t="s">
        <v>28</v>
      </c>
      <c r="B2447">
        <f ca="1">IF(OR(changes[[#This Row],[Type]]="Checklist",changes[[#This Row],[Type]]="checklist-flat"),1+IF(changes[[#This Row],[Type of change]] = "Edit",COUNTIFS($I$4:changes[[#This Row],[Name]],changes[[#This Row],[Name]], $E$4:changes[[#This Row],[Type of change]], "Edit")),B2446)</f>
        <v>2</v>
      </c>
      <c r="C2447" s="16">
        <v>44886</v>
      </c>
      <c r="D2447" s="1" t="s">
        <v>2393</v>
      </c>
      <c r="E2447" t="s">
        <v>15</v>
      </c>
      <c r="F2447" s="10" t="s">
        <v>52</v>
      </c>
      <c r="G2447" s="10" t="s">
        <v>710</v>
      </c>
      <c r="H2447" s="10" t="s">
        <v>55</v>
      </c>
      <c r="I2447" s="10" t="s">
        <v>712</v>
      </c>
      <c r="J2447" s="10"/>
      <c r="K2447" s="1" t="s">
        <v>6</v>
      </c>
      <c r="L2447" t="s">
        <v>2905</v>
      </c>
      <c r="M2447" s="2"/>
    </row>
    <row r="2448" spans="1:14" ht="14.25" customHeight="1">
      <c r="A2448" t="s">
        <v>28</v>
      </c>
      <c r="B2448">
        <f ca="1">IF(OR(changes[[#This Row],[Type]]="Checklist",changes[[#This Row],[Type]]="checklist-flat"),1+IF(changes[[#This Row],[Type of change]] = "Edit",COUNTIFS($I$4:changes[[#This Row],[Name]],changes[[#This Row],[Name]], $E$4:changes[[#This Row],[Type of change]], "Edit")),B2447)</f>
        <v>2</v>
      </c>
      <c r="C2448" s="16">
        <v>44886</v>
      </c>
      <c r="D2448" s="1" t="s">
        <v>2393</v>
      </c>
      <c r="E2448" t="s">
        <v>15</v>
      </c>
      <c r="F2448" s="10" t="s">
        <v>52</v>
      </c>
      <c r="G2448" s="10" t="s">
        <v>710</v>
      </c>
      <c r="H2448" s="10" t="s">
        <v>55</v>
      </c>
      <c r="I2448" s="10" t="s">
        <v>713</v>
      </c>
      <c r="J2448" s="10"/>
      <c r="K2448" s="1" t="s">
        <v>6</v>
      </c>
      <c r="L2448" t="s">
        <v>2905</v>
      </c>
      <c r="M2448" s="2"/>
    </row>
    <row r="2449" spans="1:13">
      <c r="A2449" t="s">
        <v>28</v>
      </c>
      <c r="B2449">
        <f ca="1">IF(OR(changes[[#This Row],[Type]]="Checklist",changes[[#This Row],[Type]]="checklist-flat"),1+IF(changes[[#This Row],[Type of change]] = "Edit",COUNTIFS($I$4:changes[[#This Row],[Name]],changes[[#This Row],[Name]], $E$4:changes[[#This Row],[Type of change]], "Edit")),B2448)</f>
        <v>2</v>
      </c>
      <c r="C2449" s="16">
        <v>44886</v>
      </c>
      <c r="D2449" s="1" t="s">
        <v>2393</v>
      </c>
      <c r="E2449" t="s">
        <v>15</v>
      </c>
      <c r="F2449" s="10" t="s">
        <v>52</v>
      </c>
      <c r="G2449" s="10" t="s">
        <v>710</v>
      </c>
      <c r="H2449" s="10" t="s">
        <v>479</v>
      </c>
      <c r="I2449" s="10" t="s">
        <v>714</v>
      </c>
      <c r="J2449" s="10"/>
      <c r="K2449" s="1" t="s">
        <v>6</v>
      </c>
      <c r="L2449" t="s">
        <v>2905</v>
      </c>
      <c r="M2449" s="2"/>
    </row>
    <row r="2450" spans="1:13">
      <c r="A2450" t="s">
        <v>28</v>
      </c>
      <c r="B2450">
        <f ca="1">IF(OR(changes[[#This Row],[Type]]="Checklist",changes[[#This Row],[Type]]="checklist-flat"),1+IF(changes[[#This Row],[Type of change]] = "Edit",COUNTIFS($I$4:changes[[#This Row],[Name]],changes[[#This Row],[Name]], $E$4:changes[[#This Row],[Type of change]], "Edit")),B2449)</f>
        <v>2</v>
      </c>
      <c r="C2450" s="16">
        <v>44886</v>
      </c>
      <c r="D2450" s="1" t="s">
        <v>2393</v>
      </c>
      <c r="E2450" t="s">
        <v>15</v>
      </c>
      <c r="F2450" s="10" t="s">
        <v>52</v>
      </c>
      <c r="G2450" s="10" t="s">
        <v>710</v>
      </c>
      <c r="H2450" s="10" t="s">
        <v>55</v>
      </c>
      <c r="I2450" s="10" t="s">
        <v>715</v>
      </c>
      <c r="J2450" s="10"/>
      <c r="K2450" s="1" t="s">
        <v>6</v>
      </c>
      <c r="L2450" t="s">
        <v>2905</v>
      </c>
      <c r="M2450" s="2"/>
    </row>
    <row r="2451" spans="1:13" ht="14.25" customHeight="1">
      <c r="A2451" t="s">
        <v>28</v>
      </c>
      <c r="B2451">
        <f ca="1">IF(OR(changes[[#This Row],[Type]]="Checklist",changes[[#This Row],[Type]]="checklist-flat"),1+IF(changes[[#This Row],[Type of change]] = "Edit",COUNTIFS($I$4:changes[[#This Row],[Name]],changes[[#This Row],[Name]], $E$4:changes[[#This Row],[Type of change]], "Edit")),B2450)</f>
        <v>2</v>
      </c>
      <c r="C2451" s="16">
        <v>44886</v>
      </c>
      <c r="D2451" s="1" t="s">
        <v>2393</v>
      </c>
      <c r="E2451" t="s">
        <v>15</v>
      </c>
      <c r="F2451" s="10" t="s">
        <v>52</v>
      </c>
      <c r="G2451" s="10" t="s">
        <v>710</v>
      </c>
      <c r="H2451" s="10" t="s">
        <v>55</v>
      </c>
      <c r="I2451" s="10" t="s">
        <v>716</v>
      </c>
      <c r="J2451" s="10"/>
      <c r="K2451" s="1" t="s">
        <v>6</v>
      </c>
      <c r="L2451" t="s">
        <v>2905</v>
      </c>
      <c r="M2451" s="2"/>
    </row>
    <row r="2452" spans="1:13" ht="14.25" customHeight="1">
      <c r="A2452" t="s">
        <v>28</v>
      </c>
      <c r="B2452">
        <f ca="1">IF(OR(changes[[#This Row],[Type]]="Checklist",changes[[#This Row],[Type]]="checklist-flat"),1+IF(changes[[#This Row],[Type of change]] = "Edit",COUNTIFS($I$4:changes[[#This Row],[Name]],changes[[#This Row],[Name]], $E$4:changes[[#This Row],[Type of change]], "Edit")),B2451)</f>
        <v>2</v>
      </c>
      <c r="C2452" s="16">
        <v>44886</v>
      </c>
      <c r="D2452" s="1" t="s">
        <v>2393</v>
      </c>
      <c r="E2452" t="s">
        <v>15</v>
      </c>
      <c r="F2452" s="10" t="s">
        <v>52</v>
      </c>
      <c r="G2452" s="10" t="s">
        <v>710</v>
      </c>
      <c r="H2452" s="10" t="s">
        <v>55</v>
      </c>
      <c r="I2452" s="10" t="s">
        <v>717</v>
      </c>
      <c r="J2452" s="10"/>
      <c r="K2452" s="1" t="s">
        <v>6</v>
      </c>
      <c r="L2452" t="s">
        <v>2905</v>
      </c>
      <c r="M2452" s="2"/>
    </row>
    <row r="2453" spans="1:13" ht="14.25" customHeight="1">
      <c r="A2453" t="s">
        <v>28</v>
      </c>
      <c r="B2453">
        <f ca="1">IF(OR(changes[[#This Row],[Type]]="Checklist",changes[[#This Row],[Type]]="checklist-flat"),1+IF(changes[[#This Row],[Type of change]] = "Edit",COUNTIFS($I$4:changes[[#This Row],[Name]],changes[[#This Row],[Name]], $E$4:changes[[#This Row],[Type of change]], "Edit")),B2452)</f>
        <v>2</v>
      </c>
      <c r="C2453" s="16">
        <v>44886</v>
      </c>
      <c r="D2453" s="1" t="s">
        <v>2393</v>
      </c>
      <c r="E2453" t="s">
        <v>15</v>
      </c>
      <c r="F2453" s="10" t="s">
        <v>52</v>
      </c>
      <c r="G2453" s="10" t="s">
        <v>710</v>
      </c>
      <c r="H2453" s="10" t="s">
        <v>55</v>
      </c>
      <c r="I2453" s="10" t="s">
        <v>718</v>
      </c>
      <c r="J2453" s="10"/>
      <c r="K2453" s="1" t="s">
        <v>6</v>
      </c>
      <c r="L2453" t="s">
        <v>2905</v>
      </c>
      <c r="M2453" s="2"/>
    </row>
    <row r="2454" spans="1:13">
      <c r="A2454" t="s">
        <v>28</v>
      </c>
      <c r="B2454">
        <f ca="1">IF(OR(changes[[#This Row],[Type]]="Checklist",changes[[#This Row],[Type]]="checklist-flat"),1+IF(changes[[#This Row],[Type of change]] = "Edit",COUNTIFS($I$4:changes[[#This Row],[Name]],changes[[#This Row],[Name]], $E$4:changes[[#This Row],[Type of change]], "Edit")),B2453)</f>
        <v>2</v>
      </c>
      <c r="C2454" s="16">
        <v>44886</v>
      </c>
      <c r="D2454" s="1" t="s">
        <v>2393</v>
      </c>
      <c r="E2454" t="s">
        <v>15</v>
      </c>
      <c r="F2454" s="10" t="s">
        <v>52</v>
      </c>
      <c r="G2454" s="10" t="s">
        <v>710</v>
      </c>
      <c r="H2454" s="10" t="s">
        <v>55</v>
      </c>
      <c r="I2454" s="10" t="s">
        <v>719</v>
      </c>
      <c r="J2454" s="10"/>
      <c r="K2454" s="1" t="s">
        <v>6</v>
      </c>
      <c r="L2454" t="s">
        <v>2905</v>
      </c>
      <c r="M2454" s="2"/>
    </row>
    <row r="2455" spans="1:13" ht="14.25" customHeight="1">
      <c r="A2455" t="s">
        <v>28</v>
      </c>
      <c r="B2455">
        <f ca="1">IF(OR(changes[[#This Row],[Type]]="Checklist",changes[[#This Row],[Type]]="checklist-flat"),1+IF(changes[[#This Row],[Type of change]] = "Edit",COUNTIFS($I$4:changes[[#This Row],[Name]],changes[[#This Row],[Name]], $E$4:changes[[#This Row],[Type of change]], "Edit")),B2454)</f>
        <v>2</v>
      </c>
      <c r="C2455" s="16">
        <v>44886</v>
      </c>
      <c r="D2455" s="1" t="s">
        <v>2393</v>
      </c>
      <c r="E2455" t="s">
        <v>15</v>
      </c>
      <c r="F2455" s="10" t="s">
        <v>52</v>
      </c>
      <c r="G2455" s="10" t="s">
        <v>710</v>
      </c>
      <c r="H2455" s="10" t="s">
        <v>55</v>
      </c>
      <c r="I2455" s="10" t="s">
        <v>720</v>
      </c>
      <c r="J2455" s="10"/>
      <c r="K2455" s="1" t="s">
        <v>6</v>
      </c>
      <c r="L2455" t="s">
        <v>2905</v>
      </c>
      <c r="M2455" s="2"/>
    </row>
    <row r="2456" spans="1:13">
      <c r="A2456" t="s">
        <v>28</v>
      </c>
      <c r="B2456">
        <f ca="1">IF(OR(changes[[#This Row],[Type]]="Checklist",changes[[#This Row],[Type]]="checklist-flat"),1+IF(changes[[#This Row],[Type of change]] = "Edit",COUNTIFS($I$4:changes[[#This Row],[Name]],changes[[#This Row],[Name]], $E$4:changes[[#This Row],[Type of change]], "Edit")),B2455)</f>
        <v>2</v>
      </c>
      <c r="C2456" s="16">
        <v>44886</v>
      </c>
      <c r="D2456" s="1" t="s">
        <v>2393</v>
      </c>
      <c r="E2456" t="s">
        <v>15</v>
      </c>
      <c r="F2456" s="10" t="s">
        <v>52</v>
      </c>
      <c r="G2456" s="10" t="s">
        <v>710</v>
      </c>
      <c r="H2456" s="10" t="s">
        <v>479</v>
      </c>
      <c r="I2456" s="10" t="s">
        <v>721</v>
      </c>
      <c r="J2456" s="10"/>
      <c r="K2456" s="1" t="s">
        <v>6</v>
      </c>
      <c r="L2456" t="s">
        <v>2905</v>
      </c>
      <c r="M2456" s="2"/>
    </row>
    <row r="2457" spans="1:13">
      <c r="A2457" t="s">
        <v>28</v>
      </c>
      <c r="B2457">
        <f ca="1">IF(OR(changes[[#This Row],[Type]]="Checklist",changes[[#This Row],[Type]]="checklist-flat"),1+IF(changes[[#This Row],[Type of change]] = "Edit",COUNTIFS($I$4:changes[[#This Row],[Name]],changes[[#This Row],[Name]], $E$4:changes[[#This Row],[Type of change]], "Edit")),B2456)</f>
        <v>2</v>
      </c>
      <c r="C2457" s="16">
        <v>44886</v>
      </c>
      <c r="D2457" s="1" t="s">
        <v>2393</v>
      </c>
      <c r="E2457" t="s">
        <v>15</v>
      </c>
      <c r="F2457" s="10" t="s">
        <v>52</v>
      </c>
      <c r="G2457" s="10" t="s">
        <v>710</v>
      </c>
      <c r="H2457" s="19" t="s">
        <v>722</v>
      </c>
      <c r="I2457" s="10" t="s">
        <v>723</v>
      </c>
      <c r="J2457" s="22"/>
      <c r="K2457" s="1" t="s">
        <v>6</v>
      </c>
      <c r="L2457" t="s">
        <v>2905</v>
      </c>
      <c r="M2457" s="2"/>
    </row>
    <row r="2458" spans="1:13" ht="14.25" customHeight="1">
      <c r="A2458" t="s">
        <v>28</v>
      </c>
      <c r="B2458">
        <f ca="1">IF(OR(changes[[#This Row],[Type]]="Checklist",changes[[#This Row],[Type]]="checklist-flat"),1+IF(changes[[#This Row],[Type of change]] = "Edit",COUNTIFS($I$4:changes[[#This Row],[Name]],changes[[#This Row],[Name]], $E$4:changes[[#This Row],[Type of change]], "Edit")),B2457)</f>
        <v>2</v>
      </c>
      <c r="C2458" s="16">
        <v>44886</v>
      </c>
      <c r="D2458" s="1" t="s">
        <v>2393</v>
      </c>
      <c r="E2458" t="s">
        <v>15</v>
      </c>
      <c r="F2458" s="10" t="s">
        <v>52</v>
      </c>
      <c r="G2458" s="10" t="s">
        <v>710</v>
      </c>
      <c r="H2458" s="10" t="s">
        <v>724</v>
      </c>
      <c r="I2458" s="10" t="s">
        <v>723</v>
      </c>
      <c r="J2458" s="10"/>
      <c r="K2458" s="1" t="s">
        <v>6</v>
      </c>
      <c r="L2458" t="s">
        <v>2905</v>
      </c>
      <c r="M2458" s="2"/>
    </row>
    <row r="2459" spans="1:13" ht="14.25" customHeight="1">
      <c r="A2459" t="s">
        <v>28</v>
      </c>
      <c r="B2459">
        <f ca="1">IF(OR(changes[[#This Row],[Type]]="Checklist",changes[[#This Row],[Type]]="checklist-flat"),1+IF(changes[[#This Row],[Type of change]] = "Edit",COUNTIFS($I$4:changes[[#This Row],[Name]],changes[[#This Row],[Name]], $E$4:changes[[#This Row],[Type of change]], "Edit")),B2458)</f>
        <v>2</v>
      </c>
      <c r="C2459" s="16">
        <v>44886</v>
      </c>
      <c r="D2459" s="1" t="s">
        <v>2393</v>
      </c>
      <c r="E2459" t="s">
        <v>15</v>
      </c>
      <c r="F2459" s="10" t="s">
        <v>52</v>
      </c>
      <c r="G2459" s="10" t="s">
        <v>710</v>
      </c>
      <c r="H2459" s="10" t="s">
        <v>55</v>
      </c>
      <c r="I2459" s="10" t="s">
        <v>725</v>
      </c>
      <c r="J2459" s="10"/>
      <c r="K2459" s="1" t="s">
        <v>6</v>
      </c>
      <c r="L2459" t="s">
        <v>2905</v>
      </c>
      <c r="M2459" s="2"/>
    </row>
    <row r="2460" spans="1:13" ht="14.25" customHeight="1">
      <c r="A2460" t="s">
        <v>28</v>
      </c>
      <c r="B2460">
        <f ca="1">IF(OR(changes[[#This Row],[Type]]="Checklist",changes[[#This Row],[Type]]="checklist-flat"),1+IF(changes[[#This Row],[Type of change]] = "Edit",COUNTIFS($I$4:changes[[#This Row],[Name]],changes[[#This Row],[Name]], $E$4:changes[[#This Row],[Type of change]], "Edit")),B2459)</f>
        <v>2</v>
      </c>
      <c r="C2460" s="16">
        <v>44886</v>
      </c>
      <c r="D2460" s="1" t="s">
        <v>2393</v>
      </c>
      <c r="E2460" t="s">
        <v>15</v>
      </c>
      <c r="F2460" s="10" t="s">
        <v>52</v>
      </c>
      <c r="G2460" s="10" t="s">
        <v>710</v>
      </c>
      <c r="H2460" s="10" t="s">
        <v>420</v>
      </c>
      <c r="I2460" s="10" t="s">
        <v>726</v>
      </c>
      <c r="J2460" s="10"/>
      <c r="K2460" s="1" t="s">
        <v>6</v>
      </c>
      <c r="L2460" t="s">
        <v>2905</v>
      </c>
      <c r="M2460" s="2"/>
    </row>
    <row r="2461" spans="1:13">
      <c r="A2461" t="s">
        <v>28</v>
      </c>
      <c r="B2461">
        <f ca="1">IF(OR(changes[[#This Row],[Type]]="Checklist",changes[[#This Row],[Type]]="checklist-flat"),1+IF(changes[[#This Row],[Type of change]] = "Edit",COUNTIFS($I$4:changes[[#This Row],[Name]],changes[[#This Row],[Name]], $E$4:changes[[#This Row],[Type of change]], "Edit")),B2460)</f>
        <v>2</v>
      </c>
      <c r="C2461" s="16">
        <v>44886</v>
      </c>
      <c r="D2461" s="1" t="s">
        <v>2393</v>
      </c>
      <c r="E2461" t="s">
        <v>15</v>
      </c>
      <c r="F2461" s="10" t="s">
        <v>52</v>
      </c>
      <c r="G2461" s="10" t="s">
        <v>710</v>
      </c>
      <c r="H2461" s="10" t="s">
        <v>55</v>
      </c>
      <c r="I2461" s="10" t="s">
        <v>727</v>
      </c>
      <c r="J2461" s="10"/>
      <c r="K2461" s="1" t="s">
        <v>6</v>
      </c>
      <c r="L2461" t="s">
        <v>2905</v>
      </c>
      <c r="M2461" s="2"/>
    </row>
    <row r="2462" spans="1:13">
      <c r="A2462" t="s">
        <v>28</v>
      </c>
      <c r="B2462">
        <f ca="1">IF(OR(changes[[#This Row],[Type]]="Checklist",changes[[#This Row],[Type]]="checklist-flat"),1+IF(changes[[#This Row],[Type of change]] = "Edit",COUNTIFS($I$4:changes[[#This Row],[Name]],changes[[#This Row],[Name]], $E$4:changes[[#This Row],[Type of change]], "Edit")),B2461)</f>
        <v>2</v>
      </c>
      <c r="C2462" s="16">
        <v>44886</v>
      </c>
      <c r="D2462" s="1" t="s">
        <v>2393</v>
      </c>
      <c r="E2462" t="s">
        <v>15</v>
      </c>
      <c r="F2462" s="10" t="s">
        <v>52</v>
      </c>
      <c r="G2462" s="10" t="s">
        <v>710</v>
      </c>
      <c r="H2462" s="10" t="s">
        <v>420</v>
      </c>
      <c r="I2462" s="10" t="s">
        <v>728</v>
      </c>
      <c r="J2462" s="10"/>
      <c r="K2462" s="1" t="s">
        <v>6</v>
      </c>
      <c r="L2462" t="s">
        <v>2905</v>
      </c>
      <c r="M2462" s="2"/>
    </row>
    <row r="2463" spans="1:13">
      <c r="A2463" t="s">
        <v>28</v>
      </c>
      <c r="B2463">
        <f ca="1">IF(OR(changes[[#This Row],[Type]]="Checklist",changes[[#This Row],[Type]]="checklist-flat"),1+IF(changes[[#This Row],[Type of change]] = "Edit",COUNTIFS($I$4:changes[[#This Row],[Name]],changes[[#This Row],[Name]], $E$4:changes[[#This Row],[Type of change]], "Edit")),B2462)</f>
        <v>2</v>
      </c>
      <c r="C2463" s="16">
        <v>44886</v>
      </c>
      <c r="D2463" s="1" t="s">
        <v>2393</v>
      </c>
      <c r="E2463" t="s">
        <v>15</v>
      </c>
      <c r="F2463" s="10" t="s">
        <v>52</v>
      </c>
      <c r="G2463" s="10" t="s">
        <v>710</v>
      </c>
      <c r="H2463" s="10" t="s">
        <v>55</v>
      </c>
      <c r="I2463" s="10" t="s">
        <v>729</v>
      </c>
      <c r="J2463" s="10"/>
      <c r="K2463" s="1" t="s">
        <v>6</v>
      </c>
      <c r="L2463" t="s">
        <v>2905</v>
      </c>
      <c r="M2463" s="2"/>
    </row>
    <row r="2464" spans="1:13">
      <c r="A2464" t="s">
        <v>28</v>
      </c>
      <c r="B2464">
        <f ca="1">IF(OR(changes[[#This Row],[Type]]="Checklist",changes[[#This Row],[Type]]="checklist-flat"),1+IF(changes[[#This Row],[Type of change]] = "Edit",COUNTIFS($I$4:changes[[#This Row],[Name]],changes[[#This Row],[Name]], $E$4:changes[[#This Row],[Type of change]], "Edit")),B2463)</f>
        <v>2</v>
      </c>
      <c r="C2464" s="16">
        <v>44886</v>
      </c>
      <c r="D2464" s="1" t="s">
        <v>2393</v>
      </c>
      <c r="E2464" t="s">
        <v>15</v>
      </c>
      <c r="F2464" s="10" t="s">
        <v>52</v>
      </c>
      <c r="G2464" s="10" t="s">
        <v>710</v>
      </c>
      <c r="H2464" s="10" t="s">
        <v>55</v>
      </c>
      <c r="I2464" s="10" t="s">
        <v>730</v>
      </c>
      <c r="J2464" s="10"/>
      <c r="K2464" s="1" t="s">
        <v>6</v>
      </c>
      <c r="L2464" t="s">
        <v>2905</v>
      </c>
      <c r="M2464" s="2"/>
    </row>
    <row r="2465" spans="1:13">
      <c r="A2465" t="s">
        <v>28</v>
      </c>
      <c r="B2465">
        <f ca="1">IF(OR(changes[[#This Row],[Type]]="Checklist",changes[[#This Row],[Type]]="checklist-flat"),1+IF(changes[[#This Row],[Type of change]] = "Edit",COUNTIFS($I$4:changes[[#This Row],[Name]],changes[[#This Row],[Name]], $E$4:changes[[#This Row],[Type of change]], "Edit")),B2464)</f>
        <v>2</v>
      </c>
      <c r="C2465" s="16">
        <v>44886</v>
      </c>
      <c r="D2465" s="1" t="s">
        <v>2393</v>
      </c>
      <c r="E2465" t="s">
        <v>15</v>
      </c>
      <c r="F2465" s="10" t="s">
        <v>52</v>
      </c>
      <c r="G2465" s="10" t="s">
        <v>710</v>
      </c>
      <c r="H2465" s="10" t="s">
        <v>724</v>
      </c>
      <c r="I2465" s="10" t="s">
        <v>731</v>
      </c>
      <c r="J2465" s="10"/>
      <c r="K2465" s="1" t="s">
        <v>6</v>
      </c>
      <c r="L2465" t="s">
        <v>2905</v>
      </c>
      <c r="M2465" s="2"/>
    </row>
    <row r="2466" spans="1:13">
      <c r="A2466" t="s">
        <v>28</v>
      </c>
      <c r="B2466">
        <f ca="1">IF(OR(changes[[#This Row],[Type]]="Checklist",changes[[#This Row],[Type]]="checklist-flat"),1+IF(changes[[#This Row],[Type of change]] = "Edit",COUNTIFS($I$4:changes[[#This Row],[Name]],changes[[#This Row],[Name]], $E$4:changes[[#This Row],[Type of change]], "Edit")),B2465)</f>
        <v>2</v>
      </c>
      <c r="C2466" s="16">
        <v>44886</v>
      </c>
      <c r="D2466" s="1" t="s">
        <v>2393</v>
      </c>
      <c r="E2466" t="s">
        <v>15</v>
      </c>
      <c r="F2466" s="10" t="s">
        <v>52</v>
      </c>
      <c r="G2466" s="10" t="s">
        <v>710</v>
      </c>
      <c r="H2466" s="10" t="s">
        <v>64</v>
      </c>
      <c r="I2466" s="10" t="s">
        <v>94</v>
      </c>
      <c r="J2466" s="10"/>
      <c r="K2466" s="1" t="s">
        <v>6</v>
      </c>
      <c r="L2466" t="s">
        <v>2905</v>
      </c>
      <c r="M2466" s="2"/>
    </row>
    <row r="2467" spans="1:13">
      <c r="A2467" t="s">
        <v>28</v>
      </c>
      <c r="B2467">
        <f ca="1">IF(OR(changes[[#This Row],[Type]]="Checklist",changes[[#This Row],[Type]]="checklist-flat"),1+IF(changes[[#This Row],[Type of change]] = "Edit",COUNTIFS($I$4:changes[[#This Row],[Name]],changes[[#This Row],[Name]], $E$4:changes[[#This Row],[Type of change]], "Edit")),B2466)</f>
        <v>2</v>
      </c>
      <c r="C2467" s="16">
        <v>44886</v>
      </c>
      <c r="D2467" s="1" t="s">
        <v>2393</v>
      </c>
      <c r="E2467" t="s">
        <v>15</v>
      </c>
      <c r="F2467" s="10" t="s">
        <v>52</v>
      </c>
      <c r="G2467" s="10" t="s">
        <v>710</v>
      </c>
      <c r="H2467" s="10" t="s">
        <v>479</v>
      </c>
      <c r="I2467" s="10" t="s">
        <v>732</v>
      </c>
      <c r="J2467" s="10"/>
      <c r="K2467" s="1" t="s">
        <v>6</v>
      </c>
      <c r="L2467" t="s">
        <v>2905</v>
      </c>
      <c r="M2467" s="2"/>
    </row>
    <row r="2468" spans="1:13">
      <c r="A2468" t="s">
        <v>28</v>
      </c>
      <c r="B2468">
        <f ca="1">IF(OR(changes[[#This Row],[Type]]="Checklist",changes[[#This Row],[Type]]="checklist-flat"),1+IF(changes[[#This Row],[Type of change]] = "Edit",COUNTIFS($I$4:changes[[#This Row],[Name]],changes[[#This Row],[Name]], $E$4:changes[[#This Row],[Type of change]], "Edit")),B2467)</f>
        <v>2</v>
      </c>
      <c r="C2468" s="16">
        <v>44886</v>
      </c>
      <c r="D2468" s="1" t="s">
        <v>2393</v>
      </c>
      <c r="E2468" t="s">
        <v>15</v>
      </c>
      <c r="F2468" s="10" t="s">
        <v>52</v>
      </c>
      <c r="G2468" s="10" t="s">
        <v>710</v>
      </c>
      <c r="H2468" s="10" t="s">
        <v>55</v>
      </c>
      <c r="I2468" s="10" t="s">
        <v>725</v>
      </c>
      <c r="J2468" s="10"/>
      <c r="K2468" s="1" t="s">
        <v>6</v>
      </c>
      <c r="L2468" t="s">
        <v>2905</v>
      </c>
      <c r="M2468" s="2"/>
    </row>
    <row r="2469" spans="1:13">
      <c r="A2469" t="s">
        <v>28</v>
      </c>
      <c r="B2469">
        <f ca="1">IF(OR(changes[[#This Row],[Type]]="Checklist",changes[[#This Row],[Type]]="checklist-flat"),1+IF(changes[[#This Row],[Type of change]] = "Edit",COUNTIFS($I$4:changes[[#This Row],[Name]],changes[[#This Row],[Name]], $E$4:changes[[#This Row],[Type of change]], "Edit")),B2468)</f>
        <v>2</v>
      </c>
      <c r="C2469" s="16">
        <v>44886</v>
      </c>
      <c r="D2469" s="1" t="s">
        <v>2393</v>
      </c>
      <c r="E2469" t="s">
        <v>15</v>
      </c>
      <c r="F2469" s="10" t="s">
        <v>52</v>
      </c>
      <c r="G2469" s="10" t="s">
        <v>710</v>
      </c>
      <c r="H2469" s="10" t="s">
        <v>420</v>
      </c>
      <c r="I2469" s="10" t="s">
        <v>726</v>
      </c>
      <c r="J2469" s="10"/>
      <c r="K2469" s="1" t="s">
        <v>6</v>
      </c>
      <c r="L2469" t="s">
        <v>2905</v>
      </c>
      <c r="M2469" s="2"/>
    </row>
    <row r="2470" spans="1:13">
      <c r="A2470" t="s">
        <v>28</v>
      </c>
      <c r="B2470">
        <f ca="1">IF(OR(changes[[#This Row],[Type]]="Checklist",changes[[#This Row],[Type]]="checklist-flat"),1+IF(changes[[#This Row],[Type of change]] = "Edit",COUNTIFS($I$4:changes[[#This Row],[Name]],changes[[#This Row],[Name]], $E$4:changes[[#This Row],[Type of change]], "Edit")),B2469)</f>
        <v>2</v>
      </c>
      <c r="C2470" s="16">
        <v>44886</v>
      </c>
      <c r="D2470" s="1" t="s">
        <v>2393</v>
      </c>
      <c r="E2470" t="s">
        <v>15</v>
      </c>
      <c r="F2470" s="10" t="s">
        <v>52</v>
      </c>
      <c r="G2470" s="10" t="s">
        <v>710</v>
      </c>
      <c r="H2470" s="10" t="s">
        <v>55</v>
      </c>
      <c r="I2470" s="10" t="s">
        <v>727</v>
      </c>
      <c r="J2470" s="10"/>
      <c r="K2470" s="1" t="s">
        <v>6</v>
      </c>
      <c r="L2470" t="s">
        <v>2905</v>
      </c>
      <c r="M2470" s="2"/>
    </row>
    <row r="2471" spans="1:13">
      <c r="A2471" t="s">
        <v>28</v>
      </c>
      <c r="B2471">
        <f ca="1">IF(OR(changes[[#This Row],[Type]]="Checklist",changes[[#This Row],[Type]]="checklist-flat"),1+IF(changes[[#This Row],[Type of change]] = "Edit",COUNTIFS($I$4:changes[[#This Row],[Name]],changes[[#This Row],[Name]], $E$4:changes[[#This Row],[Type of change]], "Edit")),B2470)</f>
        <v>2</v>
      </c>
      <c r="C2471" s="16">
        <v>44886</v>
      </c>
      <c r="D2471" s="1" t="s">
        <v>2393</v>
      </c>
      <c r="E2471" t="s">
        <v>15</v>
      </c>
      <c r="F2471" s="10" t="s">
        <v>52</v>
      </c>
      <c r="G2471" s="10" t="s">
        <v>710</v>
      </c>
      <c r="H2471" s="10" t="s">
        <v>420</v>
      </c>
      <c r="I2471" s="10" t="s">
        <v>728</v>
      </c>
      <c r="J2471" s="10"/>
      <c r="K2471" s="1" t="s">
        <v>6</v>
      </c>
      <c r="L2471" t="s">
        <v>2905</v>
      </c>
      <c r="M2471" s="2"/>
    </row>
    <row r="2472" spans="1:13">
      <c r="A2472" t="s">
        <v>28</v>
      </c>
      <c r="B2472">
        <f ca="1">IF(OR(changes[[#This Row],[Type]]="Checklist",changes[[#This Row],[Type]]="checklist-flat"),1+IF(changes[[#This Row],[Type of change]] = "Edit",COUNTIFS($I$4:changes[[#This Row],[Name]],changes[[#This Row],[Name]], $E$4:changes[[#This Row],[Type of change]], "Edit")),B2471)</f>
        <v>2</v>
      </c>
      <c r="C2472" s="16">
        <v>44886</v>
      </c>
      <c r="D2472" s="1" t="s">
        <v>2393</v>
      </c>
      <c r="E2472" t="s">
        <v>15</v>
      </c>
      <c r="F2472" s="10" t="s">
        <v>52</v>
      </c>
      <c r="G2472" s="10" t="s">
        <v>710</v>
      </c>
      <c r="H2472" s="10" t="s">
        <v>55</v>
      </c>
      <c r="I2472" s="10" t="s">
        <v>729</v>
      </c>
      <c r="J2472" s="10"/>
      <c r="K2472" s="1" t="s">
        <v>6</v>
      </c>
      <c r="L2472" t="s">
        <v>2905</v>
      </c>
      <c r="M2472" s="2"/>
    </row>
    <row r="2473" spans="1:13">
      <c r="A2473" t="s">
        <v>28</v>
      </c>
      <c r="B2473">
        <f ca="1">IF(OR(changes[[#This Row],[Type]]="Checklist",changes[[#This Row],[Type]]="checklist-flat"),1+IF(changes[[#This Row],[Type of change]] = "Edit",COUNTIFS($I$4:changes[[#This Row],[Name]],changes[[#This Row],[Name]], $E$4:changes[[#This Row],[Type of change]], "Edit")),B2472)</f>
        <v>2</v>
      </c>
      <c r="C2473" s="16">
        <v>44886</v>
      </c>
      <c r="D2473" s="1" t="s">
        <v>2393</v>
      </c>
      <c r="E2473" t="s">
        <v>15</v>
      </c>
      <c r="F2473" s="10" t="s">
        <v>52</v>
      </c>
      <c r="G2473" s="10" t="s">
        <v>710</v>
      </c>
      <c r="H2473" s="10" t="s">
        <v>55</v>
      </c>
      <c r="I2473" s="10" t="s">
        <v>730</v>
      </c>
      <c r="J2473" s="10"/>
      <c r="K2473" s="1" t="s">
        <v>6</v>
      </c>
      <c r="L2473" t="s">
        <v>2905</v>
      </c>
      <c r="M2473" s="2"/>
    </row>
    <row r="2474" spans="1:13">
      <c r="A2474" t="s">
        <v>28</v>
      </c>
      <c r="B2474">
        <f ca="1">IF(OR(changes[[#This Row],[Type]]="Checklist",changes[[#This Row],[Type]]="checklist-flat"),1+IF(changes[[#This Row],[Type of change]] = "Edit",COUNTIFS($I$4:changes[[#This Row],[Name]],changes[[#This Row],[Name]], $E$4:changes[[#This Row],[Type of change]], "Edit")),B2473)</f>
        <v>2</v>
      </c>
      <c r="C2474" s="16">
        <v>44886</v>
      </c>
      <c r="D2474" s="1" t="s">
        <v>2393</v>
      </c>
      <c r="E2474" t="s">
        <v>15</v>
      </c>
      <c r="F2474" s="10" t="s">
        <v>52</v>
      </c>
      <c r="G2474" s="10" t="s">
        <v>710</v>
      </c>
      <c r="H2474" s="10" t="s">
        <v>724</v>
      </c>
      <c r="I2474" s="10" t="s">
        <v>731</v>
      </c>
      <c r="J2474" s="10"/>
      <c r="K2474" s="1" t="s">
        <v>6</v>
      </c>
      <c r="L2474" t="s">
        <v>2905</v>
      </c>
      <c r="M2474" s="2"/>
    </row>
    <row r="2475" spans="1:13">
      <c r="A2475" t="s">
        <v>28</v>
      </c>
      <c r="B2475">
        <f ca="1">IF(OR(changes[[#This Row],[Type]]="Checklist",changes[[#This Row],[Type]]="checklist-flat"),1+IF(changes[[#This Row],[Type of change]] = "Edit",COUNTIFS($I$4:changes[[#This Row],[Name]],changes[[#This Row],[Name]], $E$4:changes[[#This Row],[Type of change]], "Edit")),B2474)</f>
        <v>2</v>
      </c>
      <c r="C2475" s="16">
        <v>44886</v>
      </c>
      <c r="D2475" s="1" t="s">
        <v>2393</v>
      </c>
      <c r="E2475" t="s">
        <v>15</v>
      </c>
      <c r="F2475" s="10" t="s">
        <v>52</v>
      </c>
      <c r="G2475" s="10" t="s">
        <v>710</v>
      </c>
      <c r="H2475" s="10" t="s">
        <v>64</v>
      </c>
      <c r="I2475" s="10" t="s">
        <v>733</v>
      </c>
      <c r="J2475" s="10"/>
      <c r="K2475" s="1" t="s">
        <v>6</v>
      </c>
      <c r="L2475" t="s">
        <v>2905</v>
      </c>
      <c r="M2475" s="2"/>
    </row>
    <row r="2476" spans="1:13">
      <c r="A2476" t="s">
        <v>24</v>
      </c>
      <c r="B2476">
        <f ca="1">IF(OR(changes[[#This Row],[Type]]="Checklist",changes[[#This Row],[Type]]="checklist-flat"),1+IF(changes[[#This Row],[Type of change]] = "Edit",COUNTIFS($I$4:changes[[#This Row],[Name]],changes[[#This Row],[Name]], $E$4:changes[[#This Row],[Type of change]], "Edit")),B2475)</f>
        <v>1</v>
      </c>
      <c r="C2476" s="16">
        <v>44886</v>
      </c>
      <c r="D2476" s="1" t="s">
        <v>2393</v>
      </c>
      <c r="E2476" t="s">
        <v>27</v>
      </c>
      <c r="F2476" s="10" t="s">
        <v>52</v>
      </c>
      <c r="G2476" s="10" t="s">
        <v>631</v>
      </c>
      <c r="H2476" s="10" t="s">
        <v>478</v>
      </c>
      <c r="I2476" s="10" t="s">
        <v>631</v>
      </c>
      <c r="J2476" s="10"/>
      <c r="K2476" s="1" t="s">
        <v>6</v>
      </c>
      <c r="M2476" s="2"/>
    </row>
    <row r="2477" spans="1:13">
      <c r="A2477" t="s">
        <v>24</v>
      </c>
      <c r="B2477">
        <f ca="1">IF(OR(changes[[#This Row],[Type]]="Checklist",changes[[#This Row],[Type]]="checklist-flat"),1+IF(changes[[#This Row],[Type of change]] = "Edit",COUNTIFS($I$4:changes[[#This Row],[Name]],changes[[#This Row],[Name]], $E$4:changes[[#This Row],[Type of change]], "Edit")),B2476)</f>
        <v>1</v>
      </c>
      <c r="C2477" s="16">
        <v>44886</v>
      </c>
      <c r="D2477" s="1" t="s">
        <v>2393</v>
      </c>
      <c r="E2477" t="s">
        <v>27</v>
      </c>
      <c r="F2477" s="10" t="s">
        <v>52</v>
      </c>
      <c r="G2477" s="10" t="s">
        <v>631</v>
      </c>
      <c r="H2477" s="10" t="s">
        <v>55</v>
      </c>
      <c r="I2477" s="10" t="s">
        <v>632</v>
      </c>
      <c r="J2477" s="10"/>
      <c r="K2477" s="1" t="s">
        <v>6</v>
      </c>
      <c r="M2477" s="2"/>
    </row>
    <row r="2478" spans="1:13" ht="15.75">
      <c r="A2478" t="s">
        <v>24</v>
      </c>
      <c r="B2478">
        <f ca="1">IF(OR(changes[[#This Row],[Type]]="Checklist",changes[[#This Row],[Type]]="checklist-flat"),1+IF(changes[[#This Row],[Type of change]] = "Edit",COUNTIFS($I$4:changes[[#This Row],[Name]],changes[[#This Row],[Name]], $E$4:changes[[#This Row],[Type of change]], "Edit")),B2477)</f>
        <v>1</v>
      </c>
      <c r="C2478" s="16">
        <v>44886</v>
      </c>
      <c r="D2478" s="1" t="s">
        <v>2393</v>
      </c>
      <c r="E2478" t="s">
        <v>27</v>
      </c>
      <c r="F2478" s="10" t="s">
        <v>52</v>
      </c>
      <c r="G2478" s="10" t="s">
        <v>631</v>
      </c>
      <c r="H2478" s="19" t="s">
        <v>420</v>
      </c>
      <c r="I2478" s="21" t="s">
        <v>633</v>
      </c>
      <c r="J2478" s="22"/>
      <c r="K2478" s="1" t="s">
        <v>6</v>
      </c>
      <c r="M2478" s="2"/>
    </row>
    <row r="2479" spans="1:13">
      <c r="A2479" t="s">
        <v>24</v>
      </c>
      <c r="B2479">
        <f ca="1">IF(OR(changes[[#This Row],[Type]]="Checklist",changes[[#This Row],[Type]]="checklist-flat"),1+IF(changes[[#This Row],[Type of change]] = "Edit",COUNTIFS($I$4:changes[[#This Row],[Name]],changes[[#This Row],[Name]], $E$4:changes[[#This Row],[Type of change]], "Edit")),B2478)</f>
        <v>1</v>
      </c>
      <c r="C2479" s="16">
        <v>44886</v>
      </c>
      <c r="D2479" s="1" t="s">
        <v>2393</v>
      </c>
      <c r="E2479" t="s">
        <v>27</v>
      </c>
      <c r="F2479" s="10" t="s">
        <v>52</v>
      </c>
      <c r="G2479" s="10" t="s">
        <v>631</v>
      </c>
      <c r="H2479" s="10" t="s">
        <v>55</v>
      </c>
      <c r="I2479" s="10" t="s">
        <v>634</v>
      </c>
      <c r="J2479" s="10"/>
      <c r="K2479" s="1" t="s">
        <v>6</v>
      </c>
      <c r="M2479" s="2"/>
    </row>
    <row r="2480" spans="1:13" ht="15.75" customHeight="1">
      <c r="A2480" t="s">
        <v>24</v>
      </c>
      <c r="B2480">
        <f ca="1">IF(OR(changes[[#This Row],[Type]]="Checklist",changes[[#This Row],[Type]]="checklist-flat"),1+IF(changes[[#This Row],[Type of change]] = "Edit",COUNTIFS($I$4:changes[[#This Row],[Name]],changes[[#This Row],[Name]], $E$4:changes[[#This Row],[Type of change]], "Edit")),B2479)</f>
        <v>1</v>
      </c>
      <c r="C2480" s="16">
        <v>44886</v>
      </c>
      <c r="D2480" s="1" t="s">
        <v>2393</v>
      </c>
      <c r="E2480" t="s">
        <v>27</v>
      </c>
      <c r="F2480" s="10" t="s">
        <v>52</v>
      </c>
      <c r="G2480" s="10" t="s">
        <v>631</v>
      </c>
      <c r="H2480" s="19" t="s">
        <v>420</v>
      </c>
      <c r="I2480" s="21" t="s">
        <v>633</v>
      </c>
      <c r="J2480" s="22"/>
      <c r="K2480" s="1" t="s">
        <v>6</v>
      </c>
      <c r="M2480" s="2"/>
    </row>
    <row r="2481" spans="1:13">
      <c r="A2481" t="s">
        <v>24</v>
      </c>
      <c r="B2481">
        <f ca="1">IF(OR(changes[[#This Row],[Type]]="Checklist",changes[[#This Row],[Type]]="checklist-flat"),1+IF(changes[[#This Row],[Type of change]] = "Edit",COUNTIFS($I$4:changes[[#This Row],[Name]],changes[[#This Row],[Name]], $E$4:changes[[#This Row],[Type of change]], "Edit")),B2480)</f>
        <v>1</v>
      </c>
      <c r="C2481" s="16">
        <v>44886</v>
      </c>
      <c r="D2481" s="1" t="s">
        <v>2393</v>
      </c>
      <c r="E2481" t="s">
        <v>27</v>
      </c>
      <c r="F2481" s="10" t="s">
        <v>52</v>
      </c>
      <c r="G2481" s="10" t="s">
        <v>631</v>
      </c>
      <c r="H2481" s="10" t="s">
        <v>214</v>
      </c>
      <c r="I2481" s="10" t="s">
        <v>443</v>
      </c>
      <c r="J2481" s="10"/>
      <c r="K2481" s="1" t="s">
        <v>6</v>
      </c>
      <c r="M2481" s="2"/>
    </row>
    <row r="2482" spans="1:13">
      <c r="A2482" t="s">
        <v>24</v>
      </c>
      <c r="B2482">
        <f ca="1">IF(OR(changes[[#This Row],[Type]]="Checklist",changes[[#This Row],[Type]]="checklist-flat"),1+IF(changes[[#This Row],[Type of change]] = "Edit",COUNTIFS($I$4:changes[[#This Row],[Name]],changes[[#This Row],[Name]], $E$4:changes[[#This Row],[Type of change]], "Edit")),B2481)</f>
        <v>1</v>
      </c>
      <c r="C2482" s="16">
        <v>44886</v>
      </c>
      <c r="D2482" s="1" t="s">
        <v>2393</v>
      </c>
      <c r="E2482" t="s">
        <v>27</v>
      </c>
      <c r="F2482" s="10" t="s">
        <v>52</v>
      </c>
      <c r="G2482" s="10" t="s">
        <v>631</v>
      </c>
      <c r="H2482" s="10" t="s">
        <v>55</v>
      </c>
      <c r="I2482" s="10" t="s">
        <v>442</v>
      </c>
      <c r="J2482" s="10"/>
      <c r="K2482" s="1" t="s">
        <v>6</v>
      </c>
      <c r="M2482" s="2"/>
    </row>
    <row r="2483" spans="1:13">
      <c r="A2483" t="s">
        <v>28</v>
      </c>
      <c r="B2483">
        <f ca="1">IF(OR(changes[[#This Row],[Type]]="Checklist",changes[[#This Row],[Type]]="checklist-flat"),1+IF(changes[[#This Row],[Type of change]] = "Edit",COUNTIFS($I$4:changes[[#This Row],[Name]],changes[[#This Row],[Name]], $E$4:changes[[#This Row],[Type of change]], "Edit")),B2482)</f>
        <v>1</v>
      </c>
      <c r="C2483" s="16">
        <v>44889</v>
      </c>
      <c r="D2483" s="1" t="s">
        <v>2579</v>
      </c>
      <c r="E2483" s="1" t="s">
        <v>27</v>
      </c>
      <c r="F2483" s="1" t="s">
        <v>9</v>
      </c>
      <c r="G2483" s="1" t="s">
        <v>2908</v>
      </c>
      <c r="H2483" s="1" t="s">
        <v>54</v>
      </c>
      <c r="I2483" s="1" t="s">
        <v>1778</v>
      </c>
      <c r="J2483" s="1"/>
      <c r="K2483" s="1" t="s">
        <v>6</v>
      </c>
      <c r="L2483" t="s">
        <v>2876</v>
      </c>
      <c r="M2483" s="2"/>
    </row>
    <row r="2484" spans="1:13">
      <c r="A2484" t="s">
        <v>28</v>
      </c>
      <c r="B2484">
        <f ca="1">IF(OR(changes[[#This Row],[Type]]="Checklist",changes[[#This Row],[Type]]="checklist-flat"),1+IF(changes[[#This Row],[Type of change]] = "Edit",COUNTIFS($I$4:changes[[#This Row],[Name]],changes[[#This Row],[Name]], $E$4:changes[[#This Row],[Type of change]], "Edit")),B2483)</f>
        <v>1</v>
      </c>
      <c r="C2484" s="16">
        <v>44889</v>
      </c>
      <c r="D2484" s="1" t="s">
        <v>2579</v>
      </c>
      <c r="E2484" s="1" t="s">
        <v>27</v>
      </c>
      <c r="F2484" s="1" t="s">
        <v>9</v>
      </c>
      <c r="G2484" s="1" t="s">
        <v>2908</v>
      </c>
      <c r="H2484" s="1" t="s">
        <v>479</v>
      </c>
      <c r="I2484" s="1" t="s">
        <v>1716</v>
      </c>
      <c r="J2484" s="1"/>
      <c r="K2484" s="1" t="s">
        <v>6</v>
      </c>
      <c r="L2484" t="s">
        <v>2876</v>
      </c>
      <c r="M2484" s="2"/>
    </row>
    <row r="2485" spans="1:13">
      <c r="A2485" t="s">
        <v>28</v>
      </c>
      <c r="B2485">
        <f ca="1">IF(OR(changes[[#This Row],[Type]]="Checklist",changes[[#This Row],[Type]]="checklist-flat"),1+IF(changes[[#This Row],[Type of change]] = "Edit",COUNTIFS($I$4:changes[[#This Row],[Name]],changes[[#This Row],[Name]], $E$4:changes[[#This Row],[Type of change]], "Edit")),B2484)</f>
        <v>1</v>
      </c>
      <c r="C2485" s="16">
        <v>44889</v>
      </c>
      <c r="D2485" s="1" t="s">
        <v>2579</v>
      </c>
      <c r="E2485" s="1" t="s">
        <v>27</v>
      </c>
      <c r="F2485" s="1" t="s">
        <v>9</v>
      </c>
      <c r="G2485" s="1" t="s">
        <v>2908</v>
      </c>
      <c r="H2485" s="1" t="s">
        <v>55</v>
      </c>
      <c r="I2485" s="1" t="s">
        <v>1779</v>
      </c>
      <c r="J2485" s="1"/>
      <c r="K2485" s="1" t="s">
        <v>6</v>
      </c>
      <c r="L2485" t="s">
        <v>2876</v>
      </c>
      <c r="M2485" s="2"/>
    </row>
    <row r="2486" spans="1:13">
      <c r="A2486" t="s">
        <v>28</v>
      </c>
      <c r="B2486">
        <f ca="1">IF(OR(changes[[#This Row],[Type]]="Checklist",changes[[#This Row],[Type]]="checklist-flat"),1+IF(changes[[#This Row],[Type of change]] = "Edit",COUNTIFS($I$4:changes[[#This Row],[Name]],changes[[#This Row],[Name]], $E$4:changes[[#This Row],[Type of change]], "Edit")),B2485)</f>
        <v>1</v>
      </c>
      <c r="C2486" s="16">
        <v>44889</v>
      </c>
      <c r="D2486" s="1" t="s">
        <v>2579</v>
      </c>
      <c r="E2486" s="1" t="s">
        <v>27</v>
      </c>
      <c r="F2486" s="1" t="s">
        <v>9</v>
      </c>
      <c r="G2486" s="1" t="s">
        <v>2908</v>
      </c>
      <c r="H2486" s="1" t="s">
        <v>214</v>
      </c>
      <c r="I2486" s="1" t="s">
        <v>1613</v>
      </c>
      <c r="J2486" s="1"/>
      <c r="K2486" s="1" t="s">
        <v>6</v>
      </c>
      <c r="L2486" t="s">
        <v>2876</v>
      </c>
      <c r="M2486" s="2"/>
    </row>
    <row r="2487" spans="1:13">
      <c r="A2487" t="s">
        <v>28</v>
      </c>
      <c r="B2487">
        <f ca="1">IF(OR(changes[[#This Row],[Type]]="Checklist",changes[[#This Row],[Type]]="checklist-flat"),1+IF(changes[[#This Row],[Type of change]] = "Edit",COUNTIFS($I$4:changes[[#This Row],[Name]],changes[[#This Row],[Name]], $E$4:changes[[#This Row],[Type of change]], "Edit")),B2486)</f>
        <v>1</v>
      </c>
      <c r="C2487" s="16">
        <v>44889</v>
      </c>
      <c r="D2487" s="1" t="s">
        <v>2579</v>
      </c>
      <c r="E2487" s="1" t="s">
        <v>27</v>
      </c>
      <c r="F2487" s="1" t="s">
        <v>9</v>
      </c>
      <c r="G2487" s="1" t="s">
        <v>2908</v>
      </c>
      <c r="H2487" s="1" t="s">
        <v>214</v>
      </c>
      <c r="I2487" s="1" t="s">
        <v>1614</v>
      </c>
      <c r="J2487" s="1"/>
      <c r="K2487" s="1" t="s">
        <v>6</v>
      </c>
      <c r="L2487" t="s">
        <v>2876</v>
      </c>
      <c r="M2487" s="2"/>
    </row>
    <row r="2488" spans="1:13">
      <c r="A2488" t="s">
        <v>28</v>
      </c>
      <c r="B2488">
        <f ca="1">IF(OR(changes[[#This Row],[Type]]="Checklist",changes[[#This Row],[Type]]="checklist-flat"),1+IF(changes[[#This Row],[Type of change]] = "Edit",COUNTIFS($I$4:changes[[#This Row],[Name]],changes[[#This Row],[Name]], $E$4:changes[[#This Row],[Type of change]], "Edit")),B2487)</f>
        <v>1</v>
      </c>
      <c r="C2488" s="16">
        <v>44889</v>
      </c>
      <c r="D2488" s="1" t="s">
        <v>2579</v>
      </c>
      <c r="E2488" s="1" t="s">
        <v>27</v>
      </c>
      <c r="F2488" s="1" t="s">
        <v>9</v>
      </c>
      <c r="G2488" s="1" t="s">
        <v>2908</v>
      </c>
      <c r="H2488" s="1" t="s">
        <v>55</v>
      </c>
      <c r="I2488" s="1" t="s">
        <v>1718</v>
      </c>
      <c r="J2488" s="1"/>
      <c r="K2488" s="1" t="s">
        <v>6</v>
      </c>
      <c r="L2488" t="s">
        <v>2876</v>
      </c>
      <c r="M2488" s="2"/>
    </row>
    <row r="2489" spans="1:13">
      <c r="A2489" t="s">
        <v>28</v>
      </c>
      <c r="B2489">
        <f ca="1">IF(OR(changes[[#This Row],[Type]]="Checklist",changes[[#This Row],[Type]]="checklist-flat"),1+IF(changes[[#This Row],[Type of change]] = "Edit",COUNTIFS($I$4:changes[[#This Row],[Name]],changes[[#This Row],[Name]], $E$4:changes[[#This Row],[Type of change]], "Edit")),B2488)</f>
        <v>1</v>
      </c>
      <c r="C2489" s="16">
        <v>44889</v>
      </c>
      <c r="D2489" s="1" t="s">
        <v>2579</v>
      </c>
      <c r="E2489" s="1" t="s">
        <v>27</v>
      </c>
      <c r="F2489" s="1" t="s">
        <v>9</v>
      </c>
      <c r="G2489" s="1" t="s">
        <v>2908</v>
      </c>
      <c r="H2489" s="1" t="s">
        <v>479</v>
      </c>
      <c r="I2489" s="1" t="s">
        <v>1780</v>
      </c>
      <c r="J2489" s="1"/>
      <c r="K2489" s="1" t="s">
        <v>6</v>
      </c>
      <c r="L2489" t="s">
        <v>2876</v>
      </c>
      <c r="M2489" s="2"/>
    </row>
    <row r="2490" spans="1:13">
      <c r="A2490" t="s">
        <v>28</v>
      </c>
      <c r="B2490">
        <f ca="1">IF(OR(changes[[#This Row],[Type]]="Checklist",changes[[#This Row],[Type]]="checklist-flat"),1+IF(changes[[#This Row],[Type of change]] = "Edit",COUNTIFS($I$4:changes[[#This Row],[Name]],changes[[#This Row],[Name]], $E$4:changes[[#This Row],[Type of change]], "Edit")),B2489)</f>
        <v>1</v>
      </c>
      <c r="C2490" s="16">
        <v>44889</v>
      </c>
      <c r="D2490" s="1" t="s">
        <v>2579</v>
      </c>
      <c r="E2490" s="1" t="s">
        <v>27</v>
      </c>
      <c r="F2490" s="1" t="s">
        <v>9</v>
      </c>
      <c r="G2490" s="1" t="s">
        <v>2908</v>
      </c>
      <c r="H2490" s="1" t="s">
        <v>55</v>
      </c>
      <c r="I2490" s="1" t="s">
        <v>1781</v>
      </c>
      <c r="J2490" s="1"/>
      <c r="K2490" s="1" t="s">
        <v>6</v>
      </c>
      <c r="L2490" t="s">
        <v>2876</v>
      </c>
      <c r="M2490" s="2"/>
    </row>
    <row r="2491" spans="1:13">
      <c r="A2491" t="s">
        <v>28</v>
      </c>
      <c r="B2491">
        <f ca="1">IF(OR(changes[[#This Row],[Type]]="Checklist",changes[[#This Row],[Type]]="checklist-flat"),1+IF(changes[[#This Row],[Type of change]] = "Edit",COUNTIFS($I$4:changes[[#This Row],[Name]],changes[[#This Row],[Name]], $E$4:changes[[#This Row],[Type of change]], "Edit")),B2490)</f>
        <v>1</v>
      </c>
      <c r="C2491" s="16">
        <v>44889</v>
      </c>
      <c r="D2491" s="1" t="s">
        <v>2579</v>
      </c>
      <c r="E2491" s="1" t="s">
        <v>27</v>
      </c>
      <c r="F2491" s="1" t="s">
        <v>9</v>
      </c>
      <c r="G2491" s="1" t="s">
        <v>2908</v>
      </c>
      <c r="H2491" s="1" t="s">
        <v>55</v>
      </c>
      <c r="I2491" s="1" t="s">
        <v>475</v>
      </c>
      <c r="J2491" s="1"/>
      <c r="K2491" s="1" t="s">
        <v>6</v>
      </c>
      <c r="L2491" t="s">
        <v>2876</v>
      </c>
      <c r="M2491" s="2"/>
    </row>
    <row r="2492" spans="1:13">
      <c r="A2492" t="s">
        <v>28</v>
      </c>
      <c r="B2492">
        <f ca="1">IF(OR(changes[[#This Row],[Type]]="Checklist",changes[[#This Row],[Type]]="checklist-flat"),1+IF(changes[[#This Row],[Type of change]] = "Edit",COUNTIFS($I$4:changes[[#This Row],[Name]],changes[[#This Row],[Name]], $E$4:changes[[#This Row],[Type of change]], "Edit")),B2491)</f>
        <v>1</v>
      </c>
      <c r="C2492" s="16">
        <v>44889</v>
      </c>
      <c r="D2492" s="1" t="s">
        <v>2579</v>
      </c>
      <c r="E2492" s="1" t="s">
        <v>27</v>
      </c>
      <c r="F2492" s="1" t="s">
        <v>9</v>
      </c>
      <c r="G2492" s="1" t="s">
        <v>2908</v>
      </c>
      <c r="H2492" s="1" t="s">
        <v>55</v>
      </c>
      <c r="I2492" s="1" t="s">
        <v>1782</v>
      </c>
      <c r="J2492" s="1"/>
      <c r="K2492" s="1" t="s">
        <v>6</v>
      </c>
      <c r="L2492" t="s">
        <v>2876</v>
      </c>
      <c r="M2492" s="2"/>
    </row>
    <row r="2493" spans="1:13">
      <c r="A2493" t="s">
        <v>28</v>
      </c>
      <c r="B2493">
        <f ca="1">IF(OR(changes[[#This Row],[Type]]="Checklist",changes[[#This Row],[Type]]="checklist-flat"),1+IF(changes[[#This Row],[Type of change]] = "Edit",COUNTIFS($I$4:changes[[#This Row],[Name]],changes[[#This Row],[Name]], $E$4:changes[[#This Row],[Type of change]], "Edit")),B2492)</f>
        <v>1</v>
      </c>
      <c r="C2493" s="16">
        <v>44889</v>
      </c>
      <c r="D2493" s="1" t="s">
        <v>2579</v>
      </c>
      <c r="E2493" s="1" t="s">
        <v>27</v>
      </c>
      <c r="F2493" s="1" t="s">
        <v>9</v>
      </c>
      <c r="G2493" s="1" t="s">
        <v>2908</v>
      </c>
      <c r="H2493" s="1" t="s">
        <v>479</v>
      </c>
      <c r="I2493" s="1" t="s">
        <v>1721</v>
      </c>
      <c r="J2493" s="1"/>
      <c r="K2493" s="1" t="s">
        <v>6</v>
      </c>
      <c r="L2493" t="s">
        <v>2876</v>
      </c>
      <c r="M2493" s="2"/>
    </row>
    <row r="2494" spans="1:13">
      <c r="A2494" t="s">
        <v>28</v>
      </c>
      <c r="B2494">
        <f ca="1">IF(OR(changes[[#This Row],[Type]]="Checklist",changes[[#This Row],[Type]]="checklist-flat"),1+IF(changes[[#This Row],[Type of change]] = "Edit",COUNTIFS($I$4:changes[[#This Row],[Name]],changes[[#This Row],[Name]], $E$4:changes[[#This Row],[Type of change]], "Edit")),B2493)</f>
        <v>1</v>
      </c>
      <c r="C2494" s="16">
        <v>44889</v>
      </c>
      <c r="D2494" s="1" t="s">
        <v>2579</v>
      </c>
      <c r="E2494" s="1" t="s">
        <v>27</v>
      </c>
      <c r="F2494" s="1" t="s">
        <v>9</v>
      </c>
      <c r="G2494" s="1" t="s">
        <v>2908</v>
      </c>
      <c r="H2494" s="1" t="s">
        <v>55</v>
      </c>
      <c r="I2494" s="1" t="s">
        <v>1722</v>
      </c>
      <c r="J2494" s="1"/>
      <c r="K2494" s="1" t="s">
        <v>6</v>
      </c>
      <c r="L2494" t="s">
        <v>2876</v>
      </c>
      <c r="M2494" s="2"/>
    </row>
    <row r="2495" spans="1:13">
      <c r="A2495" t="s">
        <v>28</v>
      </c>
      <c r="B2495">
        <f ca="1">IF(OR(changes[[#This Row],[Type]]="Checklist",changes[[#This Row],[Type]]="checklist-flat"),1+IF(changes[[#This Row],[Type of change]] = "Edit",COUNTIFS($I$4:changes[[#This Row],[Name]],changes[[#This Row],[Name]], $E$4:changes[[#This Row],[Type of change]], "Edit")),B2494)</f>
        <v>1</v>
      </c>
      <c r="C2495" s="16">
        <v>44889</v>
      </c>
      <c r="D2495" s="1" t="s">
        <v>2579</v>
      </c>
      <c r="E2495" s="1" t="s">
        <v>27</v>
      </c>
      <c r="F2495" s="1" t="s">
        <v>9</v>
      </c>
      <c r="G2495" s="1" t="s">
        <v>2908</v>
      </c>
      <c r="H2495" s="1" t="s">
        <v>479</v>
      </c>
      <c r="I2495" s="1" t="s">
        <v>1734</v>
      </c>
      <c r="J2495" s="1"/>
      <c r="K2495" s="1" t="s">
        <v>6</v>
      </c>
      <c r="L2495" t="s">
        <v>2876</v>
      </c>
      <c r="M2495" s="2"/>
    </row>
    <row r="2496" spans="1:13">
      <c r="A2496" t="s">
        <v>28</v>
      </c>
      <c r="B2496">
        <f ca="1">IF(OR(changes[[#This Row],[Type]]="Checklist",changes[[#This Row],[Type]]="checklist-flat"),1+IF(changes[[#This Row],[Type of change]] = "Edit",COUNTIFS($I$4:changes[[#This Row],[Name]],changes[[#This Row],[Name]], $E$4:changes[[#This Row],[Type of change]], "Edit")),B2495)</f>
        <v>1</v>
      </c>
      <c r="C2496" s="16">
        <v>44889</v>
      </c>
      <c r="D2496" s="1" t="s">
        <v>2579</v>
      </c>
      <c r="E2496" s="1" t="s">
        <v>27</v>
      </c>
      <c r="F2496" s="1" t="s">
        <v>9</v>
      </c>
      <c r="G2496" s="1" t="s">
        <v>2908</v>
      </c>
      <c r="H2496" s="1" t="s">
        <v>55</v>
      </c>
      <c r="I2496" s="1" t="s">
        <v>1783</v>
      </c>
      <c r="J2496" s="1"/>
      <c r="K2496" s="1" t="s">
        <v>6</v>
      </c>
      <c r="L2496" t="s">
        <v>2876</v>
      </c>
      <c r="M2496" s="2"/>
    </row>
    <row r="2497" spans="1:13">
      <c r="A2497" t="s">
        <v>28</v>
      </c>
      <c r="B2497">
        <f ca="1">IF(OR(changes[[#This Row],[Type]]="Checklist",changes[[#This Row],[Type]]="checklist-flat"),1+IF(changes[[#This Row],[Type of change]] = "Edit",COUNTIFS($I$4:changes[[#This Row],[Name]],changes[[#This Row],[Name]], $E$4:changes[[#This Row],[Type of change]], "Edit")),B2496)</f>
        <v>1</v>
      </c>
      <c r="C2497" s="16">
        <v>44889</v>
      </c>
      <c r="D2497" s="1" t="s">
        <v>2579</v>
      </c>
      <c r="E2497" s="1" t="s">
        <v>27</v>
      </c>
      <c r="F2497" s="1" t="s">
        <v>9</v>
      </c>
      <c r="G2497" s="1" t="s">
        <v>2908</v>
      </c>
      <c r="H2497" s="1" t="s">
        <v>55</v>
      </c>
      <c r="I2497" s="1" t="s">
        <v>1737</v>
      </c>
      <c r="J2497" s="1"/>
      <c r="K2497" s="1" t="s">
        <v>6</v>
      </c>
      <c r="L2497" t="s">
        <v>2876</v>
      </c>
      <c r="M2497" s="2"/>
    </row>
    <row r="2498" spans="1:13">
      <c r="A2498" t="s">
        <v>28</v>
      </c>
      <c r="B2498">
        <f ca="1">IF(OR(changes[[#This Row],[Type]]="Checklist",changes[[#This Row],[Type]]="checklist-flat"),1+IF(changes[[#This Row],[Type of change]] = "Edit",COUNTIFS($I$4:changes[[#This Row],[Name]],changes[[#This Row],[Name]], $E$4:changes[[#This Row],[Type of change]], "Edit")),B2497)</f>
        <v>1</v>
      </c>
      <c r="C2498" s="16">
        <v>44889</v>
      </c>
      <c r="D2498" s="1" t="s">
        <v>2579</v>
      </c>
      <c r="E2498" s="1" t="s">
        <v>27</v>
      </c>
      <c r="F2498" s="1" t="s">
        <v>9</v>
      </c>
      <c r="G2498" s="1" t="s">
        <v>2908</v>
      </c>
      <c r="H2498" s="1" t="s">
        <v>64</v>
      </c>
      <c r="I2498" s="1" t="s">
        <v>65</v>
      </c>
      <c r="J2498" s="1"/>
      <c r="K2498" s="1" t="s">
        <v>6</v>
      </c>
      <c r="L2498" t="s">
        <v>2876</v>
      </c>
      <c r="M2498" s="2"/>
    </row>
    <row r="2499" spans="1:13">
      <c r="A2499" t="s">
        <v>28</v>
      </c>
      <c r="B2499">
        <f ca="1">IF(OR(changes[[#This Row],[Type]]="Checklist",changes[[#This Row],[Type]]="checklist-flat"),1+IF(changes[[#This Row],[Type of change]] = "Edit",COUNTIFS($I$4:changes[[#This Row],[Name]],changes[[#This Row],[Name]], $E$4:changes[[#This Row],[Type of change]], "Edit")),B2498)</f>
        <v>1</v>
      </c>
      <c r="C2499" s="16">
        <v>44889</v>
      </c>
      <c r="D2499" s="1" t="s">
        <v>2579</v>
      </c>
      <c r="E2499" s="1" t="s">
        <v>27</v>
      </c>
      <c r="F2499" s="1" t="s">
        <v>9</v>
      </c>
      <c r="G2499" s="1" t="s">
        <v>2908</v>
      </c>
      <c r="H2499" s="1" t="s">
        <v>55</v>
      </c>
      <c r="I2499" s="1" t="s">
        <v>1784</v>
      </c>
      <c r="J2499" s="1"/>
      <c r="K2499" s="1" t="s">
        <v>6</v>
      </c>
      <c r="L2499" t="s">
        <v>2876</v>
      </c>
      <c r="M2499" s="2"/>
    </row>
    <row r="2500" spans="1:13">
      <c r="A2500" t="s">
        <v>28</v>
      </c>
      <c r="B2500">
        <f ca="1">IF(OR(changes[[#This Row],[Type]]="Checklist",changes[[#This Row],[Type]]="checklist-flat"),1+IF(changes[[#This Row],[Type of change]] = "Edit",COUNTIFS($I$4:changes[[#This Row],[Name]],changes[[#This Row],[Name]], $E$4:changes[[#This Row],[Type of change]], "Edit")),B2499)</f>
        <v>1</v>
      </c>
      <c r="C2500" s="16">
        <v>44889</v>
      </c>
      <c r="D2500" s="1" t="s">
        <v>2579</v>
      </c>
      <c r="E2500" s="1" t="s">
        <v>27</v>
      </c>
      <c r="F2500" s="1" t="s">
        <v>9</v>
      </c>
      <c r="G2500" s="1" t="s">
        <v>2908</v>
      </c>
      <c r="H2500" s="1" t="s">
        <v>55</v>
      </c>
      <c r="I2500" s="1" t="s">
        <v>1738</v>
      </c>
      <c r="J2500" s="1"/>
      <c r="K2500" s="1" t="s">
        <v>6</v>
      </c>
      <c r="L2500" t="s">
        <v>2876</v>
      </c>
      <c r="M2500" s="2"/>
    </row>
    <row r="2501" spans="1:13">
      <c r="A2501" t="s">
        <v>28</v>
      </c>
      <c r="B2501">
        <f ca="1">IF(OR(changes[[#This Row],[Type]]="Checklist",changes[[#This Row],[Type]]="checklist-flat"),1+IF(changes[[#This Row],[Type of change]] = "Edit",COUNTIFS($I$4:changes[[#This Row],[Name]],changes[[#This Row],[Name]], $E$4:changes[[#This Row],[Type of change]], "Edit")),B2500)</f>
        <v>1</v>
      </c>
      <c r="C2501" s="16">
        <v>44889</v>
      </c>
      <c r="D2501" s="1" t="s">
        <v>2579</v>
      </c>
      <c r="E2501" s="1" t="s">
        <v>27</v>
      </c>
      <c r="F2501" s="1" t="s">
        <v>9</v>
      </c>
      <c r="G2501" s="1" t="s">
        <v>2908</v>
      </c>
      <c r="H2501" s="1" t="s">
        <v>479</v>
      </c>
      <c r="I2501" s="1" t="s">
        <v>1739</v>
      </c>
      <c r="J2501" s="1"/>
      <c r="K2501" s="1" t="s">
        <v>6</v>
      </c>
      <c r="L2501" t="s">
        <v>2876</v>
      </c>
      <c r="M2501" s="2"/>
    </row>
    <row r="2502" spans="1:13">
      <c r="A2502" t="s">
        <v>28</v>
      </c>
      <c r="B2502">
        <f ca="1">IF(OR(changes[[#This Row],[Type]]="Checklist",changes[[#This Row],[Type]]="checklist-flat"),1+IF(changes[[#This Row],[Type of change]] = "Edit",COUNTIFS($I$4:changes[[#This Row],[Name]],changes[[#This Row],[Name]], $E$4:changes[[#This Row],[Type of change]], "Edit")),B2501)</f>
        <v>1</v>
      </c>
      <c r="C2502" s="16">
        <v>44889</v>
      </c>
      <c r="D2502" s="1" t="s">
        <v>2579</v>
      </c>
      <c r="E2502" s="1" t="s">
        <v>27</v>
      </c>
      <c r="F2502" s="1" t="s">
        <v>9</v>
      </c>
      <c r="G2502" s="1" t="s">
        <v>2908</v>
      </c>
      <c r="H2502" s="1" t="s">
        <v>55</v>
      </c>
      <c r="I2502" s="1" t="s">
        <v>1621</v>
      </c>
      <c r="J2502" s="1"/>
      <c r="K2502" s="1" t="s">
        <v>6</v>
      </c>
      <c r="L2502" t="s">
        <v>2876</v>
      </c>
      <c r="M2502" s="2"/>
    </row>
    <row r="2503" spans="1:13">
      <c r="A2503" t="s">
        <v>28</v>
      </c>
      <c r="B2503">
        <f ca="1">IF(OR(changes[[#This Row],[Type]]="Checklist",changes[[#This Row],[Type]]="checklist-flat"),1+IF(changes[[#This Row],[Type of change]] = "Edit",COUNTIFS($I$4:changes[[#This Row],[Name]],changes[[#This Row],[Name]], $E$4:changes[[#This Row],[Type of change]], "Edit")),B2502)</f>
        <v>1</v>
      </c>
      <c r="C2503" s="16">
        <v>44889</v>
      </c>
      <c r="D2503" s="1" t="s">
        <v>2579</v>
      </c>
      <c r="E2503" s="1" t="s">
        <v>27</v>
      </c>
      <c r="F2503" s="1" t="s">
        <v>9</v>
      </c>
      <c r="G2503" s="1" t="s">
        <v>2908</v>
      </c>
      <c r="H2503" s="1" t="s">
        <v>55</v>
      </c>
      <c r="I2503" s="1" t="s">
        <v>1582</v>
      </c>
      <c r="J2503" s="1"/>
      <c r="K2503" s="1" t="s">
        <v>6</v>
      </c>
      <c r="L2503" t="s">
        <v>2876</v>
      </c>
      <c r="M2503" s="2"/>
    </row>
    <row r="2504" spans="1:13">
      <c r="A2504" t="s">
        <v>28</v>
      </c>
      <c r="B2504">
        <f ca="1">IF(OR(changes[[#This Row],[Type]]="Checklist",changes[[#This Row],[Type]]="checklist-flat"),1+IF(changes[[#This Row],[Type of change]] = "Edit",COUNTIFS($I$4:changes[[#This Row],[Name]],changes[[#This Row],[Name]], $E$4:changes[[#This Row],[Type of change]], "Edit")),B2503)</f>
        <v>1</v>
      </c>
      <c r="C2504" s="16">
        <v>44889</v>
      </c>
      <c r="D2504" s="1" t="s">
        <v>2579</v>
      </c>
      <c r="E2504" s="1" t="s">
        <v>27</v>
      </c>
      <c r="F2504" s="1" t="s">
        <v>9</v>
      </c>
      <c r="G2504" s="1" t="s">
        <v>2908</v>
      </c>
      <c r="H2504" s="1" t="s">
        <v>55</v>
      </c>
      <c r="I2504" s="1" t="s">
        <v>1581</v>
      </c>
      <c r="J2504" s="1"/>
      <c r="K2504" s="1" t="s">
        <v>6</v>
      </c>
      <c r="L2504" t="s">
        <v>2876</v>
      </c>
      <c r="M2504" s="2"/>
    </row>
    <row r="2505" spans="1:13">
      <c r="A2505" t="s">
        <v>28</v>
      </c>
      <c r="B2505">
        <f ca="1">IF(OR(changes[[#This Row],[Type]]="Checklist",changes[[#This Row],[Type]]="checklist-flat"),1+IF(changes[[#This Row],[Type of change]] = "Edit",COUNTIFS($I$4:changes[[#This Row],[Name]],changes[[#This Row],[Name]], $E$4:changes[[#This Row],[Type of change]], "Edit")),B2504)</f>
        <v>1</v>
      </c>
      <c r="C2505" s="16">
        <v>44889</v>
      </c>
      <c r="D2505" s="1" t="s">
        <v>2579</v>
      </c>
      <c r="E2505" s="1" t="s">
        <v>27</v>
      </c>
      <c r="F2505" s="1" t="s">
        <v>9</v>
      </c>
      <c r="G2505" s="1" t="s">
        <v>2908</v>
      </c>
      <c r="H2505" s="1" t="s">
        <v>479</v>
      </c>
      <c r="I2505" s="1" t="s">
        <v>1751</v>
      </c>
      <c r="J2505" s="1"/>
      <c r="K2505" s="1" t="s">
        <v>6</v>
      </c>
      <c r="L2505" t="s">
        <v>2876</v>
      </c>
      <c r="M2505" s="2"/>
    </row>
    <row r="2506" spans="1:13">
      <c r="A2506" t="s">
        <v>28</v>
      </c>
      <c r="B2506">
        <f ca="1">IF(OR(changes[[#This Row],[Type]]="Checklist",changes[[#This Row],[Type]]="checklist-flat"),1+IF(changes[[#This Row],[Type of change]] = "Edit",COUNTIFS($I$4:changes[[#This Row],[Name]],changes[[#This Row],[Name]], $E$4:changes[[#This Row],[Type of change]], "Edit")),B2505)</f>
        <v>1</v>
      </c>
      <c r="C2506" s="16">
        <v>44889</v>
      </c>
      <c r="D2506" s="1" t="s">
        <v>2579</v>
      </c>
      <c r="E2506" s="1" t="s">
        <v>27</v>
      </c>
      <c r="F2506" s="1" t="s">
        <v>9</v>
      </c>
      <c r="G2506" s="1" t="s">
        <v>2908</v>
      </c>
      <c r="H2506" s="1" t="s">
        <v>55</v>
      </c>
      <c r="I2506" s="1" t="s">
        <v>1752</v>
      </c>
      <c r="J2506" s="1"/>
      <c r="K2506" s="1" t="s">
        <v>6</v>
      </c>
      <c r="L2506" t="s">
        <v>2876</v>
      </c>
      <c r="M2506" s="2"/>
    </row>
    <row r="2507" spans="1:13">
      <c r="A2507" t="s">
        <v>28</v>
      </c>
      <c r="B2507">
        <f ca="1">IF(OR(changes[[#This Row],[Type]]="Checklist",changes[[#This Row],[Type]]="checklist-flat"),1+IF(changes[[#This Row],[Type of change]] = "Edit",COUNTIFS($I$4:changes[[#This Row],[Name]],changes[[#This Row],[Name]], $E$4:changes[[#This Row],[Type of change]], "Edit")),B2506)</f>
        <v>1</v>
      </c>
      <c r="C2507" s="16">
        <v>44889</v>
      </c>
      <c r="D2507" s="1" t="s">
        <v>2579</v>
      </c>
      <c r="E2507" s="1" t="s">
        <v>27</v>
      </c>
      <c r="F2507" s="1" t="s">
        <v>9</v>
      </c>
      <c r="G2507" s="1" t="s">
        <v>2908</v>
      </c>
      <c r="H2507" s="1" t="s">
        <v>64</v>
      </c>
      <c r="I2507" s="1" t="s">
        <v>65</v>
      </c>
      <c r="J2507" s="1"/>
      <c r="K2507" s="1" t="s">
        <v>6</v>
      </c>
      <c r="L2507" t="s">
        <v>2876</v>
      </c>
      <c r="M2507" s="2"/>
    </row>
    <row r="2508" spans="1:13">
      <c r="A2508" t="s">
        <v>28</v>
      </c>
      <c r="B2508">
        <f ca="1">IF(OR(changes[[#This Row],[Type]]="Checklist",changes[[#This Row],[Type]]="checklist-flat"),1+IF(changes[[#This Row],[Type of change]] = "Edit",COUNTIFS($I$4:changes[[#This Row],[Name]],changes[[#This Row],[Name]], $E$4:changes[[#This Row],[Type of change]], "Edit")),B2507)</f>
        <v>1</v>
      </c>
      <c r="C2508" s="16">
        <v>44889</v>
      </c>
      <c r="D2508" s="1" t="s">
        <v>2579</v>
      </c>
      <c r="E2508" s="1" t="s">
        <v>27</v>
      </c>
      <c r="F2508" s="1" t="s">
        <v>9</v>
      </c>
      <c r="G2508" s="1" t="s">
        <v>2908</v>
      </c>
      <c r="H2508" s="1" t="s">
        <v>55</v>
      </c>
      <c r="I2508" s="1" t="s">
        <v>1754</v>
      </c>
      <c r="J2508" s="1"/>
      <c r="K2508" s="1" t="s">
        <v>6</v>
      </c>
      <c r="L2508" t="s">
        <v>2876</v>
      </c>
      <c r="M2508" s="2"/>
    </row>
    <row r="2509" spans="1:13">
      <c r="A2509" t="s">
        <v>28</v>
      </c>
      <c r="B2509">
        <f ca="1">IF(OR(changes[[#This Row],[Type]]="Checklist",changes[[#This Row],[Type]]="checklist-flat"),1+IF(changes[[#This Row],[Type of change]] = "Edit",COUNTIFS($I$4:changes[[#This Row],[Name]],changes[[#This Row],[Name]], $E$4:changes[[#This Row],[Type of change]], "Edit")),B2508)</f>
        <v>1</v>
      </c>
      <c r="C2509" s="16">
        <v>44889</v>
      </c>
      <c r="D2509" s="1" t="s">
        <v>2579</v>
      </c>
      <c r="E2509" s="1" t="s">
        <v>27</v>
      </c>
      <c r="F2509" s="1" t="s">
        <v>9</v>
      </c>
      <c r="G2509" s="1" t="s">
        <v>2908</v>
      </c>
      <c r="H2509" s="1" t="s">
        <v>55</v>
      </c>
      <c r="I2509" s="1" t="s">
        <v>93</v>
      </c>
      <c r="J2509" s="1"/>
      <c r="K2509" s="1" t="s">
        <v>6</v>
      </c>
      <c r="L2509" t="s">
        <v>2876</v>
      </c>
      <c r="M2509" s="2"/>
    </row>
    <row r="2510" spans="1:13">
      <c r="A2510" t="s">
        <v>28</v>
      </c>
      <c r="B2510">
        <f ca="1">IF(OR(changes[[#This Row],[Type]]="Checklist",changes[[#This Row],[Type]]="checklist-flat"),1+IF(changes[[#This Row],[Type of change]] = "Edit",COUNTIFS($I$4:changes[[#This Row],[Name]],changes[[#This Row],[Name]], $E$4:changes[[#This Row],[Type of change]], "Edit")),B2509)</f>
        <v>1</v>
      </c>
      <c r="C2510" s="16">
        <v>44889</v>
      </c>
      <c r="D2510" s="1" t="s">
        <v>2579</v>
      </c>
      <c r="E2510" s="1" t="s">
        <v>27</v>
      </c>
      <c r="F2510" s="1" t="s">
        <v>9</v>
      </c>
      <c r="G2510" s="1" t="s">
        <v>2908</v>
      </c>
      <c r="H2510" s="1" t="s">
        <v>64</v>
      </c>
      <c r="I2510" s="1" t="s">
        <v>733</v>
      </c>
      <c r="J2510" s="1"/>
      <c r="K2510" s="1" t="s">
        <v>6</v>
      </c>
      <c r="L2510" t="s">
        <v>2876</v>
      </c>
      <c r="M2510" s="2"/>
    </row>
    <row r="2511" spans="1:13">
      <c r="A2511" t="s">
        <v>28</v>
      </c>
      <c r="B2511">
        <f ca="1">IF(OR(changes[[#This Row],[Type]]="Checklist",changes[[#This Row],[Type]]="checklist-flat"),1+IF(changes[[#This Row],[Type of change]] = "Edit",COUNTIFS($I$4:changes[[#This Row],[Name]],changes[[#This Row],[Name]], $E$4:changes[[#This Row],[Type of change]], "Edit")),B2510)</f>
        <v>1</v>
      </c>
      <c r="C2511" s="16">
        <v>44889</v>
      </c>
      <c r="D2511" s="1" t="s">
        <v>2579</v>
      </c>
      <c r="E2511" s="1" t="s">
        <v>27</v>
      </c>
      <c r="F2511" s="1" t="s">
        <v>52</v>
      </c>
      <c r="G2511" s="1" t="s">
        <v>1629</v>
      </c>
      <c r="H2511" s="1" t="s">
        <v>54</v>
      </c>
      <c r="I2511" s="1" t="s">
        <v>1629</v>
      </c>
      <c r="J2511" s="1"/>
      <c r="K2511" s="1" t="s">
        <v>31</v>
      </c>
      <c r="M2511" s="2"/>
    </row>
    <row r="2512" spans="1:13">
      <c r="A2512" t="s">
        <v>28</v>
      </c>
      <c r="B2512">
        <f ca="1">IF(OR(changes[[#This Row],[Type]]="Checklist",changes[[#This Row],[Type]]="checklist-flat"),1+IF(changes[[#This Row],[Type of change]] = "Edit",COUNTIFS($I$4:changes[[#This Row],[Name]],changes[[#This Row],[Name]], $E$4:changes[[#This Row],[Type of change]], "Edit")),B2511)</f>
        <v>1</v>
      </c>
      <c r="C2512" s="16">
        <v>44889</v>
      </c>
      <c r="D2512" s="1" t="s">
        <v>2579</v>
      </c>
      <c r="E2512" s="1" t="s">
        <v>27</v>
      </c>
      <c r="F2512" s="1" t="s">
        <v>52</v>
      </c>
      <c r="G2512" s="1" t="s">
        <v>1629</v>
      </c>
      <c r="H2512" s="1" t="s">
        <v>55</v>
      </c>
      <c r="I2512" s="1" t="s">
        <v>62</v>
      </c>
      <c r="J2512" s="1"/>
      <c r="K2512" s="1" t="s">
        <v>31</v>
      </c>
      <c r="M2512" s="2"/>
    </row>
    <row r="2513" spans="1:13">
      <c r="A2513" t="s">
        <v>28</v>
      </c>
      <c r="B2513">
        <f ca="1">IF(OR(changes[[#This Row],[Type]]="Checklist",changes[[#This Row],[Type]]="checklist-flat"),1+IF(changes[[#This Row],[Type of change]] = "Edit",COUNTIFS($I$4:changes[[#This Row],[Name]],changes[[#This Row],[Name]], $E$4:changes[[#This Row],[Type of change]], "Edit")),B2512)</f>
        <v>1</v>
      </c>
      <c r="C2513" s="16">
        <v>44889</v>
      </c>
      <c r="D2513" s="1" t="s">
        <v>2579</v>
      </c>
      <c r="E2513" s="1" t="s">
        <v>27</v>
      </c>
      <c r="F2513" s="1" t="s">
        <v>52</v>
      </c>
      <c r="G2513" s="1" t="s">
        <v>1629</v>
      </c>
      <c r="H2513" s="1" t="s">
        <v>55</v>
      </c>
      <c r="I2513" s="1" t="s">
        <v>1581</v>
      </c>
      <c r="J2513" s="1"/>
      <c r="K2513" s="1" t="s">
        <v>31</v>
      </c>
      <c r="M2513" s="2"/>
    </row>
    <row r="2514" spans="1:13">
      <c r="A2514" t="s">
        <v>28</v>
      </c>
      <c r="B2514">
        <f ca="1">IF(OR(changes[[#This Row],[Type]]="Checklist",changes[[#This Row],[Type]]="checklist-flat"),1+IF(changes[[#This Row],[Type of change]] = "Edit",COUNTIFS($I$4:changes[[#This Row],[Name]],changes[[#This Row],[Name]], $E$4:changes[[#This Row],[Type of change]], "Edit")),B2513)</f>
        <v>1</v>
      </c>
      <c r="C2514" s="16">
        <v>44889</v>
      </c>
      <c r="D2514" s="1" t="s">
        <v>2579</v>
      </c>
      <c r="E2514" s="1" t="s">
        <v>27</v>
      </c>
      <c r="F2514" s="1" t="s">
        <v>52</v>
      </c>
      <c r="G2514" s="1" t="s">
        <v>1629</v>
      </c>
      <c r="H2514" s="1" t="s">
        <v>55</v>
      </c>
      <c r="I2514" s="1" t="s">
        <v>1582</v>
      </c>
      <c r="J2514" s="1"/>
      <c r="K2514" s="1" t="s">
        <v>31</v>
      </c>
      <c r="M2514" s="2"/>
    </row>
    <row r="2515" spans="1:13">
      <c r="A2515" t="s">
        <v>28</v>
      </c>
      <c r="B2515">
        <f ca="1">IF(OR(changes[[#This Row],[Type]]="Checklist",changes[[#This Row],[Type]]="checklist-flat"),1+IF(changes[[#This Row],[Type of change]] = "Edit",COUNTIFS($I$4:changes[[#This Row],[Name]],changes[[#This Row],[Name]], $E$4:changes[[#This Row],[Type of change]], "Edit")),B2514)</f>
        <v>1</v>
      </c>
      <c r="C2515" s="16">
        <v>44889</v>
      </c>
      <c r="D2515" s="1" t="s">
        <v>2579</v>
      </c>
      <c r="E2515" s="1" t="s">
        <v>27</v>
      </c>
      <c r="F2515" s="1" t="s">
        <v>52</v>
      </c>
      <c r="G2515" s="1" t="s">
        <v>1629</v>
      </c>
      <c r="H2515" s="1" t="s">
        <v>55</v>
      </c>
      <c r="I2515" s="1" t="s">
        <v>63</v>
      </c>
      <c r="J2515" s="1"/>
      <c r="K2515" s="1" t="s">
        <v>31</v>
      </c>
      <c r="M2515" s="2"/>
    </row>
    <row r="2516" spans="1:13">
      <c r="A2516" t="s">
        <v>28</v>
      </c>
      <c r="B2516">
        <f ca="1">IF(OR(changes[[#This Row],[Type]]="Checklist",changes[[#This Row],[Type]]="checklist-flat"),1+IF(changes[[#This Row],[Type of change]] = "Edit",COUNTIFS($I$4:changes[[#This Row],[Name]],changes[[#This Row],[Name]], $E$4:changes[[#This Row],[Type of change]], "Edit")),B2515)</f>
        <v>1</v>
      </c>
      <c r="C2516" s="16">
        <v>44889</v>
      </c>
      <c r="D2516" s="1" t="s">
        <v>2579</v>
      </c>
      <c r="E2516" s="1" t="s">
        <v>27</v>
      </c>
      <c r="F2516" s="1" t="s">
        <v>52</v>
      </c>
      <c r="G2516" s="1" t="s">
        <v>1629</v>
      </c>
      <c r="H2516" s="1" t="s">
        <v>64</v>
      </c>
      <c r="I2516" s="1" t="s">
        <v>65</v>
      </c>
      <c r="J2516" s="1"/>
      <c r="K2516" s="1" t="s">
        <v>31</v>
      </c>
      <c r="M2516" s="2"/>
    </row>
    <row r="2517" spans="1:13">
      <c r="A2517" t="s">
        <v>28</v>
      </c>
      <c r="B2517">
        <f ca="1">IF(OR(changes[[#This Row],[Type]]="Checklist",changes[[#This Row],[Type]]="checklist-flat"),1+IF(changes[[#This Row],[Type of change]] = "Edit",COUNTIFS($I$4:changes[[#This Row],[Name]],changes[[#This Row],[Name]], $E$4:changes[[#This Row],[Type of change]], "Edit")),B2516)</f>
        <v>1</v>
      </c>
      <c r="C2517" s="16">
        <v>44889</v>
      </c>
      <c r="D2517" s="1" t="s">
        <v>2579</v>
      </c>
      <c r="E2517" s="1" t="s">
        <v>27</v>
      </c>
      <c r="F2517" s="1" t="s">
        <v>52</v>
      </c>
      <c r="G2517" s="1" t="s">
        <v>1629</v>
      </c>
      <c r="H2517" s="1" t="s">
        <v>55</v>
      </c>
      <c r="I2517" s="1" t="s">
        <v>1630</v>
      </c>
      <c r="J2517" s="1"/>
      <c r="K2517" s="1" t="s">
        <v>31</v>
      </c>
      <c r="M2517" s="2"/>
    </row>
    <row r="2518" spans="1:13">
      <c r="A2518" t="s">
        <v>28</v>
      </c>
      <c r="B2518">
        <f ca="1">IF(OR(changes[[#This Row],[Type]]="Checklist",changes[[#This Row],[Type]]="checklist-flat"),1+IF(changes[[#This Row],[Type of change]] = "Edit",COUNTIFS($I$4:changes[[#This Row],[Name]],changes[[#This Row],[Name]], $E$4:changes[[#This Row],[Type of change]], "Edit")),B2517)</f>
        <v>1</v>
      </c>
      <c r="C2518" s="16">
        <v>44889</v>
      </c>
      <c r="D2518" s="1" t="s">
        <v>2579</v>
      </c>
      <c r="E2518" s="1" t="s">
        <v>27</v>
      </c>
      <c r="F2518" s="1" t="s">
        <v>52</v>
      </c>
      <c r="G2518" s="1" t="s">
        <v>1629</v>
      </c>
      <c r="H2518" s="1" t="s">
        <v>55</v>
      </c>
      <c r="I2518" s="1" t="s">
        <v>1609</v>
      </c>
      <c r="J2518" s="1"/>
      <c r="K2518" s="1" t="s">
        <v>31</v>
      </c>
      <c r="M2518" s="2"/>
    </row>
    <row r="2519" spans="1:13">
      <c r="A2519" t="s">
        <v>28</v>
      </c>
      <c r="B2519">
        <f ca="1">IF(OR(changes[[#This Row],[Type]]="Checklist",changes[[#This Row],[Type]]="checklist-flat"),1+IF(changes[[#This Row],[Type of change]] = "Edit",COUNTIFS($I$4:changes[[#This Row],[Name]],changes[[#This Row],[Name]], $E$4:changes[[#This Row],[Type of change]], "Edit")),B2518)</f>
        <v>1</v>
      </c>
      <c r="C2519" s="16">
        <v>44889</v>
      </c>
      <c r="D2519" s="1" t="s">
        <v>2579</v>
      </c>
      <c r="E2519" s="1" t="s">
        <v>27</v>
      </c>
      <c r="F2519" s="1" t="s">
        <v>52</v>
      </c>
      <c r="G2519" s="1" t="s">
        <v>1629</v>
      </c>
      <c r="H2519" s="1" t="s">
        <v>64</v>
      </c>
      <c r="I2519" s="1" t="s">
        <v>1610</v>
      </c>
      <c r="J2519" s="1"/>
      <c r="K2519" s="1" t="s">
        <v>31</v>
      </c>
      <c r="M2519" s="2"/>
    </row>
    <row r="2520" spans="1:13" ht="15.75">
      <c r="A2520" t="s">
        <v>28</v>
      </c>
      <c r="B2520">
        <f ca="1">IF(OR(changes[[#This Row],[Type]]="Checklist",changes[[#This Row],[Type]]="checklist-flat"),1+IF(changes[[#This Row],[Type of change]] = "Edit",COUNTIFS($I$4:changes[[#This Row],[Name]],changes[[#This Row],[Name]], $E$4:changes[[#This Row],[Type of change]], "Edit")),B2519)</f>
        <v>1</v>
      </c>
      <c r="C2520" s="16">
        <v>44889</v>
      </c>
      <c r="D2520" s="1" t="s">
        <v>2579</v>
      </c>
      <c r="E2520" t="s">
        <v>19</v>
      </c>
      <c r="F2520" s="1" t="s">
        <v>52</v>
      </c>
      <c r="G2520" s="21" t="s">
        <v>2404</v>
      </c>
      <c r="H2520" s="19" t="s">
        <v>478</v>
      </c>
      <c r="I2520" s="21" t="s">
        <v>2404</v>
      </c>
      <c r="J2520" s="22"/>
      <c r="K2520" s="1" t="s">
        <v>6</v>
      </c>
      <c r="M2520" s="2" t="s">
        <v>2909</v>
      </c>
    </row>
    <row r="2521" spans="1:13" ht="15.75">
      <c r="A2521" t="s">
        <v>28</v>
      </c>
      <c r="B2521">
        <f ca="1">IF(OR(changes[[#This Row],[Type]]="Checklist",changes[[#This Row],[Type]]="checklist-flat"),1+IF(changes[[#This Row],[Type of change]] = "Edit",COUNTIFS($I$4:changes[[#This Row],[Name]],changes[[#This Row],[Name]], $E$4:changes[[#This Row],[Type of change]], "Edit")),B2520)</f>
        <v>1</v>
      </c>
      <c r="C2521" s="16">
        <v>44889</v>
      </c>
      <c r="D2521" s="1" t="s">
        <v>2579</v>
      </c>
      <c r="E2521" t="s">
        <v>19</v>
      </c>
      <c r="F2521" s="1" t="s">
        <v>52</v>
      </c>
      <c r="G2521" s="21" t="s">
        <v>2404</v>
      </c>
      <c r="H2521" s="2" t="s">
        <v>479</v>
      </c>
      <c r="I2521" s="18" t="s">
        <v>1716</v>
      </c>
      <c r="J2521" s="23"/>
      <c r="K2521" s="1" t="s">
        <v>6</v>
      </c>
      <c r="M2521" s="2"/>
    </row>
    <row r="2522" spans="1:13" ht="15.75">
      <c r="A2522" t="s">
        <v>28</v>
      </c>
      <c r="B2522">
        <f ca="1">IF(OR(changes[[#This Row],[Type]]="Checklist",changes[[#This Row],[Type]]="checklist-flat"),1+IF(changes[[#This Row],[Type of change]] = "Edit",COUNTIFS($I$4:changes[[#This Row],[Name]],changes[[#This Row],[Name]], $E$4:changes[[#This Row],[Type of change]], "Edit")),B2521)</f>
        <v>1</v>
      </c>
      <c r="C2522" s="16">
        <v>44889</v>
      </c>
      <c r="D2522" s="1" t="s">
        <v>2579</v>
      </c>
      <c r="E2522" t="s">
        <v>19</v>
      </c>
      <c r="F2522" s="1" t="s">
        <v>52</v>
      </c>
      <c r="G2522" s="21" t="s">
        <v>2404</v>
      </c>
      <c r="H2522" s="2" t="s">
        <v>55</v>
      </c>
      <c r="I2522" s="18" t="s">
        <v>1779</v>
      </c>
      <c r="J2522" s="23"/>
      <c r="K2522" s="1" t="s">
        <v>6</v>
      </c>
      <c r="M2522" s="2"/>
    </row>
    <row r="2523" spans="1:13" ht="15.75">
      <c r="A2523" t="s">
        <v>28</v>
      </c>
      <c r="B2523">
        <f ca="1">IF(OR(changes[[#This Row],[Type]]="Checklist",changes[[#This Row],[Type]]="checklist-flat"),1+IF(changes[[#This Row],[Type of change]] = "Edit",COUNTIFS($I$4:changes[[#This Row],[Name]],changes[[#This Row],[Name]], $E$4:changes[[#This Row],[Type of change]], "Edit")),B2522)</f>
        <v>1</v>
      </c>
      <c r="C2523" s="16">
        <v>44889</v>
      </c>
      <c r="D2523" s="1" t="s">
        <v>2579</v>
      </c>
      <c r="E2523" t="s">
        <v>19</v>
      </c>
      <c r="F2523" s="1" t="s">
        <v>52</v>
      </c>
      <c r="G2523" s="21" t="s">
        <v>2404</v>
      </c>
      <c r="H2523" s="2" t="s">
        <v>214</v>
      </c>
      <c r="I2523" s="18" t="s">
        <v>1613</v>
      </c>
      <c r="J2523" s="23"/>
      <c r="K2523" s="1" t="s">
        <v>6</v>
      </c>
      <c r="M2523" s="2"/>
    </row>
    <row r="2524" spans="1:13" ht="15.75">
      <c r="A2524" t="s">
        <v>28</v>
      </c>
      <c r="B2524">
        <f ca="1">IF(OR(changes[[#This Row],[Type]]="Checklist",changes[[#This Row],[Type]]="checklist-flat"),1+IF(changes[[#This Row],[Type of change]] = "Edit",COUNTIFS($I$4:changes[[#This Row],[Name]],changes[[#This Row],[Name]], $E$4:changes[[#This Row],[Type of change]], "Edit")),B2523)</f>
        <v>1</v>
      </c>
      <c r="C2524" s="16">
        <v>44889</v>
      </c>
      <c r="D2524" s="1" t="s">
        <v>2579</v>
      </c>
      <c r="E2524" t="s">
        <v>19</v>
      </c>
      <c r="F2524" s="1" t="s">
        <v>52</v>
      </c>
      <c r="G2524" s="21" t="s">
        <v>2404</v>
      </c>
      <c r="H2524" s="2" t="s">
        <v>214</v>
      </c>
      <c r="I2524" s="18" t="s">
        <v>1614</v>
      </c>
      <c r="J2524" s="23"/>
      <c r="K2524" s="1" t="s">
        <v>6</v>
      </c>
      <c r="M2524" s="2"/>
    </row>
    <row r="2525" spans="1:13" ht="15.75">
      <c r="A2525" t="s">
        <v>28</v>
      </c>
      <c r="B2525">
        <f ca="1">IF(OR(changes[[#This Row],[Type]]="Checklist",changes[[#This Row],[Type]]="checklist-flat"),1+IF(changes[[#This Row],[Type of change]] = "Edit",COUNTIFS($I$4:changes[[#This Row],[Name]],changes[[#This Row],[Name]], $E$4:changes[[#This Row],[Type of change]], "Edit")),B2524)</f>
        <v>1</v>
      </c>
      <c r="C2525" s="16">
        <v>44889</v>
      </c>
      <c r="D2525" s="1" t="s">
        <v>2579</v>
      </c>
      <c r="E2525" t="s">
        <v>19</v>
      </c>
      <c r="F2525" s="1" t="s">
        <v>52</v>
      </c>
      <c r="G2525" s="21" t="s">
        <v>2404</v>
      </c>
      <c r="H2525" s="2" t="s">
        <v>55</v>
      </c>
      <c r="I2525" s="18" t="s">
        <v>1718</v>
      </c>
      <c r="J2525" s="23"/>
      <c r="K2525" s="1" t="s">
        <v>6</v>
      </c>
      <c r="M2525" s="2"/>
    </row>
    <row r="2526" spans="1:13" ht="15.75">
      <c r="A2526" t="s">
        <v>28</v>
      </c>
      <c r="B2526">
        <f ca="1">IF(OR(changes[[#This Row],[Type]]="Checklist",changes[[#This Row],[Type]]="checklist-flat"),1+IF(changes[[#This Row],[Type of change]] = "Edit",COUNTIFS($I$4:changes[[#This Row],[Name]],changes[[#This Row],[Name]], $E$4:changes[[#This Row],[Type of change]], "Edit")),B2525)</f>
        <v>1</v>
      </c>
      <c r="C2526" s="16">
        <v>44889</v>
      </c>
      <c r="D2526" s="1" t="s">
        <v>2579</v>
      </c>
      <c r="E2526" t="s">
        <v>19</v>
      </c>
      <c r="F2526" s="1" t="s">
        <v>52</v>
      </c>
      <c r="G2526" s="21" t="s">
        <v>2404</v>
      </c>
      <c r="H2526" s="2" t="s">
        <v>479</v>
      </c>
      <c r="I2526" s="18" t="s">
        <v>1780</v>
      </c>
      <c r="J2526" s="23"/>
      <c r="K2526" s="1" t="s">
        <v>6</v>
      </c>
      <c r="M2526" s="2"/>
    </row>
    <row r="2527" spans="1:13" ht="15.75">
      <c r="A2527" t="s">
        <v>28</v>
      </c>
      <c r="B2527">
        <f ca="1">IF(OR(changes[[#This Row],[Type]]="Checklist",changes[[#This Row],[Type]]="checklist-flat"),1+IF(changes[[#This Row],[Type of change]] = "Edit",COUNTIFS($I$4:changes[[#This Row],[Name]],changes[[#This Row],[Name]], $E$4:changes[[#This Row],[Type of change]], "Edit")),B2526)</f>
        <v>1</v>
      </c>
      <c r="C2527" s="16">
        <v>44889</v>
      </c>
      <c r="D2527" s="1" t="s">
        <v>2579</v>
      </c>
      <c r="E2527" t="s">
        <v>19</v>
      </c>
      <c r="F2527" s="1" t="s">
        <v>52</v>
      </c>
      <c r="G2527" s="21" t="s">
        <v>2404</v>
      </c>
      <c r="H2527" s="2" t="s">
        <v>55</v>
      </c>
      <c r="I2527" s="18" t="s">
        <v>1781</v>
      </c>
      <c r="J2527" s="23"/>
      <c r="K2527" s="1" t="s">
        <v>6</v>
      </c>
      <c r="M2527" s="2"/>
    </row>
    <row r="2528" spans="1:13" ht="15.75">
      <c r="A2528" t="s">
        <v>28</v>
      </c>
      <c r="B2528">
        <f ca="1">IF(OR(changes[[#This Row],[Type]]="Checklist",changes[[#This Row],[Type]]="checklist-flat"),1+IF(changes[[#This Row],[Type of change]] = "Edit",COUNTIFS($I$4:changes[[#This Row],[Name]],changes[[#This Row],[Name]], $E$4:changes[[#This Row],[Type of change]], "Edit")),B2527)</f>
        <v>1</v>
      </c>
      <c r="C2528" s="16">
        <v>44889</v>
      </c>
      <c r="D2528" s="1" t="s">
        <v>2579</v>
      </c>
      <c r="E2528" t="s">
        <v>19</v>
      </c>
      <c r="F2528" s="1" t="s">
        <v>52</v>
      </c>
      <c r="G2528" s="21" t="s">
        <v>2404</v>
      </c>
      <c r="H2528" s="2" t="s">
        <v>55</v>
      </c>
      <c r="I2528" s="18" t="s">
        <v>475</v>
      </c>
      <c r="J2528" s="23"/>
      <c r="K2528" s="1" t="s">
        <v>6</v>
      </c>
      <c r="M2528" s="2"/>
    </row>
    <row r="2529" spans="1:13" ht="15.75">
      <c r="A2529" t="s">
        <v>28</v>
      </c>
      <c r="B2529">
        <f ca="1">IF(OR(changes[[#This Row],[Type]]="Checklist",changes[[#This Row],[Type]]="checklist-flat"),1+IF(changes[[#This Row],[Type of change]] = "Edit",COUNTIFS($I$4:changes[[#This Row],[Name]],changes[[#This Row],[Name]], $E$4:changes[[#This Row],[Type of change]], "Edit")),B2528)</f>
        <v>1</v>
      </c>
      <c r="C2529" s="16">
        <v>44889</v>
      </c>
      <c r="D2529" s="1" t="s">
        <v>2579</v>
      </c>
      <c r="E2529" t="s">
        <v>19</v>
      </c>
      <c r="F2529" s="1" t="s">
        <v>52</v>
      </c>
      <c r="G2529" s="21" t="s">
        <v>2404</v>
      </c>
      <c r="H2529" s="2" t="s">
        <v>479</v>
      </c>
      <c r="I2529" s="18" t="s">
        <v>1721</v>
      </c>
      <c r="J2529" s="23"/>
      <c r="K2529" s="1" t="s">
        <v>6</v>
      </c>
      <c r="M2529" s="2"/>
    </row>
    <row r="2530" spans="1:13" ht="15.75">
      <c r="A2530" t="s">
        <v>28</v>
      </c>
      <c r="B2530">
        <f ca="1">IF(OR(changes[[#This Row],[Type]]="Checklist",changes[[#This Row],[Type]]="checklist-flat"),1+IF(changes[[#This Row],[Type of change]] = "Edit",COUNTIFS($I$4:changes[[#This Row],[Name]],changes[[#This Row],[Name]], $E$4:changes[[#This Row],[Type of change]], "Edit")),B2529)</f>
        <v>1</v>
      </c>
      <c r="C2530" s="16">
        <v>44889</v>
      </c>
      <c r="D2530" s="1" t="s">
        <v>2579</v>
      </c>
      <c r="E2530" t="s">
        <v>19</v>
      </c>
      <c r="F2530" s="1" t="s">
        <v>52</v>
      </c>
      <c r="G2530" s="21" t="s">
        <v>2404</v>
      </c>
      <c r="H2530" s="2" t="s">
        <v>55</v>
      </c>
      <c r="I2530" s="18" t="s">
        <v>1722</v>
      </c>
      <c r="J2530" s="23"/>
      <c r="K2530" s="1" t="s">
        <v>6</v>
      </c>
      <c r="M2530" s="2"/>
    </row>
    <row r="2531" spans="1:13" ht="15.75">
      <c r="A2531" t="s">
        <v>28</v>
      </c>
      <c r="B2531">
        <f ca="1">IF(OR(changes[[#This Row],[Type]]="Checklist",changes[[#This Row],[Type]]="checklist-flat"),1+IF(changes[[#This Row],[Type of change]] = "Edit",COUNTIFS($I$4:changes[[#This Row],[Name]],changes[[#This Row],[Name]], $E$4:changes[[#This Row],[Type of change]], "Edit")),B2530)</f>
        <v>1</v>
      </c>
      <c r="C2531" s="16">
        <v>44889</v>
      </c>
      <c r="D2531" s="1" t="s">
        <v>2579</v>
      </c>
      <c r="E2531" t="s">
        <v>19</v>
      </c>
      <c r="F2531" s="1" t="s">
        <v>52</v>
      </c>
      <c r="G2531" s="21" t="s">
        <v>2404</v>
      </c>
      <c r="H2531" s="2" t="s">
        <v>479</v>
      </c>
      <c r="I2531" s="18" t="s">
        <v>1734</v>
      </c>
      <c r="J2531" s="23"/>
      <c r="K2531" s="1" t="s">
        <v>6</v>
      </c>
      <c r="M2531" s="2"/>
    </row>
    <row r="2532" spans="1:13" ht="15.75">
      <c r="A2532" t="s">
        <v>28</v>
      </c>
      <c r="B2532">
        <f ca="1">IF(OR(changes[[#This Row],[Type]]="Checklist",changes[[#This Row],[Type]]="checklist-flat"),1+IF(changes[[#This Row],[Type of change]] = "Edit",COUNTIFS($I$4:changes[[#This Row],[Name]],changes[[#This Row],[Name]], $E$4:changes[[#This Row],[Type of change]], "Edit")),B2531)</f>
        <v>1</v>
      </c>
      <c r="C2532" s="16">
        <v>44889</v>
      </c>
      <c r="D2532" s="1" t="s">
        <v>2579</v>
      </c>
      <c r="E2532" t="s">
        <v>19</v>
      </c>
      <c r="F2532" s="1" t="s">
        <v>52</v>
      </c>
      <c r="G2532" s="21" t="s">
        <v>2404</v>
      </c>
      <c r="H2532" s="2" t="s">
        <v>55</v>
      </c>
      <c r="I2532" s="18" t="s">
        <v>1737</v>
      </c>
      <c r="J2532" s="23"/>
      <c r="K2532" s="1" t="s">
        <v>6</v>
      </c>
      <c r="M2532" s="2"/>
    </row>
    <row r="2533" spans="1:13" ht="15.75">
      <c r="A2533" t="s">
        <v>28</v>
      </c>
      <c r="B2533">
        <f ca="1">IF(OR(changes[[#This Row],[Type]]="Checklist",changes[[#This Row],[Type]]="checklist-flat"),1+IF(changes[[#This Row],[Type of change]] = "Edit",COUNTIFS($I$4:changes[[#This Row],[Name]],changes[[#This Row],[Name]], $E$4:changes[[#This Row],[Type of change]], "Edit")),B2532)</f>
        <v>1</v>
      </c>
      <c r="C2533" s="16">
        <v>44889</v>
      </c>
      <c r="D2533" s="1" t="s">
        <v>2579</v>
      </c>
      <c r="E2533" t="s">
        <v>19</v>
      </c>
      <c r="F2533" s="1" t="s">
        <v>52</v>
      </c>
      <c r="G2533" s="21" t="s">
        <v>2404</v>
      </c>
      <c r="H2533" s="2" t="s">
        <v>64</v>
      </c>
      <c r="I2533" s="18" t="s">
        <v>65</v>
      </c>
      <c r="J2533" s="23"/>
      <c r="K2533" s="1" t="s">
        <v>6</v>
      </c>
      <c r="M2533" s="2"/>
    </row>
    <row r="2534" spans="1:13" ht="15.75">
      <c r="A2534" t="s">
        <v>28</v>
      </c>
      <c r="B2534">
        <f ca="1">IF(OR(changes[[#This Row],[Type]]="Checklist",changes[[#This Row],[Type]]="checklist-flat"),1+IF(changes[[#This Row],[Type of change]] = "Edit",COUNTIFS($I$4:changes[[#This Row],[Name]],changes[[#This Row],[Name]], $E$4:changes[[#This Row],[Type of change]], "Edit")),B2533)</f>
        <v>1</v>
      </c>
      <c r="C2534" s="16">
        <v>44889</v>
      </c>
      <c r="D2534" s="1" t="s">
        <v>2579</v>
      </c>
      <c r="E2534" t="s">
        <v>19</v>
      </c>
      <c r="F2534" s="1" t="s">
        <v>52</v>
      </c>
      <c r="G2534" s="21" t="s">
        <v>2404</v>
      </c>
      <c r="H2534" s="2" t="s">
        <v>55</v>
      </c>
      <c r="I2534" s="18" t="s">
        <v>1784</v>
      </c>
      <c r="J2534" s="23"/>
      <c r="K2534" s="1" t="s">
        <v>6</v>
      </c>
      <c r="M2534" s="2"/>
    </row>
    <row r="2535" spans="1:13" ht="15.75">
      <c r="A2535" t="s">
        <v>28</v>
      </c>
      <c r="B2535">
        <f ca="1">IF(OR(changes[[#This Row],[Type]]="Checklist",changes[[#This Row],[Type]]="checklist-flat"),1+IF(changes[[#This Row],[Type of change]] = "Edit",COUNTIFS($I$4:changes[[#This Row],[Name]],changes[[#This Row],[Name]], $E$4:changes[[#This Row],[Type of change]], "Edit")),B2534)</f>
        <v>1</v>
      </c>
      <c r="C2535" s="16">
        <v>44889</v>
      </c>
      <c r="D2535" s="1" t="s">
        <v>2579</v>
      </c>
      <c r="E2535" t="s">
        <v>19</v>
      </c>
      <c r="F2535" s="1" t="s">
        <v>52</v>
      </c>
      <c r="G2535" s="21" t="s">
        <v>2404</v>
      </c>
      <c r="H2535" s="2" t="s">
        <v>55</v>
      </c>
      <c r="I2535" s="18" t="s">
        <v>1738</v>
      </c>
      <c r="J2535" s="23"/>
      <c r="K2535" s="1" t="s">
        <v>6</v>
      </c>
      <c r="M2535" s="2"/>
    </row>
    <row r="2536" spans="1:13" ht="15.75">
      <c r="A2536" t="s">
        <v>28</v>
      </c>
      <c r="B2536">
        <f ca="1">IF(OR(changes[[#This Row],[Type]]="Checklist",changes[[#This Row],[Type]]="checklist-flat"),1+IF(changes[[#This Row],[Type of change]] = "Edit",COUNTIFS($I$4:changes[[#This Row],[Name]],changes[[#This Row],[Name]], $E$4:changes[[#This Row],[Type of change]], "Edit")),B2535)</f>
        <v>1</v>
      </c>
      <c r="C2536" s="16">
        <v>44889</v>
      </c>
      <c r="D2536" s="1" t="s">
        <v>2579</v>
      </c>
      <c r="E2536" t="s">
        <v>19</v>
      </c>
      <c r="F2536" s="1" t="s">
        <v>52</v>
      </c>
      <c r="G2536" s="21" t="s">
        <v>2404</v>
      </c>
      <c r="H2536" s="2" t="s">
        <v>479</v>
      </c>
      <c r="I2536" s="18" t="s">
        <v>1739</v>
      </c>
      <c r="J2536" s="23"/>
      <c r="K2536" s="1" t="s">
        <v>6</v>
      </c>
      <c r="M2536" s="2"/>
    </row>
    <row r="2537" spans="1:13" ht="15.75">
      <c r="A2537" t="s">
        <v>28</v>
      </c>
      <c r="B2537">
        <f ca="1">IF(OR(changes[[#This Row],[Type]]="Checklist",changes[[#This Row],[Type]]="checklist-flat"),1+IF(changes[[#This Row],[Type of change]] = "Edit",COUNTIFS($I$4:changes[[#This Row],[Name]],changes[[#This Row],[Name]], $E$4:changes[[#This Row],[Type of change]], "Edit")),B2536)</f>
        <v>1</v>
      </c>
      <c r="C2537" s="16">
        <v>44889</v>
      </c>
      <c r="D2537" s="1" t="s">
        <v>2579</v>
      </c>
      <c r="E2537" t="s">
        <v>19</v>
      </c>
      <c r="F2537" s="1" t="s">
        <v>52</v>
      </c>
      <c r="G2537" s="21" t="s">
        <v>2404</v>
      </c>
      <c r="H2537" s="2" t="s">
        <v>55</v>
      </c>
      <c r="I2537" s="18" t="s">
        <v>1621</v>
      </c>
      <c r="J2537" s="23"/>
      <c r="K2537" s="1" t="s">
        <v>6</v>
      </c>
      <c r="M2537" s="2"/>
    </row>
    <row r="2538" spans="1:13" ht="15.75">
      <c r="A2538" t="s">
        <v>28</v>
      </c>
      <c r="B2538">
        <f ca="1">IF(OR(changes[[#This Row],[Type]]="Checklist",changes[[#This Row],[Type]]="checklist-flat"),1+IF(changes[[#This Row],[Type of change]] = "Edit",COUNTIFS($I$4:changes[[#This Row],[Name]],changes[[#This Row],[Name]], $E$4:changes[[#This Row],[Type of change]], "Edit")),B2537)</f>
        <v>1</v>
      </c>
      <c r="C2538" s="16">
        <v>44889</v>
      </c>
      <c r="D2538" s="1" t="s">
        <v>2579</v>
      </c>
      <c r="E2538" t="s">
        <v>19</v>
      </c>
      <c r="F2538" s="1" t="s">
        <v>52</v>
      </c>
      <c r="G2538" s="21" t="s">
        <v>2404</v>
      </c>
      <c r="H2538" s="2" t="s">
        <v>55</v>
      </c>
      <c r="I2538" s="18" t="s">
        <v>1581</v>
      </c>
      <c r="J2538" s="23"/>
      <c r="K2538" s="1" t="s">
        <v>6</v>
      </c>
      <c r="M2538" s="2"/>
    </row>
    <row r="2539" spans="1:13" ht="15.75">
      <c r="A2539" t="s">
        <v>28</v>
      </c>
      <c r="B2539">
        <f ca="1">IF(OR(changes[[#This Row],[Type]]="Checklist",changes[[#This Row],[Type]]="checklist-flat"),1+IF(changes[[#This Row],[Type of change]] = "Edit",COUNTIFS($I$4:changes[[#This Row],[Name]],changes[[#This Row],[Name]], $E$4:changes[[#This Row],[Type of change]], "Edit")),B2538)</f>
        <v>1</v>
      </c>
      <c r="C2539" s="16">
        <v>44889</v>
      </c>
      <c r="D2539" s="1" t="s">
        <v>2579</v>
      </c>
      <c r="E2539" t="s">
        <v>19</v>
      </c>
      <c r="F2539" s="1" t="s">
        <v>52</v>
      </c>
      <c r="G2539" s="21" t="s">
        <v>2404</v>
      </c>
      <c r="H2539" s="2" t="s">
        <v>479</v>
      </c>
      <c r="I2539" s="18" t="s">
        <v>1751</v>
      </c>
      <c r="J2539" s="23"/>
      <c r="K2539" s="1" t="s">
        <v>6</v>
      </c>
      <c r="M2539" s="2"/>
    </row>
    <row r="2540" spans="1:13" ht="15.75">
      <c r="A2540" t="s">
        <v>28</v>
      </c>
      <c r="B2540">
        <f ca="1">IF(OR(changes[[#This Row],[Type]]="Checklist",changes[[#This Row],[Type]]="checklist-flat"),1+IF(changes[[#This Row],[Type of change]] = "Edit",COUNTIFS($I$4:changes[[#This Row],[Name]],changes[[#This Row],[Name]], $E$4:changes[[#This Row],[Type of change]], "Edit")),B2539)</f>
        <v>1</v>
      </c>
      <c r="C2540" s="16">
        <v>44889</v>
      </c>
      <c r="D2540" s="1" t="s">
        <v>2579</v>
      </c>
      <c r="E2540" t="s">
        <v>19</v>
      </c>
      <c r="F2540" s="1" t="s">
        <v>52</v>
      </c>
      <c r="G2540" s="21" t="s">
        <v>2404</v>
      </c>
      <c r="H2540" s="2" t="s">
        <v>55</v>
      </c>
      <c r="I2540" s="18" t="s">
        <v>1752</v>
      </c>
      <c r="J2540" s="23"/>
      <c r="K2540" s="1" t="s">
        <v>6</v>
      </c>
      <c r="M2540" s="2"/>
    </row>
    <row r="2541" spans="1:13" ht="15.75">
      <c r="A2541" t="s">
        <v>28</v>
      </c>
      <c r="B2541">
        <f ca="1">IF(OR(changes[[#This Row],[Type]]="Checklist",changes[[#This Row],[Type]]="checklist-flat"),1+IF(changes[[#This Row],[Type of change]] = "Edit",COUNTIFS($I$4:changes[[#This Row],[Name]],changes[[#This Row],[Name]], $E$4:changes[[#This Row],[Type of change]], "Edit")),B2540)</f>
        <v>1</v>
      </c>
      <c r="C2541" s="16">
        <v>44889</v>
      </c>
      <c r="D2541" s="1" t="s">
        <v>2579</v>
      </c>
      <c r="E2541" t="s">
        <v>19</v>
      </c>
      <c r="F2541" s="1" t="s">
        <v>52</v>
      </c>
      <c r="G2541" s="21" t="s">
        <v>2404</v>
      </c>
      <c r="H2541" s="2" t="s">
        <v>64</v>
      </c>
      <c r="I2541" s="18" t="s">
        <v>65</v>
      </c>
      <c r="J2541" s="23"/>
      <c r="K2541" s="1" t="s">
        <v>6</v>
      </c>
      <c r="M2541" s="2"/>
    </row>
    <row r="2542" spans="1:13" ht="15.75">
      <c r="A2542" t="s">
        <v>28</v>
      </c>
      <c r="B2542">
        <f ca="1">IF(OR(changes[[#This Row],[Type]]="Checklist",changes[[#This Row],[Type]]="checklist-flat"),1+IF(changes[[#This Row],[Type of change]] = "Edit",COUNTIFS($I$4:changes[[#This Row],[Name]],changes[[#This Row],[Name]], $E$4:changes[[#This Row],[Type of change]], "Edit")),B2541)</f>
        <v>1</v>
      </c>
      <c r="C2542" s="16">
        <v>44889</v>
      </c>
      <c r="D2542" s="1" t="s">
        <v>2579</v>
      </c>
      <c r="E2542" t="s">
        <v>19</v>
      </c>
      <c r="F2542" s="1" t="s">
        <v>52</v>
      </c>
      <c r="G2542" s="21" t="s">
        <v>2404</v>
      </c>
      <c r="H2542" s="2" t="s">
        <v>55</v>
      </c>
      <c r="I2542" s="18" t="s">
        <v>1754</v>
      </c>
      <c r="J2542" s="23"/>
      <c r="K2542" s="1" t="s">
        <v>6</v>
      </c>
      <c r="M2542" s="2"/>
    </row>
    <row r="2543" spans="1:13" ht="15.75">
      <c r="A2543" t="s">
        <v>28</v>
      </c>
      <c r="B2543">
        <f ca="1">IF(OR(changes[[#This Row],[Type]]="Checklist",changes[[#This Row],[Type]]="checklist-flat"),1+IF(changes[[#This Row],[Type of change]] = "Edit",COUNTIFS($I$4:changes[[#This Row],[Name]],changes[[#This Row],[Name]], $E$4:changes[[#This Row],[Type of change]], "Edit")),B2542)</f>
        <v>1</v>
      </c>
      <c r="C2543" s="16">
        <v>44889</v>
      </c>
      <c r="D2543" s="1" t="s">
        <v>2579</v>
      </c>
      <c r="E2543" t="s">
        <v>19</v>
      </c>
      <c r="F2543" s="1" t="s">
        <v>52</v>
      </c>
      <c r="G2543" s="21" t="s">
        <v>2404</v>
      </c>
      <c r="H2543" s="2" t="s">
        <v>55</v>
      </c>
      <c r="I2543" s="18" t="s">
        <v>93</v>
      </c>
      <c r="J2543" s="23"/>
      <c r="K2543" s="1" t="s">
        <v>6</v>
      </c>
      <c r="M2543" s="2"/>
    </row>
    <row r="2544" spans="1:13" ht="15.75">
      <c r="A2544" t="s">
        <v>28</v>
      </c>
      <c r="B2544">
        <f ca="1">IF(OR(changes[[#This Row],[Type]]="Checklist",changes[[#This Row],[Type]]="checklist-flat"),1+IF(changes[[#This Row],[Type of change]] = "Edit",COUNTIFS($I$4:changes[[#This Row],[Name]],changes[[#This Row],[Name]], $E$4:changes[[#This Row],[Type of change]], "Edit")),B2543)</f>
        <v>1</v>
      </c>
      <c r="C2544" s="16">
        <v>44889</v>
      </c>
      <c r="D2544" s="1" t="s">
        <v>2579</v>
      </c>
      <c r="E2544" t="s">
        <v>19</v>
      </c>
      <c r="F2544" s="1" t="s">
        <v>52</v>
      </c>
      <c r="G2544" s="21" t="s">
        <v>2404</v>
      </c>
      <c r="H2544" s="2" t="s">
        <v>64</v>
      </c>
      <c r="I2544" s="18" t="s">
        <v>94</v>
      </c>
      <c r="J2544" s="23"/>
      <c r="K2544" s="1" t="s">
        <v>6</v>
      </c>
      <c r="M2544" s="2"/>
    </row>
    <row r="2545" spans="1:14" ht="15.75">
      <c r="A2545" t="s">
        <v>11</v>
      </c>
      <c r="B2545">
        <f ca="1">IF(OR(changes[[#This Row],[Type]]="Checklist",changes[[#This Row],[Type]]="checklist-flat"),1+IF(changes[[#This Row],[Type of change]] = "Edit",COUNTIFS($I$4:changes[[#This Row],[Name]],changes[[#This Row],[Name]], $E$4:changes[[#This Row],[Type of change]], "Edit")),#REF!)</f>
        <v>2</v>
      </c>
      <c r="C2545" s="16">
        <v>44890</v>
      </c>
      <c r="D2545" s="1" t="s">
        <v>2393</v>
      </c>
      <c r="E2545" t="s">
        <v>15</v>
      </c>
      <c r="F2545" s="1" t="s">
        <v>9</v>
      </c>
      <c r="G2545" s="21" t="s">
        <v>2910</v>
      </c>
      <c r="H2545" s="19" t="s">
        <v>54</v>
      </c>
      <c r="I2545" s="21" t="s">
        <v>2910</v>
      </c>
      <c r="J2545" s="22"/>
      <c r="K2545" s="2" t="s">
        <v>2847</v>
      </c>
      <c r="M2545" t="s">
        <v>2911</v>
      </c>
      <c r="N2545" t="s">
        <v>2912</v>
      </c>
    </row>
    <row r="2546" spans="1:14" ht="15.75">
      <c r="A2546" t="s">
        <v>11</v>
      </c>
      <c r="B2546">
        <f ca="1">IF(OR(changes[[#This Row],[Type]]="Checklist",changes[[#This Row],[Type]]="checklist-flat"),1+IF(changes[[#This Row],[Type of change]] = "Edit",COUNTIFS($I$4:changes[[#This Row],[Name]],changes[[#This Row],[Name]], $E$4:changes[[#This Row],[Type of change]], "Edit")),B2545)</f>
        <v>2</v>
      </c>
      <c r="C2546" s="16">
        <v>44890</v>
      </c>
      <c r="D2546" s="1" t="s">
        <v>2393</v>
      </c>
      <c r="E2546" t="s">
        <v>15</v>
      </c>
      <c r="F2546" s="1" t="s">
        <v>9</v>
      </c>
      <c r="G2546" s="21" t="s">
        <v>2910</v>
      </c>
      <c r="H2546" s="2" t="s">
        <v>55</v>
      </c>
      <c r="I2546" s="18" t="s">
        <v>471</v>
      </c>
      <c r="J2546" s="23"/>
      <c r="K2546" s="2" t="s">
        <v>2847</v>
      </c>
      <c r="M2546" t="s">
        <v>2911</v>
      </c>
    </row>
    <row r="2547" spans="1:14" ht="15.75">
      <c r="A2547" t="s">
        <v>11</v>
      </c>
      <c r="B2547">
        <f ca="1">IF(OR(changes[[#This Row],[Type]]="Checklist",changes[[#This Row],[Type]]="checklist-flat"),1+IF(changes[[#This Row],[Type of change]] = "Edit",COUNTIFS($I$4:changes[[#This Row],[Name]],changes[[#This Row],[Name]], $E$4:changes[[#This Row],[Type of change]], "Edit")),B2546)</f>
        <v>2</v>
      </c>
      <c r="C2547" s="16">
        <v>44890</v>
      </c>
      <c r="D2547" s="1" t="s">
        <v>2393</v>
      </c>
      <c r="E2547" t="s">
        <v>15</v>
      </c>
      <c r="F2547" s="1" t="s">
        <v>9</v>
      </c>
      <c r="G2547" s="21" t="s">
        <v>2910</v>
      </c>
      <c r="H2547" s="2" t="s">
        <v>55</v>
      </c>
      <c r="I2547" s="18" t="s">
        <v>472</v>
      </c>
      <c r="J2547" s="23"/>
      <c r="K2547" s="2" t="s">
        <v>2847</v>
      </c>
      <c r="M2547" t="s">
        <v>2911</v>
      </c>
    </row>
    <row r="2548" spans="1:14" ht="15.75">
      <c r="A2548" t="s">
        <v>11</v>
      </c>
      <c r="B2548">
        <f ca="1">IF(OR(changes[[#This Row],[Type]]="Checklist",changes[[#This Row],[Type]]="checklist-flat"),1+IF(changes[[#This Row],[Type of change]] = "Edit",COUNTIFS($I$4:changes[[#This Row],[Name]],changes[[#This Row],[Name]], $E$4:changes[[#This Row],[Type of change]], "Edit")),B2547)</f>
        <v>2</v>
      </c>
      <c r="C2548" s="16">
        <v>44890</v>
      </c>
      <c r="D2548" s="1" t="s">
        <v>2393</v>
      </c>
      <c r="E2548" t="s">
        <v>15</v>
      </c>
      <c r="F2548" s="1" t="s">
        <v>9</v>
      </c>
      <c r="G2548" s="21" t="s">
        <v>2910</v>
      </c>
      <c r="H2548" s="2" t="s">
        <v>55</v>
      </c>
      <c r="I2548" s="18" t="s">
        <v>473</v>
      </c>
      <c r="J2548" s="23"/>
      <c r="K2548" s="2" t="s">
        <v>2847</v>
      </c>
      <c r="M2548" t="s">
        <v>2911</v>
      </c>
    </row>
    <row r="2549" spans="1:14" ht="15.75">
      <c r="A2549" t="s">
        <v>11</v>
      </c>
      <c r="B2549">
        <f ca="1">IF(OR(changes[[#This Row],[Type]]="Checklist",changes[[#This Row],[Type]]="checklist-flat"),1+IF(changes[[#This Row],[Type of change]] = "Edit",COUNTIFS($I$4:changes[[#This Row],[Name]],changes[[#This Row],[Name]], $E$4:changes[[#This Row],[Type of change]], "Edit")),B2548)</f>
        <v>2</v>
      </c>
      <c r="C2549" s="16">
        <v>44890</v>
      </c>
      <c r="D2549" s="1" t="s">
        <v>2393</v>
      </c>
      <c r="E2549" t="s">
        <v>15</v>
      </c>
      <c r="F2549" s="1" t="s">
        <v>9</v>
      </c>
      <c r="G2549" s="21" t="s">
        <v>2910</v>
      </c>
      <c r="H2549" s="2" t="s">
        <v>55</v>
      </c>
      <c r="I2549" s="18" t="s">
        <v>474</v>
      </c>
      <c r="J2549" s="23"/>
      <c r="K2549" s="2" t="s">
        <v>2847</v>
      </c>
      <c r="M2549" t="s">
        <v>2911</v>
      </c>
    </row>
    <row r="2550" spans="1:14" ht="15.75">
      <c r="A2550" t="s">
        <v>11</v>
      </c>
      <c r="B2550">
        <f ca="1">IF(OR(changes[[#This Row],[Type]]="Checklist",changes[[#This Row],[Type]]="checklist-flat"),1+IF(changes[[#This Row],[Type of change]] = "Edit",COUNTIFS($I$4:changes[[#This Row],[Name]],changes[[#This Row],[Name]], $E$4:changes[[#This Row],[Type of change]], "Edit")),B2549)</f>
        <v>2</v>
      </c>
      <c r="C2550" s="16">
        <v>44890</v>
      </c>
      <c r="D2550" s="1" t="s">
        <v>2393</v>
      </c>
      <c r="E2550" t="s">
        <v>15</v>
      </c>
      <c r="F2550" s="1" t="s">
        <v>9</v>
      </c>
      <c r="G2550" s="21" t="s">
        <v>2910</v>
      </c>
      <c r="H2550" s="2" t="s">
        <v>55</v>
      </c>
      <c r="I2550" s="18" t="s">
        <v>475</v>
      </c>
      <c r="J2550" s="23"/>
      <c r="K2550" s="2" t="s">
        <v>2847</v>
      </c>
      <c r="M2550" t="s">
        <v>2911</v>
      </c>
    </row>
    <row r="2551" spans="1:14" ht="15.75">
      <c r="A2551" t="s">
        <v>11</v>
      </c>
      <c r="B2551">
        <f ca="1">IF(OR(changes[[#This Row],[Type]]="Checklist",changes[[#This Row],[Type]]="checklist-flat"),1+IF(changes[[#This Row],[Type of change]] = "Edit",COUNTIFS($I$4:changes[[#This Row],[Name]],changes[[#This Row],[Name]], $E$4:changes[[#This Row],[Type of change]], "Edit")),B2550)</f>
        <v>2</v>
      </c>
      <c r="C2551" s="16">
        <v>44890</v>
      </c>
      <c r="D2551" s="1" t="s">
        <v>2393</v>
      </c>
      <c r="E2551" t="s">
        <v>15</v>
      </c>
      <c r="F2551" s="1" t="s">
        <v>9</v>
      </c>
      <c r="G2551" s="21" t="s">
        <v>2910</v>
      </c>
      <c r="H2551" s="2" t="s">
        <v>55</v>
      </c>
      <c r="I2551" s="18" t="s">
        <v>476</v>
      </c>
      <c r="J2551" s="23"/>
      <c r="K2551" s="2" t="s">
        <v>2847</v>
      </c>
      <c r="M2551" t="s">
        <v>2911</v>
      </c>
    </row>
    <row r="2552" spans="1:14" ht="15.75">
      <c r="A2552" t="s">
        <v>11</v>
      </c>
      <c r="B2552">
        <f ca="1">IF(OR(changes[[#This Row],[Type]]="Checklist",changes[[#This Row],[Type]]="checklist-flat"),1+IF(changes[[#This Row],[Type of change]] = "Edit",COUNTIFS($I$4:changes[[#This Row],[Name]],changes[[#This Row],[Name]], $E$4:changes[[#This Row],[Type of change]], "Edit")),B2551)</f>
        <v>2</v>
      </c>
      <c r="C2552" s="16">
        <v>44890</v>
      </c>
      <c r="D2552" s="1" t="s">
        <v>2393</v>
      </c>
      <c r="E2552" t="s">
        <v>15</v>
      </c>
      <c r="F2552" s="1" t="s">
        <v>9</v>
      </c>
      <c r="G2552" s="21" t="s">
        <v>2910</v>
      </c>
      <c r="H2552" s="2" t="s">
        <v>64</v>
      </c>
      <c r="I2552" s="18" t="s">
        <v>733</v>
      </c>
      <c r="J2552" s="23"/>
      <c r="K2552" s="2" t="s">
        <v>2847</v>
      </c>
      <c r="M2552" t="s">
        <v>2911</v>
      </c>
    </row>
    <row r="2553" spans="1:14" ht="15.75">
      <c r="A2553" t="s">
        <v>11</v>
      </c>
      <c r="B2553">
        <f ca="1">IF(OR(changes[[#This Row],[Type]]="Checklist",changes[[#This Row],[Type]]="checklist-flat"),1+IF(changes[[#This Row],[Type of change]] = "Edit",COUNTIFS($I$4:changes[[#This Row],[Name]],changes[[#This Row],[Name]], $E$4:changes[[#This Row],[Type of change]], "Edit")),B2552)</f>
        <v>2</v>
      </c>
      <c r="C2553" s="16">
        <v>44890</v>
      </c>
      <c r="D2553" s="1" t="s">
        <v>2393</v>
      </c>
      <c r="E2553" t="s">
        <v>15</v>
      </c>
      <c r="F2553" s="1" t="s">
        <v>9</v>
      </c>
      <c r="G2553" s="21" t="s">
        <v>1768</v>
      </c>
      <c r="H2553" s="19" t="s">
        <v>54</v>
      </c>
      <c r="I2553" s="21" t="s">
        <v>1768</v>
      </c>
      <c r="J2553" s="22"/>
      <c r="K2553" s="2" t="s">
        <v>2847</v>
      </c>
      <c r="M2553" t="s">
        <v>2911</v>
      </c>
      <c r="N2553" t="s">
        <v>2912</v>
      </c>
    </row>
    <row r="2554" spans="1:14" ht="15.75">
      <c r="A2554" t="s">
        <v>11</v>
      </c>
      <c r="B2554">
        <f ca="1">IF(OR(changes[[#This Row],[Type]]="Checklist",changes[[#This Row],[Type]]="checklist-flat"),1+IF(changes[[#This Row],[Type of change]] = "Edit",COUNTIFS($I$4:changes[[#This Row],[Name]],changes[[#This Row],[Name]], $E$4:changes[[#This Row],[Type of change]], "Edit")),B2553)</f>
        <v>2</v>
      </c>
      <c r="C2554" s="16">
        <v>44890</v>
      </c>
      <c r="D2554" s="1" t="s">
        <v>2393</v>
      </c>
      <c r="E2554" t="s">
        <v>15</v>
      </c>
      <c r="F2554" s="1" t="s">
        <v>9</v>
      </c>
      <c r="G2554" s="21" t="s">
        <v>1768</v>
      </c>
      <c r="H2554" s="2" t="s">
        <v>55</v>
      </c>
      <c r="I2554" s="18" t="s">
        <v>1769</v>
      </c>
      <c r="J2554" s="23"/>
      <c r="K2554" s="2" t="s">
        <v>2847</v>
      </c>
      <c r="M2554" t="s">
        <v>2911</v>
      </c>
    </row>
    <row r="2555" spans="1:14" ht="15.75">
      <c r="A2555" t="s">
        <v>11</v>
      </c>
      <c r="B2555">
        <f ca="1">IF(OR(changes[[#This Row],[Type]]="Checklist",changes[[#This Row],[Type]]="checklist-flat"),1+IF(changes[[#This Row],[Type of change]] = "Edit",COUNTIFS($I$4:changes[[#This Row],[Name]],changes[[#This Row],[Name]], $E$4:changes[[#This Row],[Type of change]], "Edit")),B2554)</f>
        <v>2</v>
      </c>
      <c r="C2555" s="16">
        <v>44890</v>
      </c>
      <c r="D2555" s="1" t="s">
        <v>2393</v>
      </c>
      <c r="E2555" t="s">
        <v>15</v>
      </c>
      <c r="F2555" s="1" t="s">
        <v>9</v>
      </c>
      <c r="G2555" s="21" t="s">
        <v>1768</v>
      </c>
      <c r="H2555" s="2" t="s">
        <v>55</v>
      </c>
      <c r="I2555" s="18" t="s">
        <v>1770</v>
      </c>
      <c r="J2555" s="23"/>
      <c r="K2555" s="2" t="s">
        <v>2847</v>
      </c>
      <c r="M2555" t="s">
        <v>2911</v>
      </c>
    </row>
    <row r="2556" spans="1:14" ht="15.75">
      <c r="A2556" t="s">
        <v>11</v>
      </c>
      <c r="B2556">
        <f ca="1">IF(OR(changes[[#This Row],[Type]]="Checklist",changes[[#This Row],[Type]]="checklist-flat"),1+IF(changes[[#This Row],[Type of change]] = "Edit",COUNTIFS($I$4:changes[[#This Row],[Name]],changes[[#This Row],[Name]], $E$4:changes[[#This Row],[Type of change]], "Edit")),B2555)</f>
        <v>2</v>
      </c>
      <c r="C2556" s="16">
        <v>44890</v>
      </c>
      <c r="D2556" s="1" t="s">
        <v>2393</v>
      </c>
      <c r="E2556" t="s">
        <v>15</v>
      </c>
      <c r="F2556" s="1" t="s">
        <v>9</v>
      </c>
      <c r="G2556" s="21" t="s">
        <v>1768</v>
      </c>
      <c r="H2556" s="2" t="s">
        <v>55</v>
      </c>
      <c r="I2556" s="18" t="s">
        <v>1771</v>
      </c>
      <c r="J2556" s="23"/>
      <c r="K2556" s="2" t="s">
        <v>2847</v>
      </c>
      <c r="M2556" t="s">
        <v>2911</v>
      </c>
    </row>
    <row r="2557" spans="1:14" ht="15.75">
      <c r="A2557" t="s">
        <v>11</v>
      </c>
      <c r="B2557">
        <f ca="1">IF(OR(changes[[#This Row],[Type]]="Checklist",changes[[#This Row],[Type]]="checklist-flat"),1+IF(changes[[#This Row],[Type of change]] = "Edit",COUNTIFS($I$4:changes[[#This Row],[Name]],changes[[#This Row],[Name]], $E$4:changes[[#This Row],[Type of change]], "Edit")),B2556)</f>
        <v>2</v>
      </c>
      <c r="C2557" s="16">
        <v>44890</v>
      </c>
      <c r="D2557" s="1" t="s">
        <v>2393</v>
      </c>
      <c r="E2557" t="s">
        <v>15</v>
      </c>
      <c r="F2557" s="1" t="s">
        <v>9</v>
      </c>
      <c r="G2557" s="21" t="s">
        <v>1768</v>
      </c>
      <c r="H2557" s="2" t="s">
        <v>55</v>
      </c>
      <c r="I2557" s="18" t="s">
        <v>1772</v>
      </c>
      <c r="J2557" s="23"/>
      <c r="K2557" s="2" t="s">
        <v>2847</v>
      </c>
      <c r="M2557" t="s">
        <v>2911</v>
      </c>
    </row>
    <row r="2558" spans="1:14" ht="15.75">
      <c r="A2558" t="s">
        <v>11</v>
      </c>
      <c r="B2558">
        <f ca="1">IF(OR(changes[[#This Row],[Type]]="Checklist",changes[[#This Row],[Type]]="checklist-flat"),1+IF(changes[[#This Row],[Type of change]] = "Edit",COUNTIFS($I$4:changes[[#This Row],[Name]],changes[[#This Row],[Name]], $E$4:changes[[#This Row],[Type of change]], "Edit")),B2557)</f>
        <v>2</v>
      </c>
      <c r="C2558" s="16">
        <v>44890</v>
      </c>
      <c r="D2558" s="1" t="s">
        <v>2393</v>
      </c>
      <c r="E2558" t="s">
        <v>15</v>
      </c>
      <c r="F2558" s="1" t="s">
        <v>9</v>
      </c>
      <c r="G2558" s="21" t="s">
        <v>1768</v>
      </c>
      <c r="H2558" s="2" t="s">
        <v>55</v>
      </c>
      <c r="I2558" s="18" t="s">
        <v>1773</v>
      </c>
      <c r="J2558" s="23"/>
      <c r="K2558" s="2" t="s">
        <v>2847</v>
      </c>
      <c r="M2558" t="s">
        <v>2911</v>
      </c>
    </row>
    <row r="2559" spans="1:14" ht="15.75">
      <c r="A2559" t="s">
        <v>11</v>
      </c>
      <c r="B2559">
        <f ca="1">IF(OR(changes[[#This Row],[Type]]="Checklist",changes[[#This Row],[Type]]="checklist-flat"),1+IF(changes[[#This Row],[Type of change]] = "Edit",COUNTIFS($I$4:changes[[#This Row],[Name]],changes[[#This Row],[Name]], $E$4:changes[[#This Row],[Type of change]], "Edit")),B2558)</f>
        <v>2</v>
      </c>
      <c r="C2559" s="16">
        <v>44890</v>
      </c>
      <c r="D2559" s="1" t="s">
        <v>2393</v>
      </c>
      <c r="E2559" t="s">
        <v>15</v>
      </c>
      <c r="F2559" s="1" t="s">
        <v>9</v>
      </c>
      <c r="G2559" s="21" t="s">
        <v>1768</v>
      </c>
      <c r="H2559" s="2" t="s">
        <v>55</v>
      </c>
      <c r="I2559" s="18" t="s">
        <v>1774</v>
      </c>
      <c r="J2559" s="23"/>
      <c r="K2559" s="2" t="s">
        <v>2847</v>
      </c>
      <c r="M2559" t="s">
        <v>2911</v>
      </c>
    </row>
    <row r="2560" spans="1:14" ht="15.75">
      <c r="A2560" t="s">
        <v>11</v>
      </c>
      <c r="B2560">
        <f ca="1">IF(OR(changes[[#This Row],[Type]]="Checklist",changes[[#This Row],[Type]]="checklist-flat"),1+IF(changes[[#This Row],[Type of change]] = "Edit",COUNTIFS($I$4:changes[[#This Row],[Name]],changes[[#This Row],[Name]], $E$4:changes[[#This Row],[Type of change]], "Edit")),B2559)</f>
        <v>2</v>
      </c>
      <c r="C2560" s="16">
        <v>44890</v>
      </c>
      <c r="D2560" s="1" t="s">
        <v>2393</v>
      </c>
      <c r="E2560" t="s">
        <v>15</v>
      </c>
      <c r="F2560" s="1" t="s">
        <v>9</v>
      </c>
      <c r="G2560" s="21" t="s">
        <v>1768</v>
      </c>
      <c r="H2560" s="2" t="s">
        <v>55</v>
      </c>
      <c r="I2560" s="18" t="s">
        <v>1775</v>
      </c>
      <c r="J2560" s="23"/>
      <c r="K2560" s="2" t="s">
        <v>2847</v>
      </c>
      <c r="M2560" t="s">
        <v>2911</v>
      </c>
    </row>
    <row r="2561" spans="1:13" ht="15.75">
      <c r="A2561" t="s">
        <v>11</v>
      </c>
      <c r="B2561">
        <f ca="1">IF(OR(changes[[#This Row],[Type]]="Checklist",changes[[#This Row],[Type]]="checklist-flat"),1+IF(changes[[#This Row],[Type of change]] = "Edit",COUNTIFS($I$4:changes[[#This Row],[Name]],changes[[#This Row],[Name]], $E$4:changes[[#This Row],[Type of change]], "Edit")),B2560)</f>
        <v>2</v>
      </c>
      <c r="C2561" s="16">
        <v>44890</v>
      </c>
      <c r="D2561" s="1" t="s">
        <v>2393</v>
      </c>
      <c r="E2561" t="s">
        <v>15</v>
      </c>
      <c r="F2561" s="1" t="s">
        <v>9</v>
      </c>
      <c r="G2561" s="21" t="s">
        <v>1768</v>
      </c>
      <c r="H2561" s="2" t="s">
        <v>55</v>
      </c>
      <c r="I2561" s="18" t="s">
        <v>1776</v>
      </c>
      <c r="J2561" s="23"/>
      <c r="K2561" s="2" t="s">
        <v>2847</v>
      </c>
      <c r="M2561" t="s">
        <v>2911</v>
      </c>
    </row>
    <row r="2562" spans="1:13" ht="15.75">
      <c r="A2562" t="s">
        <v>11</v>
      </c>
      <c r="B2562">
        <f ca="1">IF(OR(changes[[#This Row],[Type]]="Checklist",changes[[#This Row],[Type]]="checklist-flat"),1+IF(changes[[#This Row],[Type of change]] = "Edit",COUNTIFS($I$4:changes[[#This Row],[Name]],changes[[#This Row],[Name]], $E$4:changes[[#This Row],[Type of change]], "Edit")),B2561)</f>
        <v>2</v>
      </c>
      <c r="C2562" s="16">
        <v>44890</v>
      </c>
      <c r="D2562" s="1" t="s">
        <v>2393</v>
      </c>
      <c r="E2562" t="s">
        <v>15</v>
      </c>
      <c r="F2562" s="1" t="s">
        <v>9</v>
      </c>
      <c r="G2562" s="21" t="s">
        <v>1768</v>
      </c>
      <c r="H2562" s="2" t="s">
        <v>55</v>
      </c>
      <c r="I2562" s="18" t="s">
        <v>1777</v>
      </c>
      <c r="J2562" s="23"/>
      <c r="K2562" s="2" t="s">
        <v>2847</v>
      </c>
      <c r="M2562" t="s">
        <v>2911</v>
      </c>
    </row>
    <row r="2563" spans="1:13" ht="15.75">
      <c r="A2563" t="s">
        <v>11</v>
      </c>
      <c r="B2563">
        <f ca="1">IF(OR(changes[[#This Row],[Type]]="Checklist",changes[[#This Row],[Type]]="checklist-flat"),1+IF(changes[[#This Row],[Type of change]] = "Edit",COUNTIFS($I$4:changes[[#This Row],[Name]],changes[[#This Row],[Name]], $E$4:changes[[#This Row],[Type of change]], "Edit")),B2562)</f>
        <v>2</v>
      </c>
      <c r="C2563" s="16">
        <v>44890</v>
      </c>
      <c r="D2563" s="1" t="s">
        <v>2393</v>
      </c>
      <c r="E2563" t="s">
        <v>15</v>
      </c>
      <c r="F2563" s="1" t="s">
        <v>9</v>
      </c>
      <c r="G2563" s="21" t="s">
        <v>1768</v>
      </c>
      <c r="H2563" s="2" t="s">
        <v>64</v>
      </c>
      <c r="I2563" s="18" t="s">
        <v>733</v>
      </c>
      <c r="J2563" s="23"/>
      <c r="K2563" s="2" t="s">
        <v>2847</v>
      </c>
      <c r="M2563" t="s">
        <v>2911</v>
      </c>
    </row>
    <row r="2564" spans="1:13" ht="15.75">
      <c r="A2564" t="s">
        <v>24</v>
      </c>
      <c r="B2564">
        <f ca="1">IF(OR(changes[[#This Row],[Type]]="Checklist",changes[[#This Row],[Type]]="checklist-flat"),1+IF(changes[[#This Row],[Type of change]] = "Edit",COUNTIFS($I$4:changes[[#This Row],[Name]],changes[[#This Row],[Name]], $E$4:changes[[#This Row],[Type of change]], "Edit")),B2563)</f>
        <v>2</v>
      </c>
      <c r="C2564" s="16">
        <v>44902</v>
      </c>
      <c r="D2564" s="1" t="s">
        <v>2786</v>
      </c>
      <c r="E2564" t="s">
        <v>15</v>
      </c>
      <c r="F2564" s="10" t="s">
        <v>9</v>
      </c>
      <c r="G2564" s="21" t="s">
        <v>1281</v>
      </c>
      <c r="H2564" s="19" t="s">
        <v>54</v>
      </c>
      <c r="I2564" s="21" t="s">
        <v>1281</v>
      </c>
      <c r="J2564" s="22"/>
      <c r="K2564" s="2"/>
      <c r="L2564" t="s">
        <v>2913</v>
      </c>
      <c r="M2564" t="s">
        <v>2914</v>
      </c>
    </row>
    <row r="2565" spans="1:13" ht="15.75">
      <c r="A2565" t="s">
        <v>24</v>
      </c>
      <c r="B2565">
        <f ca="1">IF(OR(changes[[#This Row],[Type]]="Checklist",changes[[#This Row],[Type]]="checklist-flat"),1+IF(changes[[#This Row],[Type of change]] = "Edit",COUNTIFS($I$4:changes[[#This Row],[Name]],changes[[#This Row],[Name]], $E$4:changes[[#This Row],[Type of change]], "Edit")),B2564)</f>
        <v>2</v>
      </c>
      <c r="C2565" s="16">
        <v>44902</v>
      </c>
      <c r="D2565" s="1" t="s">
        <v>2786</v>
      </c>
      <c r="E2565" t="s">
        <v>15</v>
      </c>
      <c r="F2565" s="10" t="s">
        <v>9</v>
      </c>
      <c r="G2565" s="21" t="s">
        <v>1281</v>
      </c>
      <c r="H2565" s="19" t="s">
        <v>55</v>
      </c>
      <c r="I2565" s="67" t="s">
        <v>2915</v>
      </c>
      <c r="J2565" s="22"/>
      <c r="K2565" s="2"/>
      <c r="L2565" t="s">
        <v>2913</v>
      </c>
      <c r="M2565" t="s">
        <v>2914</v>
      </c>
    </row>
    <row r="2566" spans="1:13" ht="15.75">
      <c r="A2566" t="s">
        <v>24</v>
      </c>
      <c r="B2566">
        <f ca="1">IF(OR(changes[[#This Row],[Type]]="Checklist",changes[[#This Row],[Type]]="checklist-flat"),1+IF(changes[[#This Row],[Type of change]] = "Edit",COUNTIFS($I$4:changes[[#This Row],[Name]],changes[[#This Row],[Name]], $E$4:changes[[#This Row],[Type of change]], "Edit")),B2565)</f>
        <v>2</v>
      </c>
      <c r="C2566" s="16">
        <v>44902</v>
      </c>
      <c r="D2566" s="1" t="s">
        <v>2786</v>
      </c>
      <c r="E2566" t="s">
        <v>15</v>
      </c>
      <c r="F2566" s="10" t="s">
        <v>9</v>
      </c>
      <c r="G2566" s="21" t="s">
        <v>1281</v>
      </c>
      <c r="H2566" s="19" t="s">
        <v>55</v>
      </c>
      <c r="I2566" s="68" t="s">
        <v>2916</v>
      </c>
      <c r="J2566" s="23"/>
      <c r="K2566" s="2"/>
      <c r="L2566" t="s">
        <v>2913</v>
      </c>
      <c r="M2566" t="s">
        <v>2914</v>
      </c>
    </row>
    <row r="2567" spans="1:13" ht="15.75">
      <c r="A2567" t="s">
        <v>24</v>
      </c>
      <c r="B2567">
        <f ca="1">IF(OR(changes[[#This Row],[Type]]="Checklist",changes[[#This Row],[Type]]="checklist-flat"),1+IF(changes[[#This Row],[Type of change]] = "Edit",COUNTIFS($I$4:changes[[#This Row],[Name]],changes[[#This Row],[Name]], $E$4:changes[[#This Row],[Type of change]], "Edit")),B2566)</f>
        <v>2</v>
      </c>
      <c r="C2567" s="16">
        <v>44902</v>
      </c>
      <c r="D2567" s="1" t="s">
        <v>2786</v>
      </c>
      <c r="E2567" t="s">
        <v>15</v>
      </c>
      <c r="F2567" s="10" t="s">
        <v>9</v>
      </c>
      <c r="G2567" s="21" t="s">
        <v>1281</v>
      </c>
      <c r="H2567" s="19" t="s">
        <v>55</v>
      </c>
      <c r="I2567" s="68" t="s">
        <v>2917</v>
      </c>
      <c r="J2567" s="23"/>
      <c r="K2567" s="2"/>
      <c r="L2567" t="s">
        <v>2913</v>
      </c>
      <c r="M2567" t="s">
        <v>2914</v>
      </c>
    </row>
    <row r="2568" spans="1:13" ht="15.75">
      <c r="A2568" t="s">
        <v>24</v>
      </c>
      <c r="B2568">
        <f ca="1">IF(OR(changes[[#This Row],[Type]]="Checklist",changes[[#This Row],[Type]]="checklist-flat"),1+IF(changes[[#This Row],[Type of change]] = "Edit",COUNTIFS($I$4:changes[[#This Row],[Name]],changes[[#This Row],[Name]], $E$4:changes[[#This Row],[Type of change]], "Edit")),B2567)</f>
        <v>2</v>
      </c>
      <c r="C2568" s="16">
        <v>44902</v>
      </c>
      <c r="D2568" s="1" t="s">
        <v>2786</v>
      </c>
      <c r="E2568" t="s">
        <v>15</v>
      </c>
      <c r="F2568" s="10" t="s">
        <v>9</v>
      </c>
      <c r="G2568" s="21" t="s">
        <v>1281</v>
      </c>
      <c r="H2568" s="19" t="s">
        <v>55</v>
      </c>
      <c r="I2568" s="68" t="s">
        <v>2918</v>
      </c>
      <c r="J2568" s="23"/>
      <c r="K2568" s="2"/>
      <c r="L2568" t="s">
        <v>2913</v>
      </c>
      <c r="M2568" t="s">
        <v>2914</v>
      </c>
    </row>
    <row r="2569" spans="1:13" ht="15.75">
      <c r="A2569" t="s">
        <v>24</v>
      </c>
      <c r="B2569">
        <f ca="1">IF(OR(changes[[#This Row],[Type]]="Checklist",changes[[#This Row],[Type]]="checklist-flat"),1+IF(changes[[#This Row],[Type of change]] = "Edit",COUNTIFS($I$4:changes[[#This Row],[Name]],changes[[#This Row],[Name]], $E$4:changes[[#This Row],[Type of change]], "Edit")),B2568)</f>
        <v>2</v>
      </c>
      <c r="C2569" s="16">
        <v>44902</v>
      </c>
      <c r="D2569" s="1" t="s">
        <v>2786</v>
      </c>
      <c r="E2569" t="s">
        <v>15</v>
      </c>
      <c r="F2569" s="10" t="s">
        <v>9</v>
      </c>
      <c r="G2569" s="21" t="s">
        <v>1281</v>
      </c>
      <c r="H2569" s="19" t="s">
        <v>55</v>
      </c>
      <c r="I2569" s="68" t="s">
        <v>2919</v>
      </c>
      <c r="J2569" s="23"/>
      <c r="K2569" s="2"/>
      <c r="L2569" t="s">
        <v>2913</v>
      </c>
      <c r="M2569" t="s">
        <v>2914</v>
      </c>
    </row>
    <row r="2570" spans="1:13" ht="15.75">
      <c r="A2570" t="s">
        <v>24</v>
      </c>
      <c r="B2570">
        <f ca="1">IF(OR(changes[[#This Row],[Type]]="Checklist",changes[[#This Row],[Type]]="checklist-flat"),1+IF(changes[[#This Row],[Type of change]] = "Edit",COUNTIFS($I$4:changes[[#This Row],[Name]],changes[[#This Row],[Name]], $E$4:changes[[#This Row],[Type of change]], "Edit")),B2569)</f>
        <v>2</v>
      </c>
      <c r="C2570" s="16">
        <v>44902</v>
      </c>
      <c r="D2570" s="1" t="s">
        <v>2786</v>
      </c>
      <c r="E2570" t="s">
        <v>15</v>
      </c>
      <c r="F2570" s="10" t="s">
        <v>9</v>
      </c>
      <c r="G2570" s="21" t="s">
        <v>1281</v>
      </c>
      <c r="H2570" s="19" t="s">
        <v>55</v>
      </c>
      <c r="I2570" s="68" t="s">
        <v>2920</v>
      </c>
      <c r="J2570" s="23"/>
      <c r="K2570" s="2"/>
      <c r="L2570" t="s">
        <v>2913</v>
      </c>
      <c r="M2570" t="s">
        <v>2914</v>
      </c>
    </row>
    <row r="2571" spans="1:13" ht="15.75">
      <c r="A2571" t="s">
        <v>24</v>
      </c>
      <c r="B2571">
        <f ca="1">IF(OR(changes[[#This Row],[Type]]="Checklist",changes[[#This Row],[Type]]="checklist-flat"),1+IF(changes[[#This Row],[Type of change]] = "Edit",COUNTIFS($I$4:changes[[#This Row],[Name]],changes[[#This Row],[Name]], $E$4:changes[[#This Row],[Type of change]], "Edit")),B2570)</f>
        <v>2</v>
      </c>
      <c r="C2571" s="16">
        <v>44902</v>
      </c>
      <c r="D2571" s="1" t="s">
        <v>2786</v>
      </c>
      <c r="E2571" t="s">
        <v>15</v>
      </c>
      <c r="F2571" s="10" t="s">
        <v>9</v>
      </c>
      <c r="G2571" s="21" t="s">
        <v>1281</v>
      </c>
      <c r="H2571" s="19" t="s">
        <v>55</v>
      </c>
      <c r="I2571" s="68" t="s">
        <v>2921</v>
      </c>
      <c r="J2571" s="23"/>
      <c r="K2571" s="2"/>
      <c r="L2571" t="s">
        <v>2913</v>
      </c>
      <c r="M2571" t="s">
        <v>2914</v>
      </c>
    </row>
    <row r="2572" spans="1:13" ht="15.75">
      <c r="A2572" t="s">
        <v>24</v>
      </c>
      <c r="B2572">
        <f ca="1">IF(OR(changes[[#This Row],[Type]]="Checklist",changes[[#This Row],[Type]]="checklist-flat"),1+IF(changes[[#This Row],[Type of change]] = "Edit",COUNTIFS($I$4:changes[[#This Row],[Name]],changes[[#This Row],[Name]], $E$4:changes[[#This Row],[Type of change]], "Edit")),B2571)</f>
        <v>2</v>
      </c>
      <c r="C2572" s="16">
        <v>44902</v>
      </c>
      <c r="D2572" s="1" t="s">
        <v>2786</v>
      </c>
      <c r="E2572" t="s">
        <v>15</v>
      </c>
      <c r="F2572" s="10" t="s">
        <v>9</v>
      </c>
      <c r="G2572" s="21" t="s">
        <v>1281</v>
      </c>
      <c r="H2572" s="19" t="s">
        <v>55</v>
      </c>
      <c r="I2572" s="68" t="s">
        <v>2922</v>
      </c>
      <c r="J2572" s="23"/>
      <c r="K2572" s="2"/>
      <c r="L2572" t="s">
        <v>2913</v>
      </c>
      <c r="M2572" t="s">
        <v>2914</v>
      </c>
    </row>
    <row r="2573" spans="1:13" ht="15.75">
      <c r="A2573" t="s">
        <v>24</v>
      </c>
      <c r="B2573">
        <f ca="1">IF(OR(changes[[#This Row],[Type]]="Checklist",changes[[#This Row],[Type]]="checklist-flat"),1+IF(changes[[#This Row],[Type of change]] = "Edit",COUNTIFS($I$4:changes[[#This Row],[Name]],changes[[#This Row],[Name]], $E$4:changes[[#This Row],[Type of change]], "Edit")),B2572)</f>
        <v>2</v>
      </c>
      <c r="C2573" s="16">
        <v>44902</v>
      </c>
      <c r="D2573" s="1" t="s">
        <v>2786</v>
      </c>
      <c r="E2573" t="s">
        <v>15</v>
      </c>
      <c r="F2573" s="10" t="s">
        <v>9</v>
      </c>
      <c r="G2573" s="21" t="s">
        <v>1281</v>
      </c>
      <c r="H2573" s="19" t="s">
        <v>55</v>
      </c>
      <c r="I2573" s="68" t="s">
        <v>2923</v>
      </c>
      <c r="J2573" s="23"/>
      <c r="K2573" s="2"/>
      <c r="L2573" t="s">
        <v>2913</v>
      </c>
      <c r="M2573" t="s">
        <v>2914</v>
      </c>
    </row>
    <row r="2574" spans="1:13" ht="15.75">
      <c r="A2574" t="s">
        <v>24</v>
      </c>
      <c r="B2574">
        <f ca="1">IF(OR(changes[[#This Row],[Type]]="Checklist",changes[[#This Row],[Type]]="checklist-flat"),1+IF(changes[[#This Row],[Type of change]] = "Edit",COUNTIFS($I$4:changes[[#This Row],[Name]],changes[[#This Row],[Name]], $E$4:changes[[#This Row],[Type of change]], "Edit")),B2573)</f>
        <v>2</v>
      </c>
      <c r="C2574" s="16">
        <v>44902</v>
      </c>
      <c r="D2574" s="1" t="s">
        <v>2786</v>
      </c>
      <c r="E2574" t="s">
        <v>15</v>
      </c>
      <c r="F2574" s="10" t="s">
        <v>9</v>
      </c>
      <c r="G2574" s="21" t="s">
        <v>1281</v>
      </c>
      <c r="H2574" s="19" t="s">
        <v>55</v>
      </c>
      <c r="I2574" s="68" t="s">
        <v>2924</v>
      </c>
      <c r="J2574" s="23"/>
      <c r="K2574" s="2"/>
      <c r="L2574" t="s">
        <v>2913</v>
      </c>
      <c r="M2574" t="s">
        <v>2914</v>
      </c>
    </row>
    <row r="2575" spans="1:13" ht="15.75">
      <c r="A2575" t="s">
        <v>24</v>
      </c>
      <c r="B2575">
        <f ca="1">IF(OR(changes[[#This Row],[Type]]="Checklist",changes[[#This Row],[Type]]="checklist-flat"),1+IF(changes[[#This Row],[Type of change]] = "Edit",COUNTIFS($I$4:changes[[#This Row],[Name]],changes[[#This Row],[Name]], $E$4:changes[[#This Row],[Type of change]], "Edit")),B2574)</f>
        <v>2</v>
      </c>
      <c r="C2575" s="16">
        <v>44902</v>
      </c>
      <c r="D2575" s="1" t="s">
        <v>2786</v>
      </c>
      <c r="E2575" t="s">
        <v>15</v>
      </c>
      <c r="F2575" s="10" t="s">
        <v>9</v>
      </c>
      <c r="G2575" s="21" t="s">
        <v>1281</v>
      </c>
      <c r="H2575" s="19" t="s">
        <v>55</v>
      </c>
      <c r="I2575" s="68" t="s">
        <v>2925</v>
      </c>
      <c r="J2575" s="23"/>
      <c r="K2575" s="2"/>
      <c r="L2575" t="s">
        <v>2913</v>
      </c>
      <c r="M2575" t="s">
        <v>2914</v>
      </c>
    </row>
    <row r="2576" spans="1:13" ht="15.75">
      <c r="A2576" t="s">
        <v>24</v>
      </c>
      <c r="B2576">
        <f ca="1">IF(OR(changes[[#This Row],[Type]]="Checklist",changes[[#This Row],[Type]]="checklist-flat"),1+IF(changes[[#This Row],[Type of change]] = "Edit",COUNTIFS($I$4:changes[[#This Row],[Name]],changes[[#This Row],[Name]], $E$4:changes[[#This Row],[Type of change]], "Edit")),B2575)</f>
        <v>2</v>
      </c>
      <c r="C2576" s="16">
        <v>44902</v>
      </c>
      <c r="D2576" s="1" t="s">
        <v>2786</v>
      </c>
      <c r="E2576" t="s">
        <v>15</v>
      </c>
      <c r="F2576" s="10" t="s">
        <v>9</v>
      </c>
      <c r="G2576" s="21" t="s">
        <v>1281</v>
      </c>
      <c r="H2576" s="19" t="s">
        <v>55</v>
      </c>
      <c r="I2576" s="68" t="s">
        <v>2926</v>
      </c>
      <c r="J2576" s="23"/>
      <c r="K2576" s="2"/>
      <c r="L2576" t="s">
        <v>2913</v>
      </c>
      <c r="M2576" t="s">
        <v>2914</v>
      </c>
    </row>
    <row r="2577" spans="1:13" ht="15.75">
      <c r="A2577" t="s">
        <v>24</v>
      </c>
      <c r="B2577">
        <f ca="1">IF(OR(changes[[#This Row],[Type]]="Checklist",changes[[#This Row],[Type]]="checklist-flat"),1+IF(changes[[#This Row],[Type of change]] = "Edit",COUNTIFS($I$4:changes[[#This Row],[Name]],changes[[#This Row],[Name]], $E$4:changes[[#This Row],[Type of change]], "Edit")),B2576)</f>
        <v>2</v>
      </c>
      <c r="C2577" s="16">
        <v>44902</v>
      </c>
      <c r="D2577" s="1" t="s">
        <v>2786</v>
      </c>
      <c r="E2577" t="s">
        <v>15</v>
      </c>
      <c r="F2577" s="10" t="s">
        <v>9</v>
      </c>
      <c r="G2577" s="21" t="s">
        <v>1281</v>
      </c>
      <c r="H2577" s="19" t="s">
        <v>55</v>
      </c>
      <c r="I2577" s="68" t="s">
        <v>2927</v>
      </c>
      <c r="J2577" s="23"/>
      <c r="K2577" s="2"/>
      <c r="L2577" t="s">
        <v>2913</v>
      </c>
      <c r="M2577" t="s">
        <v>2914</v>
      </c>
    </row>
    <row r="2578" spans="1:13" ht="15.75">
      <c r="A2578" t="s">
        <v>24</v>
      </c>
      <c r="B2578">
        <f ca="1">IF(OR(changes[[#This Row],[Type]]="Checklist",changes[[#This Row],[Type]]="checklist-flat"),1+IF(changes[[#This Row],[Type of change]] = "Edit",COUNTIFS($I$4:changes[[#This Row],[Name]],changes[[#This Row],[Name]], $E$4:changes[[#This Row],[Type of change]], "Edit")),B2577)</f>
        <v>2</v>
      </c>
      <c r="C2578" s="16">
        <v>44902</v>
      </c>
      <c r="D2578" s="1" t="s">
        <v>2786</v>
      </c>
      <c r="E2578" t="s">
        <v>15</v>
      </c>
      <c r="F2578" s="10" t="s">
        <v>9</v>
      </c>
      <c r="G2578" s="21" t="s">
        <v>1281</v>
      </c>
      <c r="H2578" s="19" t="s">
        <v>55</v>
      </c>
      <c r="I2578" s="68" t="s">
        <v>2928</v>
      </c>
      <c r="J2578" s="23"/>
      <c r="K2578" s="2"/>
      <c r="L2578" t="s">
        <v>2913</v>
      </c>
      <c r="M2578" t="s">
        <v>2914</v>
      </c>
    </row>
    <row r="2579" spans="1:13" ht="15.75">
      <c r="A2579" t="s">
        <v>24</v>
      </c>
      <c r="B2579">
        <f ca="1">IF(OR(changes[[#This Row],[Type]]="Checklist",changes[[#This Row],[Type]]="checklist-flat"),1+IF(changes[[#This Row],[Type of change]] = "Edit",COUNTIFS($I$4:changes[[#This Row],[Name]],changes[[#This Row],[Name]], $E$4:changes[[#This Row],[Type of change]], "Edit")),B2578)</f>
        <v>2</v>
      </c>
      <c r="C2579" s="16">
        <v>44902</v>
      </c>
      <c r="D2579" s="1" t="s">
        <v>2786</v>
      </c>
      <c r="E2579" t="s">
        <v>15</v>
      </c>
      <c r="F2579" s="10" t="s">
        <v>9</v>
      </c>
      <c r="G2579" s="21" t="s">
        <v>1281</v>
      </c>
      <c r="H2579" s="19" t="s">
        <v>55</v>
      </c>
      <c r="I2579" s="68" t="s">
        <v>2929</v>
      </c>
      <c r="J2579" s="23"/>
      <c r="K2579" s="2"/>
      <c r="L2579" t="s">
        <v>2913</v>
      </c>
      <c r="M2579" t="s">
        <v>2914</v>
      </c>
    </row>
    <row r="2580" spans="1:13" ht="15.75">
      <c r="A2580" t="s">
        <v>24</v>
      </c>
      <c r="B2580">
        <f ca="1">IF(OR(changes[[#This Row],[Type]]="Checklist",changes[[#This Row],[Type]]="checklist-flat"),1+IF(changes[[#This Row],[Type of change]] = "Edit",COUNTIFS($I$4:changes[[#This Row],[Name]],changes[[#This Row],[Name]], $E$4:changes[[#This Row],[Type of change]], "Edit")),B2579)</f>
        <v>2</v>
      </c>
      <c r="C2580" s="16">
        <v>44902</v>
      </c>
      <c r="D2580" s="1" t="s">
        <v>2786</v>
      </c>
      <c r="E2580" t="s">
        <v>15</v>
      </c>
      <c r="F2580" s="10" t="s">
        <v>9</v>
      </c>
      <c r="G2580" s="21" t="s">
        <v>1281</v>
      </c>
      <c r="H2580" s="19" t="s">
        <v>55</v>
      </c>
      <c r="I2580" s="68" t="s">
        <v>2930</v>
      </c>
      <c r="J2580" s="23"/>
      <c r="K2580" s="2"/>
      <c r="L2580" t="s">
        <v>2913</v>
      </c>
      <c r="M2580" t="s">
        <v>2914</v>
      </c>
    </row>
    <row r="2581" spans="1:13" ht="15.75">
      <c r="A2581" t="s">
        <v>24</v>
      </c>
      <c r="B2581">
        <f ca="1">IF(OR(changes[[#This Row],[Type]]="Checklist",changes[[#This Row],[Type]]="checklist-flat"),1+IF(changes[[#This Row],[Type of change]] = "Edit",COUNTIFS($I$4:changes[[#This Row],[Name]],changes[[#This Row],[Name]], $E$4:changes[[#This Row],[Type of change]], "Edit")),B2580)</f>
        <v>2</v>
      </c>
      <c r="C2581" s="16">
        <v>44902</v>
      </c>
      <c r="D2581" s="1" t="s">
        <v>2786</v>
      </c>
      <c r="E2581" t="s">
        <v>15</v>
      </c>
      <c r="F2581" s="10" t="s">
        <v>9</v>
      </c>
      <c r="G2581" s="21" t="s">
        <v>1281</v>
      </c>
      <c r="H2581" s="19" t="s">
        <v>55</v>
      </c>
      <c r="I2581" s="68" t="s">
        <v>2931</v>
      </c>
      <c r="J2581" s="23"/>
      <c r="K2581" s="2"/>
      <c r="L2581" t="s">
        <v>2913</v>
      </c>
      <c r="M2581" t="s">
        <v>2914</v>
      </c>
    </row>
    <row r="2582" spans="1:13" ht="15.75">
      <c r="A2582" t="s">
        <v>24</v>
      </c>
      <c r="B2582">
        <f ca="1">IF(OR(changes[[#This Row],[Type]]="Checklist",changes[[#This Row],[Type]]="checklist-flat"),1+IF(changes[[#This Row],[Type of change]] = "Edit",COUNTIFS($I$4:changes[[#This Row],[Name]],changes[[#This Row],[Name]], $E$4:changes[[#This Row],[Type of change]], "Edit")),B2581)</f>
        <v>2</v>
      </c>
      <c r="C2582" s="16">
        <v>44902</v>
      </c>
      <c r="D2582" s="1" t="s">
        <v>2786</v>
      </c>
      <c r="E2582" t="s">
        <v>15</v>
      </c>
      <c r="F2582" s="10" t="s">
        <v>9</v>
      </c>
      <c r="G2582" s="21" t="s">
        <v>1281</v>
      </c>
      <c r="H2582" s="19" t="s">
        <v>55</v>
      </c>
      <c r="I2582" s="68" t="s">
        <v>2932</v>
      </c>
      <c r="J2582" s="23"/>
      <c r="K2582" s="2"/>
      <c r="L2582" t="s">
        <v>2913</v>
      </c>
      <c r="M2582" t="s">
        <v>2914</v>
      </c>
    </row>
    <row r="2583" spans="1:13" ht="15.75">
      <c r="A2583" t="s">
        <v>24</v>
      </c>
      <c r="B2583">
        <f ca="1">IF(OR(changes[[#This Row],[Type]]="Checklist",changes[[#This Row],[Type]]="checklist-flat"),1+IF(changes[[#This Row],[Type of change]] = "Edit",COUNTIFS($I$4:changes[[#This Row],[Name]],changes[[#This Row],[Name]], $E$4:changes[[#This Row],[Type of change]], "Edit")),B2582)</f>
        <v>2</v>
      </c>
      <c r="C2583" s="16">
        <v>44902</v>
      </c>
      <c r="D2583" s="1" t="s">
        <v>2786</v>
      </c>
      <c r="E2583" t="s">
        <v>15</v>
      </c>
      <c r="F2583" s="10" t="s">
        <v>9</v>
      </c>
      <c r="G2583" s="21" t="s">
        <v>1281</v>
      </c>
      <c r="H2583" s="19" t="s">
        <v>55</v>
      </c>
      <c r="I2583" s="68" t="s">
        <v>2933</v>
      </c>
      <c r="J2583" s="23"/>
      <c r="K2583" s="2"/>
      <c r="L2583" t="s">
        <v>2913</v>
      </c>
      <c r="M2583" t="s">
        <v>2914</v>
      </c>
    </row>
    <row r="2584" spans="1:13" ht="15.75">
      <c r="A2584" t="s">
        <v>24</v>
      </c>
      <c r="B2584">
        <f ca="1">IF(OR(changes[[#This Row],[Type]]="Checklist",changes[[#This Row],[Type]]="checklist-flat"),1+IF(changes[[#This Row],[Type of change]] = "Edit",COUNTIFS($I$4:changes[[#This Row],[Name]],changes[[#This Row],[Name]], $E$4:changes[[#This Row],[Type of change]], "Edit")),B2583)</f>
        <v>2</v>
      </c>
      <c r="C2584" s="16">
        <v>44902</v>
      </c>
      <c r="D2584" s="1" t="s">
        <v>2786</v>
      </c>
      <c r="E2584" t="s">
        <v>15</v>
      </c>
      <c r="F2584" s="10" t="s">
        <v>9</v>
      </c>
      <c r="G2584" s="21" t="s">
        <v>1281</v>
      </c>
      <c r="H2584" s="19" t="s">
        <v>55</v>
      </c>
      <c r="I2584" s="68" t="s">
        <v>2934</v>
      </c>
      <c r="J2584" s="23"/>
      <c r="K2584" s="2"/>
      <c r="L2584" t="s">
        <v>2913</v>
      </c>
      <c r="M2584" t="s">
        <v>2914</v>
      </c>
    </row>
    <row r="2585" spans="1:13" ht="15.75">
      <c r="A2585" t="s">
        <v>24</v>
      </c>
      <c r="B2585">
        <f ca="1">IF(OR(changes[[#This Row],[Type]]="Checklist",changes[[#This Row],[Type]]="checklist-flat"),1+IF(changes[[#This Row],[Type of change]] = "Edit",COUNTIFS($I$4:changes[[#This Row],[Name]],changes[[#This Row],[Name]], $E$4:changes[[#This Row],[Type of change]], "Edit")),B2584)</f>
        <v>2</v>
      </c>
      <c r="C2585" s="16">
        <v>44902</v>
      </c>
      <c r="D2585" s="1" t="s">
        <v>2786</v>
      </c>
      <c r="E2585" t="s">
        <v>15</v>
      </c>
      <c r="F2585" s="10" t="s">
        <v>9</v>
      </c>
      <c r="G2585" s="21" t="s">
        <v>1281</v>
      </c>
      <c r="H2585" s="19" t="s">
        <v>55</v>
      </c>
      <c r="I2585" s="68" t="s">
        <v>2935</v>
      </c>
      <c r="J2585" s="23"/>
      <c r="K2585" s="2"/>
      <c r="L2585" t="s">
        <v>2913</v>
      </c>
      <c r="M2585" t="s">
        <v>2914</v>
      </c>
    </row>
    <row r="2586" spans="1:13" ht="15.75">
      <c r="A2586" t="s">
        <v>24</v>
      </c>
      <c r="B2586">
        <f ca="1">IF(OR(changes[[#This Row],[Type]]="Checklist",changes[[#This Row],[Type]]="checklist-flat"),1+IF(changes[[#This Row],[Type of change]] = "Edit",COUNTIFS($I$4:changes[[#This Row],[Name]],changes[[#This Row],[Name]], $E$4:changes[[#This Row],[Type of change]], "Edit")),B2585)</f>
        <v>2</v>
      </c>
      <c r="C2586" s="16">
        <v>44902</v>
      </c>
      <c r="D2586" s="1" t="s">
        <v>2786</v>
      </c>
      <c r="E2586" t="s">
        <v>15</v>
      </c>
      <c r="F2586" s="10" t="s">
        <v>9</v>
      </c>
      <c r="G2586" s="21" t="s">
        <v>1281</v>
      </c>
      <c r="H2586" s="19" t="s">
        <v>55</v>
      </c>
      <c r="I2586" s="68" t="s">
        <v>2936</v>
      </c>
      <c r="J2586" s="23"/>
      <c r="K2586" s="2"/>
      <c r="L2586" t="s">
        <v>2913</v>
      </c>
      <c r="M2586" t="s">
        <v>2914</v>
      </c>
    </row>
    <row r="2587" spans="1:13" ht="15.75">
      <c r="A2587" t="s">
        <v>24</v>
      </c>
      <c r="B2587">
        <f ca="1">IF(OR(changes[[#This Row],[Type]]="Checklist",changes[[#This Row],[Type]]="checklist-flat"),1+IF(changes[[#This Row],[Type of change]] = "Edit",COUNTIFS($I$4:changes[[#This Row],[Name]],changes[[#This Row],[Name]], $E$4:changes[[#This Row],[Type of change]], "Edit")),B2586)</f>
        <v>2</v>
      </c>
      <c r="C2587" s="16">
        <v>44902</v>
      </c>
      <c r="D2587" s="1" t="s">
        <v>2786</v>
      </c>
      <c r="E2587" t="s">
        <v>15</v>
      </c>
      <c r="F2587" s="10" t="s">
        <v>9</v>
      </c>
      <c r="G2587" s="21" t="s">
        <v>1281</v>
      </c>
      <c r="H2587" s="19" t="s">
        <v>55</v>
      </c>
      <c r="I2587" s="57" t="s">
        <v>2937</v>
      </c>
      <c r="J2587" s="23"/>
      <c r="K2587" s="2"/>
      <c r="L2587" t="s">
        <v>2913</v>
      </c>
      <c r="M2587" t="s">
        <v>2914</v>
      </c>
    </row>
    <row r="2588" spans="1:13" ht="15.75">
      <c r="A2588" t="s">
        <v>20</v>
      </c>
      <c r="B2588">
        <f ca="1">IF(OR(changes[[#This Row],[Type]]="Checklist",changes[[#This Row],[Type]]="checklist-flat"),1+IF(changes[[#This Row],[Type of change]] = "Edit",COUNTIFS($I$4:changes[[#This Row],[Name]],changes[[#This Row],[Name]], $E$4:changes[[#This Row],[Type of change]], "Edit")),B2587)</f>
        <v>1</v>
      </c>
      <c r="C2588" s="16">
        <v>44903</v>
      </c>
      <c r="D2588" s="1" t="s">
        <v>2393</v>
      </c>
      <c r="E2588" t="s">
        <v>27</v>
      </c>
      <c r="F2588" s="10" t="s">
        <v>52</v>
      </c>
      <c r="G2588" s="21" t="s">
        <v>2938</v>
      </c>
      <c r="H2588" s="19" t="s">
        <v>478</v>
      </c>
      <c r="I2588" s="21" t="s">
        <v>2938</v>
      </c>
      <c r="J2588" s="22"/>
      <c r="K2588" s="2"/>
      <c r="M2588" s="2"/>
    </row>
    <row r="2589" spans="1:13" ht="15.75">
      <c r="A2589" t="s">
        <v>20</v>
      </c>
      <c r="B2589">
        <f ca="1">IF(OR(changes[[#This Row],[Type]]="Checklist",changes[[#This Row],[Type]]="checklist-flat"),1+IF(changes[[#This Row],[Type of change]] = "Edit",COUNTIFS($I$4:changes[[#This Row],[Name]],changes[[#This Row],[Name]], $E$4:changes[[#This Row],[Type of change]], "Edit")),B2588)</f>
        <v>1</v>
      </c>
      <c r="C2589" s="16">
        <v>44903</v>
      </c>
      <c r="D2589" s="1" t="s">
        <v>2393</v>
      </c>
      <c r="E2589" t="s">
        <v>27</v>
      </c>
      <c r="F2589" s="10" t="s">
        <v>52</v>
      </c>
      <c r="G2589" s="21" t="s">
        <v>2938</v>
      </c>
      <c r="H2589" s="2" t="s">
        <v>55</v>
      </c>
      <c r="I2589" s="18" t="s">
        <v>2025</v>
      </c>
      <c r="J2589" s="23"/>
      <c r="K2589" s="2"/>
      <c r="M2589" s="2"/>
    </row>
    <row r="2590" spans="1:13" ht="15.75">
      <c r="A2590" t="s">
        <v>20</v>
      </c>
      <c r="B2590">
        <f ca="1">IF(OR(changes[[#This Row],[Type]]="Checklist",changes[[#This Row],[Type]]="checklist-flat"),1+IF(changes[[#This Row],[Type of change]] = "Edit",COUNTIFS($I$4:changes[[#This Row],[Name]],changes[[#This Row],[Name]], $E$4:changes[[#This Row],[Type of change]], "Edit")),B2589)</f>
        <v>1</v>
      </c>
      <c r="C2590" s="16">
        <v>44903</v>
      </c>
      <c r="D2590" s="1" t="s">
        <v>2393</v>
      </c>
      <c r="E2590" t="s">
        <v>27</v>
      </c>
      <c r="F2590" s="10" t="s">
        <v>52</v>
      </c>
      <c r="G2590" s="21" t="s">
        <v>2938</v>
      </c>
      <c r="H2590" s="2" t="s">
        <v>55</v>
      </c>
      <c r="I2590" s="18" t="s">
        <v>2026</v>
      </c>
      <c r="J2590" s="23"/>
      <c r="K2590" s="2"/>
      <c r="M2590" s="2"/>
    </row>
    <row r="2591" spans="1:13" ht="15.75">
      <c r="A2591" t="s">
        <v>20</v>
      </c>
      <c r="B2591">
        <f ca="1">IF(OR(changes[[#This Row],[Type]]="Checklist",changes[[#This Row],[Type]]="checklist-flat"),1+IF(changes[[#This Row],[Type of change]] = "Edit",COUNTIFS($I$4:changes[[#This Row],[Name]],changes[[#This Row],[Name]], $E$4:changes[[#This Row],[Type of change]], "Edit")),B2590)</f>
        <v>1</v>
      </c>
      <c r="C2591" s="16">
        <v>44903</v>
      </c>
      <c r="D2591" s="1" t="s">
        <v>2393</v>
      </c>
      <c r="E2591" t="s">
        <v>27</v>
      </c>
      <c r="F2591" s="10" t="s">
        <v>52</v>
      </c>
      <c r="G2591" s="21" t="s">
        <v>2938</v>
      </c>
      <c r="H2591" s="2" t="s">
        <v>55</v>
      </c>
      <c r="I2591" s="18" t="s">
        <v>2939</v>
      </c>
      <c r="J2591" s="23"/>
      <c r="K2591" s="2"/>
      <c r="M2591" s="2"/>
    </row>
    <row r="2592" spans="1:13" ht="15.75">
      <c r="A2592" t="s">
        <v>20</v>
      </c>
      <c r="B2592">
        <f ca="1">IF(OR(changes[[#This Row],[Type]]="Checklist",changes[[#This Row],[Type]]="checklist-flat"),1+IF(changes[[#This Row],[Type of change]] = "Edit",COUNTIFS($I$4:changes[[#This Row],[Name]],changes[[#This Row],[Name]], $E$4:changes[[#This Row],[Type of change]], "Edit")),B2591)</f>
        <v>1</v>
      </c>
      <c r="C2592" s="16">
        <v>44903</v>
      </c>
      <c r="D2592" s="1" t="s">
        <v>2393</v>
      </c>
      <c r="E2592" t="s">
        <v>27</v>
      </c>
      <c r="F2592" s="10" t="s">
        <v>52</v>
      </c>
      <c r="G2592" s="21" t="s">
        <v>2938</v>
      </c>
      <c r="H2592" s="2" t="s">
        <v>55</v>
      </c>
      <c r="I2592" s="18" t="s">
        <v>2027</v>
      </c>
      <c r="J2592" s="23"/>
      <c r="K2592" s="2"/>
      <c r="M2592" s="2"/>
    </row>
    <row r="2593" spans="1:13" ht="15.75">
      <c r="A2593" t="s">
        <v>20</v>
      </c>
      <c r="B2593">
        <f ca="1">IF(OR(changes[[#This Row],[Type]]="Checklist",changes[[#This Row],[Type]]="checklist-flat"),1+IF(changes[[#This Row],[Type of change]] = "Edit",COUNTIFS($I$4:changes[[#This Row],[Name]],changes[[#This Row],[Name]], $E$4:changes[[#This Row],[Type of change]], "Edit")),B2592)</f>
        <v>1</v>
      </c>
      <c r="C2593" s="16">
        <v>44903</v>
      </c>
      <c r="D2593" s="1" t="s">
        <v>2393</v>
      </c>
      <c r="E2593" t="s">
        <v>27</v>
      </c>
      <c r="F2593" s="10" t="s">
        <v>52</v>
      </c>
      <c r="G2593" s="21" t="s">
        <v>2938</v>
      </c>
      <c r="H2593" s="2" t="s">
        <v>55</v>
      </c>
      <c r="I2593" s="18" t="s">
        <v>2028</v>
      </c>
      <c r="J2593" s="23"/>
      <c r="K2593" s="2"/>
      <c r="M2593" s="2"/>
    </row>
    <row r="2594" spans="1:13" ht="15.75">
      <c r="A2594" t="s">
        <v>20</v>
      </c>
      <c r="B2594">
        <f ca="1">IF(OR(changes[[#This Row],[Type]]="Checklist",changes[[#This Row],[Type]]="checklist-flat"),1+IF(changes[[#This Row],[Type of change]] = "Edit",COUNTIFS($I$4:changes[[#This Row],[Name]],changes[[#This Row],[Name]], $E$4:changes[[#This Row],[Type of change]], "Edit")),B2593)</f>
        <v>1</v>
      </c>
      <c r="C2594" s="16">
        <v>44903</v>
      </c>
      <c r="D2594" s="1" t="s">
        <v>2393</v>
      </c>
      <c r="E2594" t="s">
        <v>27</v>
      </c>
      <c r="F2594" s="10" t="s">
        <v>52</v>
      </c>
      <c r="G2594" s="21" t="s">
        <v>2938</v>
      </c>
      <c r="H2594" s="2" t="s">
        <v>55</v>
      </c>
      <c r="I2594" s="18" t="s">
        <v>2029</v>
      </c>
      <c r="J2594" s="23"/>
      <c r="K2594" s="2"/>
      <c r="M2594" s="2"/>
    </row>
    <row r="2595" spans="1:13" ht="15.75">
      <c r="A2595" t="s">
        <v>20</v>
      </c>
      <c r="B2595">
        <f ca="1">IF(OR(changes[[#This Row],[Type]]="Checklist",changes[[#This Row],[Type]]="checklist-flat"),1+IF(changes[[#This Row],[Type of change]] = "Edit",COUNTIFS($I$4:changes[[#This Row],[Name]],changes[[#This Row],[Name]], $E$4:changes[[#This Row],[Type of change]], "Edit")),B2594)</f>
        <v>1</v>
      </c>
      <c r="C2595" s="16">
        <v>44903</v>
      </c>
      <c r="D2595" s="1" t="s">
        <v>2393</v>
      </c>
      <c r="E2595" t="s">
        <v>27</v>
      </c>
      <c r="F2595" s="10" t="s">
        <v>52</v>
      </c>
      <c r="G2595" s="21" t="s">
        <v>2938</v>
      </c>
      <c r="H2595" s="2" t="s">
        <v>55</v>
      </c>
      <c r="I2595" s="18" t="s">
        <v>2030</v>
      </c>
      <c r="J2595" s="23"/>
      <c r="K2595" s="2"/>
      <c r="M2595" s="2"/>
    </row>
    <row r="2596" spans="1:13" ht="15.75">
      <c r="A2596" t="s">
        <v>20</v>
      </c>
      <c r="B2596">
        <f ca="1">IF(OR(changes[[#This Row],[Type]]="Checklist",changes[[#This Row],[Type]]="checklist-flat"),1+IF(changes[[#This Row],[Type of change]] = "Edit",COUNTIFS($I$4:changes[[#This Row],[Name]],changes[[#This Row],[Name]], $E$4:changes[[#This Row],[Type of change]], "Edit")),B2595)</f>
        <v>1</v>
      </c>
      <c r="C2596" s="16">
        <v>44903</v>
      </c>
      <c r="D2596" s="1" t="s">
        <v>2393</v>
      </c>
      <c r="E2596" t="s">
        <v>27</v>
      </c>
      <c r="F2596" s="10" t="s">
        <v>52</v>
      </c>
      <c r="G2596" s="21" t="s">
        <v>2938</v>
      </c>
      <c r="H2596" s="2" t="s">
        <v>55</v>
      </c>
      <c r="I2596" s="18" t="s">
        <v>2031</v>
      </c>
      <c r="J2596" s="23"/>
      <c r="K2596" s="2"/>
      <c r="M2596" s="2"/>
    </row>
    <row r="2597" spans="1:13" ht="15.75">
      <c r="A2597" t="s">
        <v>20</v>
      </c>
      <c r="B2597">
        <f ca="1">IF(OR(changes[[#This Row],[Type]]="Checklist",changes[[#This Row],[Type]]="checklist-flat"),1+IF(changes[[#This Row],[Type of change]] = "Edit",COUNTIFS($I$4:changes[[#This Row],[Name]],changes[[#This Row],[Name]], $E$4:changes[[#This Row],[Type of change]], "Edit")),B2596)</f>
        <v>1</v>
      </c>
      <c r="C2597" s="16">
        <v>44903</v>
      </c>
      <c r="D2597" s="1" t="s">
        <v>2393</v>
      </c>
      <c r="E2597" t="s">
        <v>27</v>
      </c>
      <c r="F2597" s="10" t="s">
        <v>52</v>
      </c>
      <c r="G2597" s="21" t="s">
        <v>2938</v>
      </c>
      <c r="H2597" s="2" t="s">
        <v>437</v>
      </c>
      <c r="I2597" s="18" t="s">
        <v>438</v>
      </c>
      <c r="J2597" s="23" t="s">
        <v>439</v>
      </c>
      <c r="K2597" s="2"/>
      <c r="M2597" s="2"/>
    </row>
    <row r="2598" spans="1:13" ht="15.75">
      <c r="A2598" t="s">
        <v>20</v>
      </c>
      <c r="B2598">
        <f ca="1">IF(OR(changes[[#This Row],[Type]]="Checklist",changes[[#This Row],[Type]]="checklist-flat"),1+IF(changes[[#This Row],[Type of change]] = "Edit",COUNTIFS($I$4:changes[[#This Row],[Name]],changes[[#This Row],[Name]], $E$4:changes[[#This Row],[Type of change]], "Edit")),B2597)</f>
        <v>1</v>
      </c>
      <c r="C2598" s="16">
        <v>44903</v>
      </c>
      <c r="D2598" s="1" t="s">
        <v>2393</v>
      </c>
      <c r="E2598" t="s">
        <v>27</v>
      </c>
      <c r="F2598" s="10" t="s">
        <v>52</v>
      </c>
      <c r="G2598" s="21" t="s">
        <v>2938</v>
      </c>
      <c r="H2598" s="2" t="s">
        <v>55</v>
      </c>
      <c r="I2598" s="18" t="s">
        <v>2032</v>
      </c>
      <c r="J2598" s="23"/>
      <c r="K2598" s="2"/>
      <c r="M2598" s="2"/>
    </row>
    <row r="2599" spans="1:13" ht="15.75">
      <c r="A2599" t="s">
        <v>20</v>
      </c>
      <c r="B2599">
        <f ca="1">IF(OR(changes[[#This Row],[Type]]="Checklist",changes[[#This Row],[Type]]="checklist-flat"),1+IF(changes[[#This Row],[Type of change]] = "Edit",COUNTIFS($I$4:changes[[#This Row],[Name]],changes[[#This Row],[Name]], $E$4:changes[[#This Row],[Type of change]], "Edit")),B2598)</f>
        <v>1</v>
      </c>
      <c r="C2599" s="16">
        <v>44903</v>
      </c>
      <c r="D2599" s="1" t="s">
        <v>2393</v>
      </c>
      <c r="E2599" t="s">
        <v>27</v>
      </c>
      <c r="F2599" s="10" t="s">
        <v>52</v>
      </c>
      <c r="G2599" s="21" t="s">
        <v>2938</v>
      </c>
      <c r="H2599" s="2" t="s">
        <v>437</v>
      </c>
      <c r="I2599" s="18" t="s">
        <v>438</v>
      </c>
      <c r="J2599" s="23" t="s">
        <v>439</v>
      </c>
      <c r="K2599" s="2"/>
      <c r="M2599" s="2"/>
    </row>
    <row r="2600" spans="1:13" ht="15.75">
      <c r="A2600" t="s">
        <v>20</v>
      </c>
      <c r="B2600">
        <f ca="1">IF(OR(changes[[#This Row],[Type]]="Checklist",changes[[#This Row],[Type]]="checklist-flat"),1+IF(changes[[#This Row],[Type of change]] = "Edit",COUNTIFS($I$4:changes[[#This Row],[Name]],changes[[#This Row],[Name]], $E$4:changes[[#This Row],[Type of change]], "Edit")),B2599)</f>
        <v>1</v>
      </c>
      <c r="C2600" s="16">
        <v>44903</v>
      </c>
      <c r="D2600" s="1" t="s">
        <v>2393</v>
      </c>
      <c r="E2600" t="s">
        <v>27</v>
      </c>
      <c r="F2600" s="10" t="s">
        <v>52</v>
      </c>
      <c r="G2600" s="21" t="s">
        <v>2938</v>
      </c>
      <c r="H2600" s="2" t="s">
        <v>214</v>
      </c>
      <c r="I2600" s="18" t="s">
        <v>443</v>
      </c>
      <c r="J2600" s="23"/>
      <c r="K2600" s="2"/>
      <c r="M2600" s="2"/>
    </row>
    <row r="2601" spans="1:13" ht="15.75">
      <c r="A2601" t="s">
        <v>20</v>
      </c>
      <c r="B2601">
        <f ca="1">IF(OR(changes[[#This Row],[Type]]="Checklist",changes[[#This Row],[Type]]="checklist-flat"),1+IF(changes[[#This Row],[Type of change]] = "Edit",COUNTIFS($I$4:changes[[#This Row],[Name]],changes[[#This Row],[Name]], $E$4:changes[[#This Row],[Type of change]], "Edit")),B2600)</f>
        <v>1</v>
      </c>
      <c r="C2601" s="16">
        <v>44903</v>
      </c>
      <c r="D2601" s="1" t="s">
        <v>2393</v>
      </c>
      <c r="E2601" t="s">
        <v>27</v>
      </c>
      <c r="F2601" s="10" t="s">
        <v>52</v>
      </c>
      <c r="G2601" s="21" t="s">
        <v>2938</v>
      </c>
      <c r="H2601" s="2" t="s">
        <v>55</v>
      </c>
      <c r="I2601" s="18" t="s">
        <v>442</v>
      </c>
      <c r="J2601" s="23"/>
      <c r="K2601" s="2"/>
      <c r="M2601" s="2"/>
    </row>
    <row r="2602" spans="1:13" ht="15.75">
      <c r="A2602" t="s">
        <v>20</v>
      </c>
      <c r="B2602">
        <f ca="1">IF(OR(changes[[#This Row],[Type]]="Checklist",changes[[#This Row],[Type]]="checklist-flat"),1+IF(changes[[#This Row],[Type of change]] = "Edit",COUNTIFS($I$4:changes[[#This Row],[Name]],changes[[#This Row],[Name]], $E$4:changes[[#This Row],[Type of change]], "Edit")),B2601)</f>
        <v>1</v>
      </c>
      <c r="C2602" s="16">
        <v>44903</v>
      </c>
      <c r="D2602" s="1" t="s">
        <v>2393</v>
      </c>
      <c r="E2602" t="s">
        <v>27</v>
      </c>
      <c r="F2602" s="10" t="s">
        <v>52</v>
      </c>
      <c r="G2602" s="18" t="s">
        <v>2940</v>
      </c>
      <c r="H2602" s="2" t="s">
        <v>478</v>
      </c>
      <c r="I2602" s="18" t="s">
        <v>2940</v>
      </c>
      <c r="J2602" s="23"/>
      <c r="K2602" s="2"/>
      <c r="M2602" s="2"/>
    </row>
    <row r="2603" spans="1:13" ht="15.75">
      <c r="A2603" t="s">
        <v>20</v>
      </c>
      <c r="B2603">
        <f ca="1">IF(OR(changes[[#This Row],[Type]]="Checklist",changes[[#This Row],[Type]]="checklist-flat"),1+IF(changes[[#This Row],[Type of change]] = "Edit",COUNTIFS($I$4:changes[[#This Row],[Name]],changes[[#This Row],[Name]], $E$4:changes[[#This Row],[Type of change]], "Edit")),B2602)</f>
        <v>1</v>
      </c>
      <c r="C2603" s="16">
        <v>44903</v>
      </c>
      <c r="D2603" s="1" t="s">
        <v>2393</v>
      </c>
      <c r="E2603" t="s">
        <v>27</v>
      </c>
      <c r="F2603" s="10" t="s">
        <v>52</v>
      </c>
      <c r="G2603" s="18" t="s">
        <v>2940</v>
      </c>
      <c r="H2603" s="2" t="s">
        <v>479</v>
      </c>
      <c r="I2603" s="18" t="s">
        <v>2034</v>
      </c>
      <c r="J2603" s="23"/>
      <c r="K2603" s="2"/>
      <c r="M2603" s="2"/>
    </row>
    <row r="2604" spans="1:13" ht="15.75">
      <c r="A2604" t="s">
        <v>20</v>
      </c>
      <c r="B2604">
        <f ca="1">IF(OR(changes[[#This Row],[Type]]="Checklist",changes[[#This Row],[Type]]="checklist-flat"),1+IF(changes[[#This Row],[Type of change]] = "Edit",COUNTIFS($I$4:changes[[#This Row],[Name]],changes[[#This Row],[Name]], $E$4:changes[[#This Row],[Type of change]], "Edit")),B2603)</f>
        <v>1</v>
      </c>
      <c r="C2604" s="16">
        <v>44903</v>
      </c>
      <c r="D2604" s="1" t="s">
        <v>2393</v>
      </c>
      <c r="E2604" t="s">
        <v>27</v>
      </c>
      <c r="F2604" s="10" t="s">
        <v>52</v>
      </c>
      <c r="G2604" s="18" t="s">
        <v>2940</v>
      </c>
      <c r="H2604" s="2" t="s">
        <v>55</v>
      </c>
      <c r="I2604" s="18" t="s">
        <v>2035</v>
      </c>
      <c r="J2604" s="23"/>
      <c r="K2604" s="2"/>
      <c r="M2604" s="2"/>
    </row>
    <row r="2605" spans="1:13" ht="15.75">
      <c r="A2605" t="s">
        <v>20</v>
      </c>
      <c r="B2605">
        <f ca="1">IF(OR(changes[[#This Row],[Type]]="Checklist",changes[[#This Row],[Type]]="checklist-flat"),1+IF(changes[[#This Row],[Type of change]] = "Edit",COUNTIFS($I$4:changes[[#This Row],[Name]],changes[[#This Row],[Name]], $E$4:changes[[#This Row],[Type of change]], "Edit")),B2604)</f>
        <v>1</v>
      </c>
      <c r="C2605" s="16">
        <v>44903</v>
      </c>
      <c r="D2605" s="1" t="s">
        <v>2393</v>
      </c>
      <c r="E2605" t="s">
        <v>27</v>
      </c>
      <c r="F2605" s="10" t="s">
        <v>52</v>
      </c>
      <c r="G2605" s="18" t="s">
        <v>2940</v>
      </c>
      <c r="H2605" s="2" t="s">
        <v>214</v>
      </c>
      <c r="I2605" s="18" t="s">
        <v>2036</v>
      </c>
      <c r="J2605" s="23"/>
      <c r="K2605" s="2"/>
      <c r="M2605" s="2"/>
    </row>
    <row r="2606" spans="1:13" ht="15.75">
      <c r="A2606" t="s">
        <v>20</v>
      </c>
      <c r="B2606">
        <f ca="1">IF(OR(changes[[#This Row],[Type]]="Checklist",changes[[#This Row],[Type]]="checklist-flat"),1+IF(changes[[#This Row],[Type of change]] = "Edit",COUNTIFS($I$4:changes[[#This Row],[Name]],changes[[#This Row],[Name]], $E$4:changes[[#This Row],[Type of change]], "Edit")),B2605)</f>
        <v>1</v>
      </c>
      <c r="C2606" s="16">
        <v>44903</v>
      </c>
      <c r="D2606" s="1" t="s">
        <v>2393</v>
      </c>
      <c r="E2606" t="s">
        <v>27</v>
      </c>
      <c r="F2606" s="10" t="s">
        <v>52</v>
      </c>
      <c r="G2606" s="18" t="s">
        <v>2940</v>
      </c>
      <c r="H2606" s="2" t="s">
        <v>214</v>
      </c>
      <c r="I2606" s="18" t="s">
        <v>1618</v>
      </c>
      <c r="J2606" s="23"/>
      <c r="K2606" s="2"/>
      <c r="M2606" s="2"/>
    </row>
    <row r="2607" spans="1:13" ht="15.75">
      <c r="A2607" t="s">
        <v>20</v>
      </c>
      <c r="B2607">
        <f ca="1">IF(OR(changes[[#This Row],[Type]]="Checklist",changes[[#This Row],[Type]]="checklist-flat"),1+IF(changes[[#This Row],[Type of change]] = "Edit",COUNTIFS($I$4:changes[[#This Row],[Name]],changes[[#This Row],[Name]], $E$4:changes[[#This Row],[Type of change]], "Edit")),B2606)</f>
        <v>1</v>
      </c>
      <c r="C2607" s="16">
        <v>44903</v>
      </c>
      <c r="D2607" s="1" t="s">
        <v>2393</v>
      </c>
      <c r="E2607" t="s">
        <v>27</v>
      </c>
      <c r="F2607" s="10" t="s">
        <v>52</v>
      </c>
      <c r="G2607" s="18" t="s">
        <v>2940</v>
      </c>
      <c r="H2607" s="2" t="s">
        <v>214</v>
      </c>
      <c r="I2607" s="18" t="s">
        <v>1619</v>
      </c>
      <c r="J2607" s="23"/>
      <c r="K2607" s="2"/>
      <c r="M2607" s="2"/>
    </row>
    <row r="2608" spans="1:13" ht="15.75">
      <c r="A2608" t="s">
        <v>20</v>
      </c>
      <c r="B2608">
        <f ca="1">IF(OR(changes[[#This Row],[Type]]="Checklist",changes[[#This Row],[Type]]="checklist-flat"),1+IF(changes[[#This Row],[Type of change]] = "Edit",COUNTIFS($I$4:changes[[#This Row],[Name]],changes[[#This Row],[Name]], $E$4:changes[[#This Row],[Type of change]], "Edit")),B2607)</f>
        <v>1</v>
      </c>
      <c r="C2608" s="16">
        <v>44903</v>
      </c>
      <c r="D2608" s="1" t="s">
        <v>2393</v>
      </c>
      <c r="E2608" t="s">
        <v>27</v>
      </c>
      <c r="F2608" s="10" t="s">
        <v>52</v>
      </c>
      <c r="G2608" s="18" t="s">
        <v>2940</v>
      </c>
      <c r="H2608" s="2" t="s">
        <v>214</v>
      </c>
      <c r="I2608" s="18" t="s">
        <v>1620</v>
      </c>
      <c r="J2608" s="23"/>
      <c r="K2608" s="2"/>
      <c r="M2608" s="2"/>
    </row>
    <row r="2609" spans="1:13" ht="15.75">
      <c r="A2609" t="s">
        <v>20</v>
      </c>
      <c r="B2609">
        <f ca="1">IF(OR(changes[[#This Row],[Type]]="Checklist",changes[[#This Row],[Type]]="checklist-flat"),1+IF(changes[[#This Row],[Type of change]] = "Edit",COUNTIFS($I$4:changes[[#This Row],[Name]],changes[[#This Row],[Name]], $E$4:changes[[#This Row],[Type of change]], "Edit")),B2608)</f>
        <v>1</v>
      </c>
      <c r="C2609" s="16">
        <v>44903</v>
      </c>
      <c r="D2609" s="1" t="s">
        <v>2393</v>
      </c>
      <c r="E2609" t="s">
        <v>27</v>
      </c>
      <c r="F2609" s="10" t="s">
        <v>52</v>
      </c>
      <c r="G2609" s="18" t="s">
        <v>2940</v>
      </c>
      <c r="H2609" s="2" t="s">
        <v>214</v>
      </c>
      <c r="I2609" s="18" t="s">
        <v>443</v>
      </c>
      <c r="J2609" s="23"/>
      <c r="K2609" s="2"/>
      <c r="M2609" s="2"/>
    </row>
    <row r="2610" spans="1:13" ht="15.75">
      <c r="A2610" t="s">
        <v>20</v>
      </c>
      <c r="B2610">
        <f ca="1">IF(OR(changes[[#This Row],[Type]]="Checklist",changes[[#This Row],[Type]]="checklist-flat"),1+IF(changes[[#This Row],[Type of change]] = "Edit",COUNTIFS($I$4:changes[[#This Row],[Name]],changes[[#This Row],[Name]], $E$4:changes[[#This Row],[Type of change]], "Edit")),B2609)</f>
        <v>1</v>
      </c>
      <c r="C2610" s="16">
        <v>44903</v>
      </c>
      <c r="D2610" s="1" t="s">
        <v>2393</v>
      </c>
      <c r="E2610" t="s">
        <v>27</v>
      </c>
      <c r="F2610" s="10" t="s">
        <v>52</v>
      </c>
      <c r="G2610" s="18" t="s">
        <v>2940</v>
      </c>
      <c r="H2610" s="2" t="s">
        <v>55</v>
      </c>
      <c r="I2610" s="18" t="s">
        <v>442</v>
      </c>
      <c r="J2610" s="23"/>
      <c r="K2610" s="2"/>
      <c r="M2610" s="2"/>
    </row>
    <row r="2611" spans="1:13" ht="15.75">
      <c r="A2611" t="s">
        <v>20</v>
      </c>
      <c r="B2611">
        <f ca="1">IF(OR(changes[[#This Row],[Type]]="Checklist",changes[[#This Row],[Type]]="checklist-flat"),1+IF(changes[[#This Row],[Type of change]] = "Edit",COUNTIFS($I$4:changes[[#This Row],[Name]],changes[[#This Row],[Name]], $E$4:changes[[#This Row],[Type of change]], "Edit")),B2610)</f>
        <v>1</v>
      </c>
      <c r="C2611" s="16">
        <v>44903</v>
      </c>
      <c r="D2611" s="1" t="s">
        <v>2393</v>
      </c>
      <c r="E2611" t="s">
        <v>27</v>
      </c>
      <c r="F2611" s="10" t="s">
        <v>52</v>
      </c>
      <c r="G2611" s="18" t="s">
        <v>2940</v>
      </c>
      <c r="H2611" s="2" t="s">
        <v>479</v>
      </c>
      <c r="I2611" s="18" t="s">
        <v>2037</v>
      </c>
      <c r="J2611" s="23"/>
      <c r="K2611" s="2"/>
      <c r="M2611" s="2"/>
    </row>
    <row r="2612" spans="1:13" ht="15.75">
      <c r="A2612" t="s">
        <v>20</v>
      </c>
      <c r="B2612">
        <f ca="1">IF(OR(changes[[#This Row],[Type]]="Checklist",changes[[#This Row],[Type]]="checklist-flat"),1+IF(changes[[#This Row],[Type of change]] = "Edit",COUNTIFS($I$4:changes[[#This Row],[Name]],changes[[#This Row],[Name]], $E$4:changes[[#This Row],[Type of change]], "Edit")),B2611)</f>
        <v>1</v>
      </c>
      <c r="C2612" s="16">
        <v>44903</v>
      </c>
      <c r="D2612" s="1" t="s">
        <v>2393</v>
      </c>
      <c r="E2612" t="s">
        <v>27</v>
      </c>
      <c r="F2612" s="10" t="s">
        <v>52</v>
      </c>
      <c r="G2612" s="18" t="s">
        <v>2940</v>
      </c>
      <c r="H2612" s="2" t="s">
        <v>55</v>
      </c>
      <c r="I2612" s="18" t="s">
        <v>2038</v>
      </c>
      <c r="J2612" s="23"/>
      <c r="K2612" s="2"/>
      <c r="M2612" s="2"/>
    </row>
    <row r="2613" spans="1:13" ht="15.75">
      <c r="A2613" t="s">
        <v>20</v>
      </c>
      <c r="B2613">
        <f ca="1">IF(OR(changes[[#This Row],[Type]]="Checklist",changes[[#This Row],[Type]]="checklist-flat"),1+IF(changes[[#This Row],[Type of change]] = "Edit",COUNTIFS($I$4:changes[[#This Row],[Name]],changes[[#This Row],[Name]], $E$4:changes[[#This Row],[Type of change]], "Edit")),B2612)</f>
        <v>1</v>
      </c>
      <c r="C2613" s="16">
        <v>44903</v>
      </c>
      <c r="D2613" s="1" t="s">
        <v>2393</v>
      </c>
      <c r="E2613" t="s">
        <v>27</v>
      </c>
      <c r="F2613" s="10" t="s">
        <v>52</v>
      </c>
      <c r="G2613" s="18" t="s">
        <v>2940</v>
      </c>
      <c r="H2613" s="2" t="s">
        <v>437</v>
      </c>
      <c r="I2613" s="18" t="s">
        <v>2039</v>
      </c>
      <c r="J2613" s="23" t="s">
        <v>2040</v>
      </c>
      <c r="K2613" s="2"/>
      <c r="M2613" s="2"/>
    </row>
    <row r="2614" spans="1:13" ht="15.75">
      <c r="A2614" t="s">
        <v>20</v>
      </c>
      <c r="B2614">
        <f ca="1">IF(OR(changes[[#This Row],[Type]]="Checklist",changes[[#This Row],[Type]]="checklist-flat"),1+IF(changes[[#This Row],[Type of change]] = "Edit",COUNTIFS($I$4:changes[[#This Row],[Name]],changes[[#This Row],[Name]], $E$4:changes[[#This Row],[Type of change]], "Edit")),B2613)</f>
        <v>1</v>
      </c>
      <c r="C2614" s="16">
        <v>44903</v>
      </c>
      <c r="D2614" s="1" t="s">
        <v>2393</v>
      </c>
      <c r="E2614" t="s">
        <v>27</v>
      </c>
      <c r="F2614" s="10" t="s">
        <v>52</v>
      </c>
      <c r="G2614" s="18" t="s">
        <v>2940</v>
      </c>
      <c r="H2614" s="2" t="s">
        <v>437</v>
      </c>
      <c r="I2614" s="18" t="s">
        <v>2041</v>
      </c>
      <c r="J2614" s="23" t="s">
        <v>2040</v>
      </c>
      <c r="K2614" s="2"/>
      <c r="M2614" s="2"/>
    </row>
    <row r="2615" spans="1:13" ht="15.75">
      <c r="A2615" t="s">
        <v>20</v>
      </c>
      <c r="B2615">
        <f ca="1">IF(OR(changes[[#This Row],[Type]]="Checklist",changes[[#This Row],[Type]]="checklist-flat"),1+IF(changes[[#This Row],[Type of change]] = "Edit",COUNTIFS($I$4:changes[[#This Row],[Name]],changes[[#This Row],[Name]], $E$4:changes[[#This Row],[Type of change]], "Edit")),B2614)</f>
        <v>1</v>
      </c>
      <c r="C2615" s="16">
        <v>44903</v>
      </c>
      <c r="D2615" s="1" t="s">
        <v>2393</v>
      </c>
      <c r="E2615" t="s">
        <v>27</v>
      </c>
      <c r="F2615" s="10" t="s">
        <v>52</v>
      </c>
      <c r="G2615" s="18" t="s">
        <v>2940</v>
      </c>
      <c r="H2615" s="2" t="s">
        <v>437</v>
      </c>
      <c r="I2615" s="18" t="s">
        <v>2042</v>
      </c>
      <c r="J2615" s="23" t="s">
        <v>2040</v>
      </c>
      <c r="K2615" s="2"/>
      <c r="M2615" s="2"/>
    </row>
    <row r="2616" spans="1:13" ht="15.75">
      <c r="A2616" t="s">
        <v>20</v>
      </c>
      <c r="B2616">
        <f ca="1">IF(OR(changes[[#This Row],[Type]]="Checklist",changes[[#This Row],[Type]]="checklist-flat"),1+IF(changes[[#This Row],[Type of change]] = "Edit",COUNTIFS($I$4:changes[[#This Row],[Name]],changes[[#This Row],[Name]], $E$4:changes[[#This Row],[Type of change]], "Edit")),B2615)</f>
        <v>1</v>
      </c>
      <c r="C2616" s="16">
        <v>44903</v>
      </c>
      <c r="D2616" s="1" t="s">
        <v>2393</v>
      </c>
      <c r="E2616" t="s">
        <v>27</v>
      </c>
      <c r="F2616" s="10" t="s">
        <v>52</v>
      </c>
      <c r="G2616" s="18" t="s">
        <v>2940</v>
      </c>
      <c r="H2616" s="2" t="s">
        <v>437</v>
      </c>
      <c r="I2616" s="18" t="s">
        <v>2043</v>
      </c>
      <c r="J2616" s="23" t="s">
        <v>2040</v>
      </c>
      <c r="K2616" s="2"/>
      <c r="M2616" s="2"/>
    </row>
    <row r="2617" spans="1:13" ht="15.75">
      <c r="A2617" t="s">
        <v>20</v>
      </c>
      <c r="B2617">
        <f ca="1">IF(OR(changes[[#This Row],[Type]]="Checklist",changes[[#This Row],[Type]]="checklist-flat"),1+IF(changes[[#This Row],[Type of change]] = "Edit",COUNTIFS($I$4:changes[[#This Row],[Name]],changes[[#This Row],[Name]], $E$4:changes[[#This Row],[Type of change]], "Edit")),B2616)</f>
        <v>1</v>
      </c>
      <c r="C2617" s="16">
        <v>44903</v>
      </c>
      <c r="D2617" s="1" t="s">
        <v>2393</v>
      </c>
      <c r="E2617" t="s">
        <v>27</v>
      </c>
      <c r="F2617" s="10" t="s">
        <v>52</v>
      </c>
      <c r="G2617" s="18" t="s">
        <v>2940</v>
      </c>
      <c r="H2617" s="2" t="s">
        <v>437</v>
      </c>
      <c r="I2617" s="18" t="s">
        <v>2044</v>
      </c>
      <c r="J2617" s="23" t="s">
        <v>2040</v>
      </c>
      <c r="K2617" s="2"/>
      <c r="M2617" s="2"/>
    </row>
    <row r="2618" spans="1:13" ht="15.75">
      <c r="A2618" t="s">
        <v>20</v>
      </c>
      <c r="B2618">
        <f ca="1">IF(OR(changes[[#This Row],[Type]]="Checklist",changes[[#This Row],[Type]]="checklist-flat"),1+IF(changes[[#This Row],[Type of change]] = "Edit",COUNTIFS($I$4:changes[[#This Row],[Name]],changes[[#This Row],[Name]], $E$4:changes[[#This Row],[Type of change]], "Edit")),B2617)</f>
        <v>1</v>
      </c>
      <c r="C2618" s="16">
        <v>44903</v>
      </c>
      <c r="D2618" s="1" t="s">
        <v>2393</v>
      </c>
      <c r="E2618" t="s">
        <v>27</v>
      </c>
      <c r="F2618" s="10" t="s">
        <v>52</v>
      </c>
      <c r="G2618" s="18" t="s">
        <v>2940</v>
      </c>
      <c r="H2618" s="2" t="s">
        <v>55</v>
      </c>
      <c r="I2618" s="18" t="s">
        <v>2045</v>
      </c>
      <c r="J2618" s="23"/>
      <c r="K2618" s="2"/>
      <c r="M2618" s="2"/>
    </row>
    <row r="2619" spans="1:13" ht="15.75">
      <c r="A2619" t="s">
        <v>20</v>
      </c>
      <c r="B2619">
        <f ca="1">IF(OR(changes[[#This Row],[Type]]="Checklist",changes[[#This Row],[Type]]="checklist-flat"),1+IF(changes[[#This Row],[Type of change]] = "Edit",COUNTIFS($I$4:changes[[#This Row],[Name]],changes[[#This Row],[Name]], $E$4:changes[[#This Row],[Type of change]], "Edit")),B2618)</f>
        <v>1</v>
      </c>
      <c r="C2619" s="16">
        <v>44903</v>
      </c>
      <c r="D2619" s="1" t="s">
        <v>2393</v>
      </c>
      <c r="E2619" t="s">
        <v>27</v>
      </c>
      <c r="F2619" s="10" t="s">
        <v>52</v>
      </c>
      <c r="G2619" s="18" t="s">
        <v>2940</v>
      </c>
      <c r="H2619" s="2" t="s">
        <v>437</v>
      </c>
      <c r="I2619" s="18" t="s">
        <v>438</v>
      </c>
      <c r="J2619" s="23" t="s">
        <v>439</v>
      </c>
      <c r="K2619" s="2"/>
      <c r="M2619" s="2"/>
    </row>
    <row r="2620" spans="1:13" ht="15.75">
      <c r="A2620" t="s">
        <v>20</v>
      </c>
      <c r="B2620">
        <f ca="1">IF(OR(changes[[#This Row],[Type]]="Checklist",changes[[#This Row],[Type]]="checklist-flat"),1+IF(changes[[#This Row],[Type of change]] = "Edit",COUNTIFS($I$4:changes[[#This Row],[Name]],changes[[#This Row],[Name]], $E$4:changes[[#This Row],[Type of change]], "Edit")),B2619)</f>
        <v>1</v>
      </c>
      <c r="C2620" s="16">
        <v>44903</v>
      </c>
      <c r="D2620" s="1" t="s">
        <v>2393</v>
      </c>
      <c r="E2620" t="s">
        <v>27</v>
      </c>
      <c r="F2620" s="10" t="s">
        <v>52</v>
      </c>
      <c r="G2620" s="18" t="s">
        <v>2940</v>
      </c>
      <c r="H2620" s="2" t="s">
        <v>214</v>
      </c>
      <c r="I2620" s="18" t="s">
        <v>2046</v>
      </c>
      <c r="J2620" s="23"/>
      <c r="K2620" s="2"/>
      <c r="M2620" s="2"/>
    </row>
    <row r="2621" spans="1:13" ht="15.75">
      <c r="A2621" t="s">
        <v>20</v>
      </c>
      <c r="B2621">
        <f ca="1">IF(OR(changes[[#This Row],[Type]]="Checklist",changes[[#This Row],[Type]]="checklist-flat"),1+IF(changes[[#This Row],[Type of change]] = "Edit",COUNTIFS($I$4:changes[[#This Row],[Name]],changes[[#This Row],[Name]], $E$4:changes[[#This Row],[Type of change]], "Edit")),B2620)</f>
        <v>1</v>
      </c>
      <c r="C2621" s="16">
        <v>44903</v>
      </c>
      <c r="D2621" s="1" t="s">
        <v>2393</v>
      </c>
      <c r="E2621" t="s">
        <v>27</v>
      </c>
      <c r="F2621" s="10" t="s">
        <v>52</v>
      </c>
      <c r="G2621" s="18" t="s">
        <v>2048</v>
      </c>
      <c r="H2621" s="2" t="s">
        <v>478</v>
      </c>
      <c r="I2621" s="18" t="s">
        <v>2048</v>
      </c>
      <c r="J2621" s="23"/>
      <c r="K2621" s="2"/>
      <c r="M2621" s="2"/>
    </row>
    <row r="2622" spans="1:13" ht="15.75">
      <c r="A2622" t="s">
        <v>20</v>
      </c>
      <c r="B2622">
        <f ca="1">IF(OR(changes[[#This Row],[Type]]="Checklist",changes[[#This Row],[Type]]="checklist-flat"),1+IF(changes[[#This Row],[Type of change]] = "Edit",COUNTIFS($I$4:changes[[#This Row],[Name]],changes[[#This Row],[Name]], $E$4:changes[[#This Row],[Type of change]], "Edit")),B2621)</f>
        <v>1</v>
      </c>
      <c r="C2622" s="16">
        <v>44903</v>
      </c>
      <c r="D2622" s="1" t="s">
        <v>2393</v>
      </c>
      <c r="E2622" t="s">
        <v>27</v>
      </c>
      <c r="F2622" s="10" t="s">
        <v>52</v>
      </c>
      <c r="G2622" s="18" t="s">
        <v>2048</v>
      </c>
      <c r="H2622" s="2" t="s">
        <v>479</v>
      </c>
      <c r="I2622" s="18" t="s">
        <v>2049</v>
      </c>
      <c r="J2622" s="23"/>
      <c r="K2622" s="2"/>
      <c r="M2622" s="2"/>
    </row>
    <row r="2623" spans="1:13" ht="15.75">
      <c r="A2623" t="s">
        <v>20</v>
      </c>
      <c r="B2623">
        <f ca="1">IF(OR(changes[[#This Row],[Type]]="Checklist",changes[[#This Row],[Type]]="checklist-flat"),1+IF(changes[[#This Row],[Type of change]] = "Edit",COUNTIFS($I$4:changes[[#This Row],[Name]],changes[[#This Row],[Name]], $E$4:changes[[#This Row],[Type of change]], "Edit")),B2622)</f>
        <v>1</v>
      </c>
      <c r="C2623" s="16">
        <v>44903</v>
      </c>
      <c r="D2623" s="1" t="s">
        <v>2393</v>
      </c>
      <c r="E2623" t="s">
        <v>27</v>
      </c>
      <c r="F2623" s="10" t="s">
        <v>52</v>
      </c>
      <c r="G2623" s="18" t="s">
        <v>2048</v>
      </c>
      <c r="H2623" s="2" t="s">
        <v>55</v>
      </c>
      <c r="I2623" s="18" t="s">
        <v>2025</v>
      </c>
      <c r="J2623" s="23"/>
      <c r="K2623" s="2"/>
      <c r="M2623" s="2"/>
    </row>
    <row r="2624" spans="1:13" ht="15.75">
      <c r="A2624" t="s">
        <v>20</v>
      </c>
      <c r="B2624">
        <f ca="1">IF(OR(changes[[#This Row],[Type]]="Checklist",changes[[#This Row],[Type]]="checklist-flat"),1+IF(changes[[#This Row],[Type of change]] = "Edit",COUNTIFS($I$4:changes[[#This Row],[Name]],changes[[#This Row],[Name]], $E$4:changes[[#This Row],[Type of change]], "Edit")),B2623)</f>
        <v>1</v>
      </c>
      <c r="C2624" s="16">
        <v>44903</v>
      </c>
      <c r="D2624" s="1" t="s">
        <v>2393</v>
      </c>
      <c r="E2624" t="s">
        <v>27</v>
      </c>
      <c r="F2624" s="10" t="s">
        <v>52</v>
      </c>
      <c r="G2624" s="18" t="s">
        <v>2048</v>
      </c>
      <c r="H2624" s="2" t="s">
        <v>55</v>
      </c>
      <c r="I2624" s="18" t="s">
        <v>2050</v>
      </c>
      <c r="J2624" s="23"/>
      <c r="K2624" s="2"/>
      <c r="M2624" s="2"/>
    </row>
    <row r="2625" spans="1:13" ht="15.75">
      <c r="A2625" t="s">
        <v>20</v>
      </c>
      <c r="B2625">
        <f ca="1">IF(OR(changes[[#This Row],[Type]]="Checklist",changes[[#This Row],[Type]]="checklist-flat"),1+IF(changes[[#This Row],[Type of change]] = "Edit",COUNTIFS($I$4:changes[[#This Row],[Name]],changes[[#This Row],[Name]], $E$4:changes[[#This Row],[Type of change]], "Edit")),B2624)</f>
        <v>1</v>
      </c>
      <c r="C2625" s="16">
        <v>44903</v>
      </c>
      <c r="D2625" s="1" t="s">
        <v>2393</v>
      </c>
      <c r="E2625" t="s">
        <v>27</v>
      </c>
      <c r="F2625" s="10" t="s">
        <v>52</v>
      </c>
      <c r="G2625" s="18" t="s">
        <v>2048</v>
      </c>
      <c r="H2625" s="2" t="s">
        <v>55</v>
      </c>
      <c r="I2625" s="18" t="s">
        <v>2051</v>
      </c>
      <c r="J2625" s="23"/>
      <c r="K2625" s="2"/>
      <c r="M2625" s="2"/>
    </row>
    <row r="2626" spans="1:13" ht="15.75">
      <c r="A2626" t="s">
        <v>20</v>
      </c>
      <c r="B2626">
        <f ca="1">IF(OR(changes[[#This Row],[Type]]="Checklist",changes[[#This Row],[Type]]="checklist-flat"),1+IF(changes[[#This Row],[Type of change]] = "Edit",COUNTIFS($I$4:changes[[#This Row],[Name]],changes[[#This Row],[Name]], $E$4:changes[[#This Row],[Type of change]], "Edit")),B2625)</f>
        <v>1</v>
      </c>
      <c r="C2626" s="16">
        <v>44903</v>
      </c>
      <c r="D2626" s="1" t="s">
        <v>2393</v>
      </c>
      <c r="E2626" t="s">
        <v>27</v>
      </c>
      <c r="F2626" s="10" t="s">
        <v>52</v>
      </c>
      <c r="G2626" s="18" t="s">
        <v>2048</v>
      </c>
      <c r="H2626" s="2" t="s">
        <v>437</v>
      </c>
      <c r="I2626" s="18" t="s">
        <v>438</v>
      </c>
      <c r="J2626" s="23" t="s">
        <v>439</v>
      </c>
      <c r="K2626" s="2"/>
      <c r="M2626" s="2"/>
    </row>
    <row r="2627" spans="1:13" ht="15.75">
      <c r="A2627" t="s">
        <v>20</v>
      </c>
      <c r="B2627">
        <f ca="1">IF(OR(changes[[#This Row],[Type]]="Checklist",changes[[#This Row],[Type]]="checklist-flat"),1+IF(changes[[#This Row],[Type of change]] = "Edit",COUNTIFS($I$4:changes[[#This Row],[Name]],changes[[#This Row],[Name]], $E$4:changes[[#This Row],[Type of change]], "Edit")),B2626)</f>
        <v>1</v>
      </c>
      <c r="C2627" s="16">
        <v>44903</v>
      </c>
      <c r="D2627" s="1" t="s">
        <v>2393</v>
      </c>
      <c r="E2627" t="s">
        <v>27</v>
      </c>
      <c r="F2627" s="10" t="s">
        <v>52</v>
      </c>
      <c r="G2627" s="18" t="s">
        <v>2048</v>
      </c>
      <c r="H2627" s="2" t="s">
        <v>214</v>
      </c>
      <c r="I2627" s="18" t="s">
        <v>443</v>
      </c>
      <c r="J2627" s="23"/>
      <c r="K2627" s="2"/>
      <c r="M2627" s="2"/>
    </row>
    <row r="2628" spans="1:13" ht="15.75">
      <c r="A2628" t="s">
        <v>20</v>
      </c>
      <c r="B2628">
        <f ca="1">IF(OR(changes[[#This Row],[Type]]="Checklist",changes[[#This Row],[Type]]="checklist-flat"),1+IF(changes[[#This Row],[Type of change]] = "Edit",COUNTIFS($I$4:changes[[#This Row],[Name]],changes[[#This Row],[Name]], $E$4:changes[[#This Row],[Type of change]], "Edit")),B2627)</f>
        <v>1</v>
      </c>
      <c r="C2628" s="16">
        <v>44903</v>
      </c>
      <c r="D2628" s="1" t="s">
        <v>2393</v>
      </c>
      <c r="E2628" t="s">
        <v>27</v>
      </c>
      <c r="F2628" s="10" t="s">
        <v>52</v>
      </c>
      <c r="G2628" s="18" t="s">
        <v>2048</v>
      </c>
      <c r="H2628" s="2" t="s">
        <v>55</v>
      </c>
      <c r="I2628" s="18" t="s">
        <v>442</v>
      </c>
      <c r="J2628" s="23"/>
      <c r="K2628" s="2"/>
      <c r="M2628" s="2"/>
    </row>
    <row r="2629" spans="1:13" ht="15.75">
      <c r="A2629" t="s">
        <v>20</v>
      </c>
      <c r="B2629">
        <f ca="1">IF(OR(changes[[#This Row],[Type]]="Checklist",changes[[#This Row],[Type]]="checklist-flat"),1+IF(changes[[#This Row],[Type of change]] = "Edit",COUNTIFS($I$4:changes[[#This Row],[Name]],changes[[#This Row],[Name]], $E$4:changes[[#This Row],[Type of change]], "Edit")),B2628)</f>
        <v>1</v>
      </c>
      <c r="C2629" s="16">
        <v>44903</v>
      </c>
      <c r="D2629" s="1" t="s">
        <v>2393</v>
      </c>
      <c r="E2629" t="s">
        <v>27</v>
      </c>
      <c r="F2629" s="10" t="s">
        <v>52</v>
      </c>
      <c r="G2629" s="18" t="s">
        <v>2048</v>
      </c>
      <c r="H2629" s="2" t="s">
        <v>479</v>
      </c>
      <c r="I2629" s="18" t="s">
        <v>2052</v>
      </c>
      <c r="J2629" s="23"/>
      <c r="K2629" s="2"/>
      <c r="M2629" s="2"/>
    </row>
    <row r="2630" spans="1:13" ht="15.75">
      <c r="A2630" t="s">
        <v>20</v>
      </c>
      <c r="B2630">
        <f ca="1">IF(OR(changes[[#This Row],[Type]]="Checklist",changes[[#This Row],[Type]]="checklist-flat"),1+IF(changes[[#This Row],[Type of change]] = "Edit",COUNTIFS($I$4:changes[[#This Row],[Name]],changes[[#This Row],[Name]], $E$4:changes[[#This Row],[Type of change]], "Edit")),B2629)</f>
        <v>1</v>
      </c>
      <c r="C2630" s="16">
        <v>44903</v>
      </c>
      <c r="D2630" s="1" t="s">
        <v>2393</v>
      </c>
      <c r="E2630" t="s">
        <v>27</v>
      </c>
      <c r="F2630" s="10" t="s">
        <v>52</v>
      </c>
      <c r="G2630" s="18" t="s">
        <v>2048</v>
      </c>
      <c r="H2630" s="2" t="s">
        <v>55</v>
      </c>
      <c r="I2630" s="18" t="s">
        <v>2025</v>
      </c>
      <c r="J2630" s="23"/>
      <c r="K2630" s="2"/>
      <c r="M2630" s="2"/>
    </row>
    <row r="2631" spans="1:13" ht="15.75">
      <c r="A2631" t="s">
        <v>20</v>
      </c>
      <c r="B2631">
        <f ca="1">IF(OR(changes[[#This Row],[Type]]="Checklist",changes[[#This Row],[Type]]="checklist-flat"),1+IF(changes[[#This Row],[Type of change]] = "Edit",COUNTIFS($I$4:changes[[#This Row],[Name]],changes[[#This Row],[Name]], $E$4:changes[[#This Row],[Type of change]], "Edit")),B2630)</f>
        <v>1</v>
      </c>
      <c r="C2631" s="16">
        <v>44903</v>
      </c>
      <c r="D2631" s="1" t="s">
        <v>2393</v>
      </c>
      <c r="E2631" t="s">
        <v>27</v>
      </c>
      <c r="F2631" s="10" t="s">
        <v>52</v>
      </c>
      <c r="G2631" s="18" t="s">
        <v>2048</v>
      </c>
      <c r="H2631" s="2" t="s">
        <v>55</v>
      </c>
      <c r="I2631" s="18" t="s">
        <v>2053</v>
      </c>
      <c r="J2631" s="23"/>
      <c r="K2631" s="2"/>
      <c r="M2631" s="2"/>
    </row>
    <row r="2632" spans="1:13" ht="15.75">
      <c r="A2632" t="s">
        <v>20</v>
      </c>
      <c r="B2632">
        <f ca="1">IF(OR(changes[[#This Row],[Type]]="Checklist",changes[[#This Row],[Type]]="checklist-flat"),1+IF(changes[[#This Row],[Type of change]] = "Edit",COUNTIFS($I$4:changes[[#This Row],[Name]],changes[[#This Row],[Name]], $E$4:changes[[#This Row],[Type of change]], "Edit")),B2631)</f>
        <v>1</v>
      </c>
      <c r="C2632" s="16">
        <v>44903</v>
      </c>
      <c r="D2632" s="1" t="s">
        <v>2393</v>
      </c>
      <c r="E2632" t="s">
        <v>27</v>
      </c>
      <c r="F2632" s="10" t="s">
        <v>52</v>
      </c>
      <c r="G2632" s="18" t="s">
        <v>2048</v>
      </c>
      <c r="H2632" s="2" t="s">
        <v>55</v>
      </c>
      <c r="I2632" s="18" t="s">
        <v>2054</v>
      </c>
      <c r="J2632" s="23"/>
      <c r="K2632" s="2"/>
      <c r="M2632" s="2"/>
    </row>
    <row r="2633" spans="1:13" ht="15.75">
      <c r="A2633" t="s">
        <v>20</v>
      </c>
      <c r="B2633">
        <f ca="1">IF(OR(changes[[#This Row],[Type]]="Checklist",changes[[#This Row],[Type]]="checklist-flat"),1+IF(changes[[#This Row],[Type of change]] = "Edit",COUNTIFS($I$4:changes[[#This Row],[Name]],changes[[#This Row],[Name]], $E$4:changes[[#This Row],[Type of change]], "Edit")),B2632)</f>
        <v>1</v>
      </c>
      <c r="C2633" s="16">
        <v>44903</v>
      </c>
      <c r="D2633" s="1" t="s">
        <v>2393</v>
      </c>
      <c r="E2633" t="s">
        <v>27</v>
      </c>
      <c r="F2633" s="10" t="s">
        <v>52</v>
      </c>
      <c r="G2633" s="18" t="s">
        <v>2048</v>
      </c>
      <c r="H2633" s="2" t="s">
        <v>55</v>
      </c>
      <c r="I2633" s="18" t="s">
        <v>2055</v>
      </c>
      <c r="J2633" s="23"/>
      <c r="K2633" s="2"/>
      <c r="M2633" s="2"/>
    </row>
    <row r="2634" spans="1:13" ht="15.75">
      <c r="A2634" t="s">
        <v>20</v>
      </c>
      <c r="B2634">
        <f ca="1">IF(OR(changes[[#This Row],[Type]]="Checklist",changes[[#This Row],[Type]]="checklist-flat"),1+IF(changes[[#This Row],[Type of change]] = "Edit",COUNTIFS($I$4:changes[[#This Row],[Name]],changes[[#This Row],[Name]], $E$4:changes[[#This Row],[Type of change]], "Edit")),B2633)</f>
        <v>1</v>
      </c>
      <c r="C2634" s="16">
        <v>44903</v>
      </c>
      <c r="D2634" s="1" t="s">
        <v>2393</v>
      </c>
      <c r="E2634" t="s">
        <v>27</v>
      </c>
      <c r="F2634" s="10" t="s">
        <v>52</v>
      </c>
      <c r="G2634" s="18" t="s">
        <v>2048</v>
      </c>
      <c r="H2634" s="2" t="s">
        <v>55</v>
      </c>
      <c r="I2634" s="18" t="s">
        <v>2056</v>
      </c>
      <c r="J2634" s="23"/>
      <c r="K2634" s="2"/>
      <c r="M2634" s="2"/>
    </row>
    <row r="2635" spans="1:13" ht="15.75">
      <c r="A2635" t="s">
        <v>20</v>
      </c>
      <c r="B2635">
        <f ca="1">IF(OR(changes[[#This Row],[Type]]="Checklist",changes[[#This Row],[Type]]="checklist-flat"),1+IF(changes[[#This Row],[Type of change]] = "Edit",COUNTIFS($I$4:changes[[#This Row],[Name]],changes[[#This Row],[Name]], $E$4:changes[[#This Row],[Type of change]], "Edit")),B2634)</f>
        <v>1</v>
      </c>
      <c r="C2635" s="16">
        <v>44903</v>
      </c>
      <c r="D2635" s="1" t="s">
        <v>2393</v>
      </c>
      <c r="E2635" t="s">
        <v>27</v>
      </c>
      <c r="F2635" s="10" t="s">
        <v>52</v>
      </c>
      <c r="G2635" s="18" t="s">
        <v>2048</v>
      </c>
      <c r="H2635" s="2" t="s">
        <v>437</v>
      </c>
      <c r="I2635" s="18" t="s">
        <v>438</v>
      </c>
      <c r="J2635" s="23" t="s">
        <v>439</v>
      </c>
      <c r="K2635" s="2"/>
      <c r="M2635" s="2"/>
    </row>
    <row r="2636" spans="1:13" ht="15.75">
      <c r="A2636" t="s">
        <v>20</v>
      </c>
      <c r="B2636">
        <f ca="1">IF(OR(changes[[#This Row],[Type]]="Checklist",changes[[#This Row],[Type]]="checklist-flat"),1+IF(changes[[#This Row],[Type of change]] = "Edit",COUNTIFS($I$4:changes[[#This Row],[Name]],changes[[#This Row],[Name]], $E$4:changes[[#This Row],[Type of change]], "Edit")),B2635)</f>
        <v>1</v>
      </c>
      <c r="C2636" s="16">
        <v>44903</v>
      </c>
      <c r="D2636" s="1" t="s">
        <v>2393</v>
      </c>
      <c r="E2636" t="s">
        <v>27</v>
      </c>
      <c r="F2636" s="10" t="s">
        <v>52</v>
      </c>
      <c r="G2636" s="18" t="s">
        <v>2048</v>
      </c>
      <c r="H2636" s="2" t="s">
        <v>214</v>
      </c>
      <c r="I2636" s="18" t="s">
        <v>443</v>
      </c>
      <c r="J2636" s="23"/>
      <c r="K2636" s="2"/>
      <c r="M2636" s="2"/>
    </row>
    <row r="2637" spans="1:13" ht="15.75">
      <c r="A2637" t="s">
        <v>20</v>
      </c>
      <c r="B2637">
        <f ca="1">IF(OR(changes[[#This Row],[Type]]="Checklist",changes[[#This Row],[Type]]="checklist-flat"),1+IF(changes[[#This Row],[Type of change]] = "Edit",COUNTIFS($I$4:changes[[#This Row],[Name]],changes[[#This Row],[Name]], $E$4:changes[[#This Row],[Type of change]], "Edit")),B2636)</f>
        <v>1</v>
      </c>
      <c r="C2637" s="16">
        <v>44903</v>
      </c>
      <c r="D2637" s="1" t="s">
        <v>2393</v>
      </c>
      <c r="E2637" t="s">
        <v>27</v>
      </c>
      <c r="F2637" s="10" t="s">
        <v>52</v>
      </c>
      <c r="G2637" s="18" t="s">
        <v>2048</v>
      </c>
      <c r="H2637" s="2" t="s">
        <v>55</v>
      </c>
      <c r="I2637" s="18" t="s">
        <v>442</v>
      </c>
      <c r="J2637" s="23"/>
      <c r="K2637" s="2"/>
      <c r="M2637" s="2"/>
    </row>
    <row r="2638" spans="1:13" ht="15.75">
      <c r="A2638" t="s">
        <v>20</v>
      </c>
      <c r="B2638">
        <f ca="1">IF(OR(changes[[#This Row],[Type]]="Checklist",changes[[#This Row],[Type]]="checklist-flat"),1+IF(changes[[#This Row],[Type of change]] = "Edit",COUNTIFS($I$4:changes[[#This Row],[Name]],changes[[#This Row],[Name]], $E$4:changes[[#This Row],[Type of change]], "Edit")),B2637)</f>
        <v>1</v>
      </c>
      <c r="C2638" s="16">
        <v>44903</v>
      </c>
      <c r="D2638" s="1" t="s">
        <v>2393</v>
      </c>
      <c r="E2638" t="s">
        <v>27</v>
      </c>
      <c r="F2638" s="10" t="s">
        <v>52</v>
      </c>
      <c r="G2638" s="18" t="s">
        <v>2048</v>
      </c>
      <c r="H2638" s="2" t="s">
        <v>479</v>
      </c>
      <c r="I2638" s="18" t="s">
        <v>22</v>
      </c>
      <c r="J2638" s="23"/>
      <c r="K2638" s="2"/>
      <c r="M2638" s="2"/>
    </row>
    <row r="2639" spans="1:13" ht="15.75">
      <c r="A2639" t="s">
        <v>20</v>
      </c>
      <c r="B2639">
        <f ca="1">IF(OR(changes[[#This Row],[Type]]="Checklist",changes[[#This Row],[Type]]="checklist-flat"),1+IF(changes[[#This Row],[Type of change]] = "Edit",COUNTIFS($I$4:changes[[#This Row],[Name]],changes[[#This Row],[Name]], $E$4:changes[[#This Row],[Type of change]], "Edit")),B2638)</f>
        <v>1</v>
      </c>
      <c r="C2639" s="16">
        <v>44903</v>
      </c>
      <c r="D2639" s="1" t="s">
        <v>2393</v>
      </c>
      <c r="E2639" t="s">
        <v>27</v>
      </c>
      <c r="F2639" s="10" t="s">
        <v>52</v>
      </c>
      <c r="G2639" s="18" t="s">
        <v>2048</v>
      </c>
      <c r="H2639" s="2" t="s">
        <v>55</v>
      </c>
      <c r="I2639" s="18" t="s">
        <v>2025</v>
      </c>
      <c r="J2639" s="23"/>
      <c r="K2639" s="2"/>
      <c r="M2639" s="2"/>
    </row>
    <row r="2640" spans="1:13" ht="15.75">
      <c r="A2640" t="s">
        <v>20</v>
      </c>
      <c r="B2640">
        <f ca="1">IF(OR(changes[[#This Row],[Type]]="Checklist",changes[[#This Row],[Type]]="checklist-flat"),1+IF(changes[[#This Row],[Type of change]] = "Edit",COUNTIFS($I$4:changes[[#This Row],[Name]],changes[[#This Row],[Name]], $E$4:changes[[#This Row],[Type of change]], "Edit")),B2639)</f>
        <v>1</v>
      </c>
      <c r="C2640" s="16">
        <v>44903</v>
      </c>
      <c r="D2640" s="1" t="s">
        <v>2393</v>
      </c>
      <c r="E2640" t="s">
        <v>27</v>
      </c>
      <c r="F2640" s="10" t="s">
        <v>52</v>
      </c>
      <c r="G2640" s="18" t="s">
        <v>2048</v>
      </c>
      <c r="H2640" s="2" t="s">
        <v>55</v>
      </c>
      <c r="I2640" s="18" t="s">
        <v>2057</v>
      </c>
      <c r="J2640" s="23"/>
      <c r="K2640" s="2"/>
      <c r="M2640" s="2"/>
    </row>
    <row r="2641" spans="1:13" ht="15.75">
      <c r="A2641" t="s">
        <v>20</v>
      </c>
      <c r="B2641">
        <f ca="1">IF(OR(changes[[#This Row],[Type]]="Checklist",changes[[#This Row],[Type]]="checklist-flat"),1+IF(changes[[#This Row],[Type of change]] = "Edit",COUNTIFS($I$4:changes[[#This Row],[Name]],changes[[#This Row],[Name]], $E$4:changes[[#This Row],[Type of change]], "Edit")),B2640)</f>
        <v>1</v>
      </c>
      <c r="C2641" s="16">
        <v>44903</v>
      </c>
      <c r="D2641" s="1" t="s">
        <v>2393</v>
      </c>
      <c r="E2641" t="s">
        <v>27</v>
      </c>
      <c r="F2641" s="10" t="s">
        <v>52</v>
      </c>
      <c r="G2641" s="18" t="s">
        <v>2048</v>
      </c>
      <c r="H2641" s="2" t="s">
        <v>437</v>
      </c>
      <c r="I2641" s="18" t="s">
        <v>2058</v>
      </c>
      <c r="J2641" s="23" t="s">
        <v>2040</v>
      </c>
      <c r="K2641" s="2"/>
      <c r="M2641" s="2"/>
    </row>
    <row r="2642" spans="1:13" ht="15.75">
      <c r="A2642" t="s">
        <v>20</v>
      </c>
      <c r="B2642">
        <f ca="1">IF(OR(changes[[#This Row],[Type]]="Checklist",changes[[#This Row],[Type]]="checklist-flat"),1+IF(changes[[#This Row],[Type of change]] = "Edit",COUNTIFS($I$4:changes[[#This Row],[Name]],changes[[#This Row],[Name]], $E$4:changes[[#This Row],[Type of change]], "Edit")),B2641)</f>
        <v>1</v>
      </c>
      <c r="C2642" s="16">
        <v>44903</v>
      </c>
      <c r="D2642" s="1" t="s">
        <v>2393</v>
      </c>
      <c r="E2642" t="s">
        <v>27</v>
      </c>
      <c r="F2642" s="10" t="s">
        <v>52</v>
      </c>
      <c r="G2642" s="18" t="s">
        <v>2048</v>
      </c>
      <c r="H2642" s="2" t="s">
        <v>437</v>
      </c>
      <c r="I2642" s="18" t="s">
        <v>2059</v>
      </c>
      <c r="J2642" s="23" t="s">
        <v>2040</v>
      </c>
      <c r="K2642" s="2"/>
      <c r="M2642" s="2"/>
    </row>
    <row r="2643" spans="1:13" ht="15.75">
      <c r="A2643" t="s">
        <v>20</v>
      </c>
      <c r="B2643">
        <f ca="1">IF(OR(changes[[#This Row],[Type]]="Checklist",changes[[#This Row],[Type]]="checklist-flat"),1+IF(changes[[#This Row],[Type of change]] = "Edit",COUNTIFS($I$4:changes[[#This Row],[Name]],changes[[#This Row],[Name]], $E$4:changes[[#This Row],[Type of change]], "Edit")),B2642)</f>
        <v>1</v>
      </c>
      <c r="C2643" s="16">
        <v>44903</v>
      </c>
      <c r="D2643" s="1" t="s">
        <v>2393</v>
      </c>
      <c r="E2643" t="s">
        <v>27</v>
      </c>
      <c r="F2643" s="10" t="s">
        <v>52</v>
      </c>
      <c r="G2643" s="18" t="s">
        <v>2048</v>
      </c>
      <c r="H2643" s="2" t="s">
        <v>437</v>
      </c>
      <c r="I2643" s="18" t="s">
        <v>2060</v>
      </c>
      <c r="J2643" s="23" t="s">
        <v>2040</v>
      </c>
      <c r="K2643" s="2"/>
      <c r="M2643" s="2"/>
    </row>
    <row r="2644" spans="1:13" ht="15.75">
      <c r="A2644" t="s">
        <v>20</v>
      </c>
      <c r="B2644">
        <f ca="1">IF(OR(changes[[#This Row],[Type]]="Checklist",changes[[#This Row],[Type]]="checklist-flat"),1+IF(changes[[#This Row],[Type of change]] = "Edit",COUNTIFS($I$4:changes[[#This Row],[Name]],changes[[#This Row],[Name]], $E$4:changes[[#This Row],[Type of change]], "Edit")),B2643)</f>
        <v>1</v>
      </c>
      <c r="C2644" s="16">
        <v>44903</v>
      </c>
      <c r="D2644" s="1" t="s">
        <v>2393</v>
      </c>
      <c r="E2644" t="s">
        <v>27</v>
      </c>
      <c r="F2644" s="10" t="s">
        <v>52</v>
      </c>
      <c r="G2644" s="18" t="s">
        <v>2048</v>
      </c>
      <c r="H2644" s="2" t="s">
        <v>437</v>
      </c>
      <c r="I2644" s="18" t="s">
        <v>2061</v>
      </c>
      <c r="J2644" s="23" t="s">
        <v>2040</v>
      </c>
      <c r="K2644" s="2"/>
      <c r="M2644" s="2"/>
    </row>
    <row r="2645" spans="1:13" ht="15.75">
      <c r="A2645" t="s">
        <v>20</v>
      </c>
      <c r="B2645">
        <f ca="1">IF(OR(changes[[#This Row],[Type]]="Checklist",changes[[#This Row],[Type]]="checklist-flat"),1+IF(changes[[#This Row],[Type of change]] = "Edit",COUNTIFS($I$4:changes[[#This Row],[Name]],changes[[#This Row],[Name]], $E$4:changes[[#This Row],[Type of change]], "Edit")),B2644)</f>
        <v>1</v>
      </c>
      <c r="C2645" s="16">
        <v>44903</v>
      </c>
      <c r="D2645" s="1" t="s">
        <v>2393</v>
      </c>
      <c r="E2645" t="s">
        <v>27</v>
      </c>
      <c r="F2645" s="10" t="s">
        <v>52</v>
      </c>
      <c r="G2645" s="18" t="s">
        <v>2048</v>
      </c>
      <c r="H2645" s="2" t="s">
        <v>437</v>
      </c>
      <c r="I2645" s="18" t="s">
        <v>2062</v>
      </c>
      <c r="J2645" s="23" t="s">
        <v>2040</v>
      </c>
      <c r="K2645" s="2"/>
      <c r="M2645" s="2"/>
    </row>
    <row r="2646" spans="1:13" ht="15.75">
      <c r="A2646" t="s">
        <v>20</v>
      </c>
      <c r="B2646">
        <f ca="1">IF(OR(changes[[#This Row],[Type]]="Checklist",changes[[#This Row],[Type]]="checklist-flat"),1+IF(changes[[#This Row],[Type of change]] = "Edit",COUNTIFS($I$4:changes[[#This Row],[Name]],changes[[#This Row],[Name]], $E$4:changes[[#This Row],[Type of change]], "Edit")),B2645)</f>
        <v>1</v>
      </c>
      <c r="C2646" s="16">
        <v>44903</v>
      </c>
      <c r="D2646" s="1" t="s">
        <v>2393</v>
      </c>
      <c r="E2646" t="s">
        <v>27</v>
      </c>
      <c r="F2646" s="10" t="s">
        <v>52</v>
      </c>
      <c r="G2646" s="18" t="s">
        <v>2048</v>
      </c>
      <c r="H2646" s="2" t="s">
        <v>437</v>
      </c>
      <c r="I2646" s="18" t="s">
        <v>2063</v>
      </c>
      <c r="J2646" s="23" t="s">
        <v>2040</v>
      </c>
      <c r="K2646" s="2"/>
      <c r="M2646" s="2"/>
    </row>
    <row r="2647" spans="1:13" ht="15.75">
      <c r="A2647" t="s">
        <v>20</v>
      </c>
      <c r="B2647">
        <f ca="1">IF(OR(changes[[#This Row],[Type]]="Checklist",changes[[#This Row],[Type]]="checklist-flat"),1+IF(changes[[#This Row],[Type of change]] = "Edit",COUNTIFS($I$4:changes[[#This Row],[Name]],changes[[#This Row],[Name]], $E$4:changes[[#This Row],[Type of change]], "Edit")),B2646)</f>
        <v>1</v>
      </c>
      <c r="C2647" s="16">
        <v>44903</v>
      </c>
      <c r="D2647" s="1" t="s">
        <v>2393</v>
      </c>
      <c r="E2647" t="s">
        <v>27</v>
      </c>
      <c r="F2647" s="10" t="s">
        <v>52</v>
      </c>
      <c r="G2647" s="18" t="s">
        <v>2048</v>
      </c>
      <c r="H2647" s="2" t="s">
        <v>55</v>
      </c>
      <c r="I2647" s="18" t="s">
        <v>2064</v>
      </c>
      <c r="J2647" s="23"/>
      <c r="K2647" s="2"/>
      <c r="M2647" s="2"/>
    </row>
    <row r="2648" spans="1:13" ht="15.75">
      <c r="A2648" t="s">
        <v>20</v>
      </c>
      <c r="B2648">
        <f ca="1">IF(OR(changes[[#This Row],[Type]]="Checklist",changes[[#This Row],[Type]]="checklist-flat"),1+IF(changes[[#This Row],[Type of change]] = "Edit",COUNTIFS($I$4:changes[[#This Row],[Name]],changes[[#This Row],[Name]], $E$4:changes[[#This Row],[Type of change]], "Edit")),B2647)</f>
        <v>1</v>
      </c>
      <c r="C2648" s="16">
        <v>44903</v>
      </c>
      <c r="D2648" s="1" t="s">
        <v>2393</v>
      </c>
      <c r="E2648" t="s">
        <v>27</v>
      </c>
      <c r="F2648" s="10" t="s">
        <v>52</v>
      </c>
      <c r="G2648" s="18" t="s">
        <v>2048</v>
      </c>
      <c r="H2648" s="2" t="s">
        <v>437</v>
      </c>
      <c r="I2648" s="18" t="s">
        <v>438</v>
      </c>
      <c r="J2648" s="23" t="s">
        <v>439</v>
      </c>
      <c r="K2648" s="2"/>
      <c r="M2648" s="2"/>
    </row>
    <row r="2649" spans="1:13" ht="15.75">
      <c r="A2649" t="s">
        <v>20</v>
      </c>
      <c r="B2649">
        <f ca="1">IF(OR(changes[[#This Row],[Type]]="Checklist",changes[[#This Row],[Type]]="checklist-flat"),1+IF(changes[[#This Row],[Type of change]] = "Edit",COUNTIFS($I$4:changes[[#This Row],[Name]],changes[[#This Row],[Name]], $E$4:changes[[#This Row],[Type of change]], "Edit")),B2648)</f>
        <v>1</v>
      </c>
      <c r="C2649" s="16">
        <v>44903</v>
      </c>
      <c r="D2649" s="1" t="s">
        <v>2393</v>
      </c>
      <c r="E2649" t="s">
        <v>27</v>
      </c>
      <c r="F2649" s="10" t="s">
        <v>52</v>
      </c>
      <c r="G2649" s="18" t="s">
        <v>2048</v>
      </c>
      <c r="H2649" s="2" t="s">
        <v>55</v>
      </c>
      <c r="I2649" s="18" t="s">
        <v>2065</v>
      </c>
      <c r="J2649" s="23"/>
      <c r="K2649" s="2"/>
      <c r="M2649" s="2"/>
    </row>
    <row r="2650" spans="1:13" ht="15.75">
      <c r="A2650" t="s">
        <v>20</v>
      </c>
      <c r="B2650">
        <f ca="1">IF(OR(changes[[#This Row],[Type]]="Checklist",changes[[#This Row],[Type]]="checklist-flat"),1+IF(changes[[#This Row],[Type of change]] = "Edit",COUNTIFS($I$4:changes[[#This Row],[Name]],changes[[#This Row],[Name]], $E$4:changes[[#This Row],[Type of change]], "Edit")),B2649)</f>
        <v>1</v>
      </c>
      <c r="C2650" s="16">
        <v>44903</v>
      </c>
      <c r="D2650" s="1" t="s">
        <v>2393</v>
      </c>
      <c r="E2650" t="s">
        <v>27</v>
      </c>
      <c r="F2650" s="10" t="s">
        <v>52</v>
      </c>
      <c r="G2650" s="18" t="s">
        <v>2048</v>
      </c>
      <c r="H2650" s="2" t="s">
        <v>437</v>
      </c>
      <c r="I2650" s="18" t="s">
        <v>438</v>
      </c>
      <c r="J2650" s="23" t="s">
        <v>439</v>
      </c>
      <c r="K2650" s="2"/>
      <c r="M2650" s="2"/>
    </row>
    <row r="2651" spans="1:13" ht="15.75">
      <c r="A2651" t="s">
        <v>20</v>
      </c>
      <c r="B2651">
        <f ca="1">IF(OR(changes[[#This Row],[Type]]="Checklist",changes[[#This Row],[Type]]="checklist-flat"),1+IF(changes[[#This Row],[Type of change]] = "Edit",COUNTIFS($I$4:changes[[#This Row],[Name]],changes[[#This Row],[Name]], $E$4:changes[[#This Row],[Type of change]], "Edit")),B2650)</f>
        <v>1</v>
      </c>
      <c r="C2651" s="16">
        <v>44903</v>
      </c>
      <c r="D2651" s="1" t="s">
        <v>2393</v>
      </c>
      <c r="E2651" t="s">
        <v>27</v>
      </c>
      <c r="F2651" s="10" t="s">
        <v>52</v>
      </c>
      <c r="G2651" s="18" t="s">
        <v>2048</v>
      </c>
      <c r="H2651" s="2" t="s">
        <v>214</v>
      </c>
      <c r="I2651" s="18" t="s">
        <v>2066</v>
      </c>
      <c r="J2651" s="23"/>
      <c r="K2651" s="2"/>
      <c r="M2651" s="2"/>
    </row>
    <row r="2652" spans="1:13" ht="15.75">
      <c r="A2652" t="s">
        <v>20</v>
      </c>
      <c r="B2652">
        <f ca="1">IF(OR(changes[[#This Row],[Type]]="Checklist",changes[[#This Row],[Type]]="checklist-flat"),1+IF(changes[[#This Row],[Type of change]] = "Edit",COUNTIFS($I$4:changes[[#This Row],[Name]],changes[[#This Row],[Name]], $E$4:changes[[#This Row],[Type of change]], "Edit")),B2651)</f>
        <v>1</v>
      </c>
      <c r="C2652" s="16">
        <v>44903</v>
      </c>
      <c r="D2652" s="1" t="s">
        <v>2393</v>
      </c>
      <c r="E2652" t="s">
        <v>27</v>
      </c>
      <c r="F2652" s="10" t="s">
        <v>52</v>
      </c>
      <c r="G2652" s="18" t="s">
        <v>2048</v>
      </c>
      <c r="H2652" s="2" t="s">
        <v>437</v>
      </c>
      <c r="I2652" s="18" t="s">
        <v>2067</v>
      </c>
      <c r="J2652" s="23" t="s">
        <v>2040</v>
      </c>
      <c r="K2652" s="2"/>
      <c r="M2652" s="2"/>
    </row>
    <row r="2653" spans="1:13" ht="15.75">
      <c r="A2653" t="s">
        <v>20</v>
      </c>
      <c r="B2653">
        <f ca="1">IF(OR(changes[[#This Row],[Type]]="Checklist",changes[[#This Row],[Type]]="checklist-flat"),1+IF(changes[[#This Row],[Type of change]] = "Edit",COUNTIFS($I$4:changes[[#This Row],[Name]],changes[[#This Row],[Name]], $E$4:changes[[#This Row],[Type of change]], "Edit")),B2652)</f>
        <v>1</v>
      </c>
      <c r="C2653" s="16">
        <v>44903</v>
      </c>
      <c r="D2653" s="1" t="s">
        <v>2393</v>
      </c>
      <c r="E2653" t="s">
        <v>27</v>
      </c>
      <c r="F2653" s="10" t="s">
        <v>52</v>
      </c>
      <c r="G2653" s="18" t="s">
        <v>2048</v>
      </c>
      <c r="H2653" s="2" t="s">
        <v>437</v>
      </c>
      <c r="I2653" s="18" t="s">
        <v>2068</v>
      </c>
      <c r="J2653" s="23" t="s">
        <v>2040</v>
      </c>
      <c r="K2653" s="2"/>
      <c r="M2653" s="2"/>
    </row>
    <row r="2654" spans="1:13" ht="15.75">
      <c r="A2654" t="s">
        <v>20</v>
      </c>
      <c r="B2654">
        <f ca="1">IF(OR(changes[[#This Row],[Type]]="Checklist",changes[[#This Row],[Type]]="checklist-flat"),1+IF(changes[[#This Row],[Type of change]] = "Edit",COUNTIFS($I$4:changes[[#This Row],[Name]],changes[[#This Row],[Name]], $E$4:changes[[#This Row],[Type of change]], "Edit")),B2653)</f>
        <v>1</v>
      </c>
      <c r="C2654" s="16">
        <v>44903</v>
      </c>
      <c r="D2654" s="1" t="s">
        <v>2393</v>
      </c>
      <c r="E2654" t="s">
        <v>27</v>
      </c>
      <c r="F2654" s="10" t="s">
        <v>52</v>
      </c>
      <c r="G2654" s="18" t="s">
        <v>2048</v>
      </c>
      <c r="H2654" s="2" t="s">
        <v>214</v>
      </c>
      <c r="I2654" s="18" t="s">
        <v>443</v>
      </c>
      <c r="J2654" s="23"/>
      <c r="K2654" s="2"/>
      <c r="M2654" s="2"/>
    </row>
    <row r="2655" spans="1:13" ht="15.75">
      <c r="A2655" t="s">
        <v>20</v>
      </c>
      <c r="B2655">
        <f ca="1">IF(OR(changes[[#This Row],[Type]]="Checklist",changes[[#This Row],[Type]]="checklist-flat"),1+IF(changes[[#This Row],[Type of change]] = "Edit",COUNTIFS($I$4:changes[[#This Row],[Name]],changes[[#This Row],[Name]], $E$4:changes[[#This Row],[Type of change]], "Edit")),B2654)</f>
        <v>1</v>
      </c>
      <c r="C2655" s="16">
        <v>44903</v>
      </c>
      <c r="D2655" s="1" t="s">
        <v>2393</v>
      </c>
      <c r="E2655" t="s">
        <v>27</v>
      </c>
      <c r="F2655" s="10" t="s">
        <v>52</v>
      </c>
      <c r="G2655" s="18" t="s">
        <v>2048</v>
      </c>
      <c r="H2655" s="2" t="s">
        <v>55</v>
      </c>
      <c r="I2655" s="18" t="s">
        <v>442</v>
      </c>
      <c r="J2655" s="23"/>
      <c r="K2655" s="2"/>
      <c r="M2655" s="2"/>
    </row>
    <row r="2656" spans="1:13" ht="15.75">
      <c r="A2656" t="s">
        <v>20</v>
      </c>
      <c r="B2656">
        <f ca="1">IF(OR(changes[[#This Row],[Type]]="Checklist",changes[[#This Row],[Type]]="checklist-flat"),1+IF(changes[[#This Row],[Type of change]] = "Edit",COUNTIFS($I$4:changes[[#This Row],[Name]],changes[[#This Row],[Name]], $E$4:changes[[#This Row],[Type of change]], "Edit")),B2655)</f>
        <v>1</v>
      </c>
      <c r="C2656" s="16">
        <v>44903</v>
      </c>
      <c r="D2656" s="1" t="s">
        <v>2393</v>
      </c>
      <c r="E2656" t="s">
        <v>27</v>
      </c>
      <c r="F2656" s="10" t="s">
        <v>52</v>
      </c>
      <c r="G2656" s="18" t="s">
        <v>2048</v>
      </c>
      <c r="H2656" s="2" t="s">
        <v>479</v>
      </c>
      <c r="I2656" s="18" t="s">
        <v>1242</v>
      </c>
      <c r="J2656" s="23"/>
      <c r="K2656" s="2"/>
      <c r="M2656" s="2"/>
    </row>
    <row r="2657" spans="1:13" ht="15.75">
      <c r="A2657" t="s">
        <v>20</v>
      </c>
      <c r="B2657">
        <f ca="1">IF(OR(changes[[#This Row],[Type]]="Checklist",changes[[#This Row],[Type]]="checklist-flat"),1+IF(changes[[#This Row],[Type of change]] = "Edit",COUNTIFS($I$4:changes[[#This Row],[Name]],changes[[#This Row],[Name]], $E$4:changes[[#This Row],[Type of change]], "Edit")),B2656)</f>
        <v>1</v>
      </c>
      <c r="C2657" s="16">
        <v>44903</v>
      </c>
      <c r="D2657" s="1" t="s">
        <v>2393</v>
      </c>
      <c r="E2657" t="s">
        <v>27</v>
      </c>
      <c r="F2657" s="10" t="s">
        <v>52</v>
      </c>
      <c r="G2657" s="18" t="s">
        <v>2048</v>
      </c>
      <c r="H2657" s="2" t="s">
        <v>55</v>
      </c>
      <c r="I2657" s="18" t="s">
        <v>2025</v>
      </c>
      <c r="J2657" s="23"/>
      <c r="K2657" s="2"/>
      <c r="M2657" s="2"/>
    </row>
    <row r="2658" spans="1:13" ht="15.75">
      <c r="A2658" t="s">
        <v>20</v>
      </c>
      <c r="B2658">
        <f ca="1">IF(OR(changes[[#This Row],[Type]]="Checklist",changes[[#This Row],[Type]]="checklist-flat"),1+IF(changes[[#This Row],[Type of change]] = "Edit",COUNTIFS($I$4:changes[[#This Row],[Name]],changes[[#This Row],[Name]], $E$4:changes[[#This Row],[Type of change]], "Edit")),B2657)</f>
        <v>1</v>
      </c>
      <c r="C2658" s="16">
        <v>44903</v>
      </c>
      <c r="D2658" s="1" t="s">
        <v>2393</v>
      </c>
      <c r="E2658" t="s">
        <v>27</v>
      </c>
      <c r="F2658" s="10" t="s">
        <v>52</v>
      </c>
      <c r="G2658" s="18" t="s">
        <v>2048</v>
      </c>
      <c r="H2658" s="2" t="s">
        <v>55</v>
      </c>
      <c r="I2658" s="18" t="s">
        <v>2069</v>
      </c>
      <c r="J2658" s="23"/>
      <c r="K2658" s="2"/>
      <c r="M2658" s="2"/>
    </row>
    <row r="2659" spans="1:13" ht="15.75">
      <c r="A2659" t="s">
        <v>20</v>
      </c>
      <c r="B2659">
        <f ca="1">IF(OR(changes[[#This Row],[Type]]="Checklist",changes[[#This Row],[Type]]="checklist-flat"),1+IF(changes[[#This Row],[Type of change]] = "Edit",COUNTIFS($I$4:changes[[#This Row],[Name]],changes[[#This Row],[Name]], $E$4:changes[[#This Row],[Type of change]], "Edit")),B2658)</f>
        <v>1</v>
      </c>
      <c r="C2659" s="16">
        <v>44903</v>
      </c>
      <c r="D2659" s="1" t="s">
        <v>2393</v>
      </c>
      <c r="E2659" t="s">
        <v>27</v>
      </c>
      <c r="F2659" s="10" t="s">
        <v>52</v>
      </c>
      <c r="G2659" s="18" t="s">
        <v>2048</v>
      </c>
      <c r="H2659" s="2" t="s">
        <v>437</v>
      </c>
      <c r="I2659" s="18" t="s">
        <v>1246</v>
      </c>
      <c r="J2659" s="23" t="s">
        <v>2040</v>
      </c>
      <c r="K2659" s="2"/>
      <c r="M2659" s="2"/>
    </row>
    <row r="2660" spans="1:13" ht="15.75">
      <c r="A2660" t="s">
        <v>20</v>
      </c>
      <c r="B2660">
        <f ca="1">IF(OR(changes[[#This Row],[Type]]="Checklist",changes[[#This Row],[Type]]="checklist-flat"),1+IF(changes[[#This Row],[Type of change]] = "Edit",COUNTIFS($I$4:changes[[#This Row],[Name]],changes[[#This Row],[Name]], $E$4:changes[[#This Row],[Type of change]], "Edit")),B2659)</f>
        <v>1</v>
      </c>
      <c r="C2660" s="16">
        <v>44903</v>
      </c>
      <c r="D2660" s="1" t="s">
        <v>2393</v>
      </c>
      <c r="E2660" t="s">
        <v>27</v>
      </c>
      <c r="F2660" s="10" t="s">
        <v>52</v>
      </c>
      <c r="G2660" s="18" t="s">
        <v>2048</v>
      </c>
      <c r="H2660" s="2" t="s">
        <v>55</v>
      </c>
      <c r="I2660" s="18" t="s">
        <v>2070</v>
      </c>
      <c r="J2660" s="23"/>
      <c r="K2660" s="2"/>
      <c r="M2660" s="2"/>
    </row>
    <row r="2661" spans="1:13" ht="15.75">
      <c r="A2661" t="s">
        <v>20</v>
      </c>
      <c r="B2661">
        <f ca="1">IF(OR(changes[[#This Row],[Type]]="Checklist",changes[[#This Row],[Type]]="checklist-flat"),1+IF(changes[[#This Row],[Type of change]] = "Edit",COUNTIFS($I$4:changes[[#This Row],[Name]],changes[[#This Row],[Name]], $E$4:changes[[#This Row],[Type of change]], "Edit")),B2660)</f>
        <v>1</v>
      </c>
      <c r="C2661" s="16">
        <v>44903</v>
      </c>
      <c r="D2661" s="1" t="s">
        <v>2393</v>
      </c>
      <c r="E2661" t="s">
        <v>27</v>
      </c>
      <c r="F2661" s="10" t="s">
        <v>52</v>
      </c>
      <c r="G2661" s="18" t="s">
        <v>2048</v>
      </c>
      <c r="H2661" s="2" t="s">
        <v>437</v>
      </c>
      <c r="I2661" s="18" t="s">
        <v>1247</v>
      </c>
      <c r="J2661" s="23" t="s">
        <v>2040</v>
      </c>
      <c r="K2661" s="2"/>
      <c r="M2661" s="2"/>
    </row>
    <row r="2662" spans="1:13" ht="15.75">
      <c r="A2662" t="s">
        <v>20</v>
      </c>
      <c r="B2662">
        <f ca="1">IF(OR(changes[[#This Row],[Type]]="Checklist",changes[[#This Row],[Type]]="checklist-flat"),1+IF(changes[[#This Row],[Type of change]] = "Edit",COUNTIFS($I$4:changes[[#This Row],[Name]],changes[[#This Row],[Name]], $E$4:changes[[#This Row],[Type of change]], "Edit")),B2661)</f>
        <v>1</v>
      </c>
      <c r="C2662" s="16">
        <v>44903</v>
      </c>
      <c r="D2662" s="1" t="s">
        <v>2393</v>
      </c>
      <c r="E2662" t="s">
        <v>27</v>
      </c>
      <c r="F2662" s="10" t="s">
        <v>52</v>
      </c>
      <c r="G2662" s="18" t="s">
        <v>2048</v>
      </c>
      <c r="H2662" s="2" t="s">
        <v>437</v>
      </c>
      <c r="I2662" s="18" t="s">
        <v>1248</v>
      </c>
      <c r="J2662" s="23" t="s">
        <v>2040</v>
      </c>
      <c r="K2662" s="2"/>
      <c r="M2662" s="2"/>
    </row>
    <row r="2663" spans="1:13" ht="15.75">
      <c r="A2663" t="s">
        <v>20</v>
      </c>
      <c r="B2663">
        <f ca="1">IF(OR(changes[[#This Row],[Type]]="Checklist",changes[[#This Row],[Type]]="checklist-flat"),1+IF(changes[[#This Row],[Type of change]] = "Edit",COUNTIFS($I$4:changes[[#This Row],[Name]],changes[[#This Row],[Name]], $E$4:changes[[#This Row],[Type of change]], "Edit")),B2662)</f>
        <v>1</v>
      </c>
      <c r="C2663" s="16">
        <v>44903</v>
      </c>
      <c r="D2663" s="1" t="s">
        <v>2393</v>
      </c>
      <c r="E2663" t="s">
        <v>27</v>
      </c>
      <c r="F2663" s="10" t="s">
        <v>52</v>
      </c>
      <c r="G2663" s="18" t="s">
        <v>2048</v>
      </c>
      <c r="H2663" s="2" t="s">
        <v>437</v>
      </c>
      <c r="I2663" s="18" t="s">
        <v>1249</v>
      </c>
      <c r="J2663" s="23" t="s">
        <v>2040</v>
      </c>
      <c r="K2663" s="2"/>
      <c r="M2663" s="2"/>
    </row>
    <row r="2664" spans="1:13" ht="15.75">
      <c r="A2664" t="s">
        <v>20</v>
      </c>
      <c r="B2664">
        <f ca="1">IF(OR(changes[[#This Row],[Type]]="Checklist",changes[[#This Row],[Type]]="checklist-flat"),1+IF(changes[[#This Row],[Type of change]] = "Edit",COUNTIFS($I$4:changes[[#This Row],[Name]],changes[[#This Row],[Name]], $E$4:changes[[#This Row],[Type of change]], "Edit")),B2663)</f>
        <v>1</v>
      </c>
      <c r="C2664" s="16">
        <v>44903</v>
      </c>
      <c r="D2664" s="1" t="s">
        <v>2393</v>
      </c>
      <c r="E2664" t="s">
        <v>27</v>
      </c>
      <c r="F2664" s="10" t="s">
        <v>52</v>
      </c>
      <c r="G2664" s="18" t="s">
        <v>2048</v>
      </c>
      <c r="H2664" s="2" t="s">
        <v>55</v>
      </c>
      <c r="I2664" s="18" t="s">
        <v>1255</v>
      </c>
      <c r="J2664" s="23"/>
      <c r="K2664" s="2"/>
      <c r="M2664" s="2"/>
    </row>
    <row r="2665" spans="1:13" ht="15.75">
      <c r="A2665" t="s">
        <v>20</v>
      </c>
      <c r="B2665">
        <f ca="1">IF(OR(changes[[#This Row],[Type]]="Checklist",changes[[#This Row],[Type]]="checklist-flat"),1+IF(changes[[#This Row],[Type of change]] = "Edit",COUNTIFS($I$4:changes[[#This Row],[Name]],changes[[#This Row],[Name]], $E$4:changes[[#This Row],[Type of change]], "Edit")),B2664)</f>
        <v>1</v>
      </c>
      <c r="C2665" s="16">
        <v>44903</v>
      </c>
      <c r="D2665" s="1" t="s">
        <v>2393</v>
      </c>
      <c r="E2665" t="s">
        <v>27</v>
      </c>
      <c r="F2665" s="10" t="s">
        <v>52</v>
      </c>
      <c r="G2665" s="18" t="s">
        <v>2048</v>
      </c>
      <c r="H2665" s="2" t="s">
        <v>55</v>
      </c>
      <c r="I2665" s="18" t="s">
        <v>1250</v>
      </c>
      <c r="J2665" s="23"/>
      <c r="K2665" s="2"/>
      <c r="M2665" s="2"/>
    </row>
    <row r="2666" spans="1:13" ht="15.75">
      <c r="A2666" t="s">
        <v>20</v>
      </c>
      <c r="B2666">
        <f ca="1">IF(OR(changes[[#This Row],[Type]]="Checklist",changes[[#This Row],[Type]]="checklist-flat"),1+IF(changes[[#This Row],[Type of change]] = "Edit",COUNTIFS($I$4:changes[[#This Row],[Name]],changes[[#This Row],[Name]], $E$4:changes[[#This Row],[Type of change]], "Edit")),B2665)</f>
        <v>1</v>
      </c>
      <c r="C2666" s="16">
        <v>44903</v>
      </c>
      <c r="D2666" s="1" t="s">
        <v>2393</v>
      </c>
      <c r="E2666" t="s">
        <v>27</v>
      </c>
      <c r="F2666" s="10" t="s">
        <v>52</v>
      </c>
      <c r="G2666" s="18" t="s">
        <v>2048</v>
      </c>
      <c r="H2666" s="2" t="s">
        <v>437</v>
      </c>
      <c r="I2666" s="18" t="s">
        <v>1251</v>
      </c>
      <c r="J2666" s="23" t="s">
        <v>2040</v>
      </c>
      <c r="K2666" s="2"/>
      <c r="M2666" s="2"/>
    </row>
    <row r="2667" spans="1:13" ht="15.75">
      <c r="A2667" t="s">
        <v>20</v>
      </c>
      <c r="B2667">
        <f ca="1">IF(OR(changes[[#This Row],[Type]]="Checklist",changes[[#This Row],[Type]]="checklist-flat"),1+IF(changes[[#This Row],[Type of change]] = "Edit",COUNTIFS($I$4:changes[[#This Row],[Name]],changes[[#This Row],[Name]], $E$4:changes[[#This Row],[Type of change]], "Edit")),B2666)</f>
        <v>1</v>
      </c>
      <c r="C2667" s="16">
        <v>44903</v>
      </c>
      <c r="D2667" s="1" t="s">
        <v>2393</v>
      </c>
      <c r="E2667" t="s">
        <v>27</v>
      </c>
      <c r="F2667" s="10" t="s">
        <v>52</v>
      </c>
      <c r="G2667" s="18" t="s">
        <v>2048</v>
      </c>
      <c r="H2667" s="2" t="s">
        <v>437</v>
      </c>
      <c r="I2667" s="18" t="s">
        <v>1252</v>
      </c>
      <c r="J2667" s="23" t="s">
        <v>2040</v>
      </c>
      <c r="K2667" s="2"/>
      <c r="M2667" s="2"/>
    </row>
    <row r="2668" spans="1:13" ht="15.75">
      <c r="A2668" t="s">
        <v>20</v>
      </c>
      <c r="B2668">
        <f ca="1">IF(OR(changes[[#This Row],[Type]]="Checklist",changes[[#This Row],[Type]]="checklist-flat"),1+IF(changes[[#This Row],[Type of change]] = "Edit",COUNTIFS($I$4:changes[[#This Row],[Name]],changes[[#This Row],[Name]], $E$4:changes[[#This Row],[Type of change]], "Edit")),B2667)</f>
        <v>1</v>
      </c>
      <c r="C2668" s="16">
        <v>44903</v>
      </c>
      <c r="D2668" s="1" t="s">
        <v>2393</v>
      </c>
      <c r="E2668" t="s">
        <v>27</v>
      </c>
      <c r="F2668" s="10" t="s">
        <v>52</v>
      </c>
      <c r="G2668" s="18" t="s">
        <v>2048</v>
      </c>
      <c r="H2668" s="2" t="s">
        <v>437</v>
      </c>
      <c r="I2668" s="18" t="s">
        <v>1253</v>
      </c>
      <c r="J2668" s="23" t="s">
        <v>2040</v>
      </c>
      <c r="K2668" s="2"/>
      <c r="M2668" s="2"/>
    </row>
    <row r="2669" spans="1:13" ht="15.75">
      <c r="A2669" t="s">
        <v>20</v>
      </c>
      <c r="B2669">
        <f ca="1">IF(OR(changes[[#This Row],[Type]]="Checklist",changes[[#This Row],[Type]]="checklist-flat"),1+IF(changes[[#This Row],[Type of change]] = "Edit",COUNTIFS($I$4:changes[[#This Row],[Name]],changes[[#This Row],[Name]], $E$4:changes[[#This Row],[Type of change]], "Edit")),B2668)</f>
        <v>1</v>
      </c>
      <c r="C2669" s="16">
        <v>44903</v>
      </c>
      <c r="D2669" s="1" t="s">
        <v>2393</v>
      </c>
      <c r="E2669" t="s">
        <v>27</v>
      </c>
      <c r="F2669" s="10" t="s">
        <v>52</v>
      </c>
      <c r="G2669" s="18" t="s">
        <v>2048</v>
      </c>
      <c r="H2669" s="2" t="s">
        <v>437</v>
      </c>
      <c r="I2669" s="18" t="s">
        <v>1254</v>
      </c>
      <c r="J2669" s="23" t="s">
        <v>2040</v>
      </c>
      <c r="K2669" s="2"/>
      <c r="M2669" s="2"/>
    </row>
    <row r="2670" spans="1:13" ht="15.75">
      <c r="A2670" t="s">
        <v>20</v>
      </c>
      <c r="B2670">
        <f ca="1">IF(OR(changes[[#This Row],[Type]]="Checklist",changes[[#This Row],[Type]]="checklist-flat"),1+IF(changes[[#This Row],[Type of change]] = "Edit",COUNTIFS($I$4:changes[[#This Row],[Name]],changes[[#This Row],[Name]], $E$4:changes[[#This Row],[Type of change]], "Edit")),B2669)</f>
        <v>1</v>
      </c>
      <c r="C2670" s="16">
        <v>44903</v>
      </c>
      <c r="D2670" s="1" t="s">
        <v>2393</v>
      </c>
      <c r="E2670" t="s">
        <v>27</v>
      </c>
      <c r="F2670" s="10" t="s">
        <v>52</v>
      </c>
      <c r="G2670" s="18" t="s">
        <v>2048</v>
      </c>
      <c r="H2670" s="2" t="s">
        <v>437</v>
      </c>
      <c r="I2670" s="18" t="s">
        <v>1256</v>
      </c>
      <c r="J2670" s="23" t="s">
        <v>2040</v>
      </c>
      <c r="K2670" s="2"/>
      <c r="M2670" s="2"/>
    </row>
    <row r="2671" spans="1:13" ht="15.75">
      <c r="A2671" t="s">
        <v>20</v>
      </c>
      <c r="B2671">
        <f ca="1">IF(OR(changes[[#This Row],[Type]]="Checklist",changes[[#This Row],[Type]]="checklist-flat"),1+IF(changes[[#This Row],[Type of change]] = "Edit",COUNTIFS($I$4:changes[[#This Row],[Name]],changes[[#This Row],[Name]], $E$4:changes[[#This Row],[Type of change]], "Edit")),B2670)</f>
        <v>1</v>
      </c>
      <c r="C2671" s="16">
        <v>44903</v>
      </c>
      <c r="D2671" s="1" t="s">
        <v>2393</v>
      </c>
      <c r="E2671" t="s">
        <v>27</v>
      </c>
      <c r="F2671" s="10" t="s">
        <v>52</v>
      </c>
      <c r="G2671" s="18" t="s">
        <v>2048</v>
      </c>
      <c r="H2671" s="2" t="s">
        <v>437</v>
      </c>
      <c r="I2671" s="18" t="s">
        <v>1257</v>
      </c>
      <c r="J2671" s="23" t="s">
        <v>2040</v>
      </c>
      <c r="K2671" s="2"/>
      <c r="M2671" s="2"/>
    </row>
    <row r="2672" spans="1:13" ht="15.75">
      <c r="A2672" t="s">
        <v>20</v>
      </c>
      <c r="B2672">
        <f ca="1">IF(OR(changes[[#This Row],[Type]]="Checklist",changes[[#This Row],[Type]]="checklist-flat"),1+IF(changes[[#This Row],[Type of change]] = "Edit",COUNTIFS($I$4:changes[[#This Row],[Name]],changes[[#This Row],[Name]], $E$4:changes[[#This Row],[Type of change]], "Edit")),B2671)</f>
        <v>1</v>
      </c>
      <c r="C2672" s="16">
        <v>44903</v>
      </c>
      <c r="D2672" s="1" t="s">
        <v>2393</v>
      </c>
      <c r="E2672" t="s">
        <v>27</v>
      </c>
      <c r="F2672" s="10" t="s">
        <v>52</v>
      </c>
      <c r="G2672" s="18" t="s">
        <v>2048</v>
      </c>
      <c r="H2672" s="2" t="s">
        <v>55</v>
      </c>
      <c r="I2672" s="18" t="s">
        <v>2071</v>
      </c>
      <c r="J2672" s="23"/>
      <c r="K2672" s="2"/>
      <c r="M2672" s="2"/>
    </row>
    <row r="2673" spans="1:13" ht="15.75">
      <c r="A2673" t="s">
        <v>20</v>
      </c>
      <c r="B2673">
        <f ca="1">IF(OR(changes[[#This Row],[Type]]="Checklist",changes[[#This Row],[Type]]="checklist-flat"),1+IF(changes[[#This Row],[Type of change]] = "Edit",COUNTIFS($I$4:changes[[#This Row],[Name]],changes[[#This Row],[Name]], $E$4:changes[[#This Row],[Type of change]], "Edit")),B2672)</f>
        <v>1</v>
      </c>
      <c r="C2673" s="16">
        <v>44903</v>
      </c>
      <c r="D2673" s="1" t="s">
        <v>2393</v>
      </c>
      <c r="E2673" t="s">
        <v>27</v>
      </c>
      <c r="F2673" s="10" t="s">
        <v>52</v>
      </c>
      <c r="G2673" s="18" t="s">
        <v>2048</v>
      </c>
      <c r="H2673" s="2" t="s">
        <v>437</v>
      </c>
      <c r="I2673" s="18" t="s">
        <v>438</v>
      </c>
      <c r="J2673" s="23" t="s">
        <v>439</v>
      </c>
      <c r="K2673" s="2"/>
      <c r="M2673" s="2"/>
    </row>
    <row r="2674" spans="1:13" ht="15.75">
      <c r="A2674" t="s">
        <v>20</v>
      </c>
      <c r="B2674">
        <f ca="1">IF(OR(changes[[#This Row],[Type]]="Checklist",changes[[#This Row],[Type]]="checklist-flat"),1+IF(changes[[#This Row],[Type of change]] = "Edit",COUNTIFS($I$4:changes[[#This Row],[Name]],changes[[#This Row],[Name]], $E$4:changes[[#This Row],[Type of change]], "Edit")),B2673)</f>
        <v>1</v>
      </c>
      <c r="C2674" s="16">
        <v>44903</v>
      </c>
      <c r="D2674" s="1" t="s">
        <v>2393</v>
      </c>
      <c r="E2674" t="s">
        <v>27</v>
      </c>
      <c r="F2674" s="10" t="s">
        <v>52</v>
      </c>
      <c r="G2674" s="18" t="s">
        <v>2048</v>
      </c>
      <c r="H2674" s="2" t="s">
        <v>55</v>
      </c>
      <c r="I2674" s="18" t="s">
        <v>2072</v>
      </c>
      <c r="J2674" s="23"/>
      <c r="K2674" s="2"/>
      <c r="M2674" s="2"/>
    </row>
    <row r="2675" spans="1:13" ht="15.75">
      <c r="A2675" t="s">
        <v>20</v>
      </c>
      <c r="B2675">
        <f ca="1">IF(OR(changes[[#This Row],[Type]]="Checklist",changes[[#This Row],[Type]]="checklist-flat"),1+IF(changes[[#This Row],[Type of change]] = "Edit",COUNTIFS($I$4:changes[[#This Row],[Name]],changes[[#This Row],[Name]], $E$4:changes[[#This Row],[Type of change]], "Edit")),B2674)</f>
        <v>1</v>
      </c>
      <c r="C2675" s="16">
        <v>44903</v>
      </c>
      <c r="D2675" s="1" t="s">
        <v>2393</v>
      </c>
      <c r="E2675" t="s">
        <v>27</v>
      </c>
      <c r="F2675" s="10" t="s">
        <v>52</v>
      </c>
      <c r="G2675" s="18" t="s">
        <v>2048</v>
      </c>
      <c r="H2675" s="2" t="s">
        <v>437</v>
      </c>
      <c r="I2675" s="18" t="s">
        <v>438</v>
      </c>
      <c r="J2675" s="23" t="s">
        <v>439</v>
      </c>
      <c r="K2675" s="2"/>
      <c r="M2675" s="2"/>
    </row>
    <row r="2676" spans="1:13" ht="15.75">
      <c r="A2676" t="s">
        <v>20</v>
      </c>
      <c r="B2676">
        <f ca="1">IF(OR(changes[[#This Row],[Type]]="Checklist",changes[[#This Row],[Type]]="checklist-flat"),1+IF(changes[[#This Row],[Type of change]] = "Edit",COUNTIFS($I$4:changes[[#This Row],[Name]],changes[[#This Row],[Name]], $E$4:changes[[#This Row],[Type of change]], "Edit")),B2675)</f>
        <v>1</v>
      </c>
      <c r="C2676" s="16">
        <v>44903</v>
      </c>
      <c r="D2676" s="1" t="s">
        <v>2393</v>
      </c>
      <c r="E2676" t="s">
        <v>27</v>
      </c>
      <c r="F2676" s="10" t="s">
        <v>52</v>
      </c>
      <c r="G2676" s="18" t="s">
        <v>2048</v>
      </c>
      <c r="H2676" s="2" t="s">
        <v>214</v>
      </c>
      <c r="I2676" s="18" t="s">
        <v>443</v>
      </c>
      <c r="J2676" s="23"/>
      <c r="K2676" s="2"/>
      <c r="M2676" s="2"/>
    </row>
    <row r="2677" spans="1:13" ht="15.75">
      <c r="A2677" t="s">
        <v>20</v>
      </c>
      <c r="B2677">
        <f ca="1">IF(OR(changes[[#This Row],[Type]]="Checklist",changes[[#This Row],[Type]]="checklist-flat"),1+IF(changes[[#This Row],[Type of change]] = "Edit",COUNTIFS($I$4:changes[[#This Row],[Name]],changes[[#This Row],[Name]], $E$4:changes[[#This Row],[Type of change]], "Edit")),B2676)</f>
        <v>1</v>
      </c>
      <c r="C2677" s="16">
        <v>44903</v>
      </c>
      <c r="D2677" s="1" t="s">
        <v>2393</v>
      </c>
      <c r="E2677" t="s">
        <v>27</v>
      </c>
      <c r="F2677" s="10" t="s">
        <v>52</v>
      </c>
      <c r="G2677" s="18" t="s">
        <v>2048</v>
      </c>
      <c r="H2677" s="2" t="s">
        <v>55</v>
      </c>
      <c r="I2677" s="18" t="s">
        <v>442</v>
      </c>
      <c r="J2677" s="23"/>
      <c r="K2677" s="2"/>
      <c r="M2677" s="2"/>
    </row>
    <row r="2678" spans="1:13" ht="15.75">
      <c r="A2678" t="s">
        <v>20</v>
      </c>
      <c r="B2678">
        <f ca="1">IF(OR(changes[[#This Row],[Type]]="Checklist",changes[[#This Row],[Type]]="checklist-flat"),1+IF(changes[[#This Row],[Type of change]] = "Edit",COUNTIFS($I$4:changes[[#This Row],[Name]],changes[[#This Row],[Name]], $E$4:changes[[#This Row],[Type of change]], "Edit")),B2677)</f>
        <v>1</v>
      </c>
      <c r="C2678" s="16">
        <v>44903</v>
      </c>
      <c r="D2678" s="1" t="s">
        <v>2393</v>
      </c>
      <c r="E2678" t="s">
        <v>27</v>
      </c>
      <c r="F2678" s="10" t="s">
        <v>52</v>
      </c>
      <c r="G2678" s="18" t="s">
        <v>2048</v>
      </c>
      <c r="H2678" s="2" t="s">
        <v>479</v>
      </c>
      <c r="I2678" s="18" t="s">
        <v>2073</v>
      </c>
      <c r="J2678" s="23"/>
      <c r="K2678" s="2"/>
      <c r="M2678" s="2"/>
    </row>
    <row r="2679" spans="1:13" ht="15.75">
      <c r="A2679" t="s">
        <v>20</v>
      </c>
      <c r="B2679">
        <f ca="1">IF(OR(changes[[#This Row],[Type]]="Checklist",changes[[#This Row],[Type]]="checklist-flat"),1+IF(changes[[#This Row],[Type of change]] = "Edit",COUNTIFS($I$4:changes[[#This Row],[Name]],changes[[#This Row],[Name]], $E$4:changes[[#This Row],[Type of change]], "Edit")),B2678)</f>
        <v>1</v>
      </c>
      <c r="C2679" s="16">
        <v>44903</v>
      </c>
      <c r="D2679" s="1" t="s">
        <v>2393</v>
      </c>
      <c r="E2679" t="s">
        <v>27</v>
      </c>
      <c r="F2679" s="10" t="s">
        <v>52</v>
      </c>
      <c r="G2679" s="18" t="s">
        <v>2048</v>
      </c>
      <c r="H2679" s="2" t="s">
        <v>55</v>
      </c>
      <c r="I2679" s="18" t="s">
        <v>2074</v>
      </c>
      <c r="J2679" s="23"/>
      <c r="K2679" s="2"/>
      <c r="M2679" s="2"/>
    </row>
    <row r="2680" spans="1:13" ht="15.75">
      <c r="A2680" t="s">
        <v>20</v>
      </c>
      <c r="B2680">
        <f ca="1">IF(OR(changes[[#This Row],[Type]]="Checklist",changes[[#This Row],[Type]]="checklist-flat"),1+IF(changes[[#This Row],[Type of change]] = "Edit",COUNTIFS($I$4:changes[[#This Row],[Name]],changes[[#This Row],[Name]], $E$4:changes[[#This Row],[Type of change]], "Edit")),B2679)</f>
        <v>1</v>
      </c>
      <c r="C2680" s="16">
        <v>44903</v>
      </c>
      <c r="D2680" s="1" t="s">
        <v>2393</v>
      </c>
      <c r="E2680" t="s">
        <v>27</v>
      </c>
      <c r="F2680" s="10" t="s">
        <v>52</v>
      </c>
      <c r="G2680" s="18" t="s">
        <v>2048</v>
      </c>
      <c r="H2680" s="2" t="s">
        <v>55</v>
      </c>
      <c r="I2680" s="18" t="s">
        <v>2075</v>
      </c>
      <c r="J2680" s="23"/>
      <c r="K2680" s="2"/>
      <c r="M2680" s="2"/>
    </row>
    <row r="2681" spans="1:13" ht="15.75">
      <c r="A2681" t="s">
        <v>20</v>
      </c>
      <c r="B2681">
        <f ca="1">IF(OR(changes[[#This Row],[Type]]="Checklist",changes[[#This Row],[Type]]="checklist-flat"),1+IF(changes[[#This Row],[Type of change]] = "Edit",COUNTIFS($I$4:changes[[#This Row],[Name]],changes[[#This Row],[Name]], $E$4:changes[[#This Row],[Type of change]], "Edit")),B2680)</f>
        <v>1</v>
      </c>
      <c r="C2681" s="16">
        <v>44903</v>
      </c>
      <c r="D2681" s="1" t="s">
        <v>2393</v>
      </c>
      <c r="E2681" t="s">
        <v>27</v>
      </c>
      <c r="F2681" s="10" t="s">
        <v>52</v>
      </c>
      <c r="G2681" s="18" t="s">
        <v>2048</v>
      </c>
      <c r="H2681" s="2" t="s">
        <v>55</v>
      </c>
      <c r="I2681" s="18" t="s">
        <v>2076</v>
      </c>
      <c r="J2681" s="23"/>
      <c r="K2681" s="2"/>
      <c r="M2681" s="2"/>
    </row>
    <row r="2682" spans="1:13" ht="15.75">
      <c r="A2682" t="s">
        <v>20</v>
      </c>
      <c r="B2682">
        <f ca="1">IF(OR(changes[[#This Row],[Type]]="Checklist",changes[[#This Row],[Type]]="checklist-flat"),1+IF(changes[[#This Row],[Type of change]] = "Edit",COUNTIFS($I$4:changes[[#This Row],[Name]],changes[[#This Row],[Name]], $E$4:changes[[#This Row],[Type of change]], "Edit")),B2681)</f>
        <v>1</v>
      </c>
      <c r="C2682" s="16">
        <v>44903</v>
      </c>
      <c r="D2682" s="1" t="s">
        <v>2393</v>
      </c>
      <c r="E2682" t="s">
        <v>27</v>
      </c>
      <c r="F2682" s="10" t="s">
        <v>52</v>
      </c>
      <c r="G2682" s="18" t="s">
        <v>2048</v>
      </c>
      <c r="H2682" s="2" t="s">
        <v>437</v>
      </c>
      <c r="I2682" s="18" t="s">
        <v>438</v>
      </c>
      <c r="J2682" s="23" t="s">
        <v>439</v>
      </c>
      <c r="K2682" s="2"/>
      <c r="M2682" s="2"/>
    </row>
    <row r="2683" spans="1:13" ht="15.75">
      <c r="A2683" t="s">
        <v>20</v>
      </c>
      <c r="B2683">
        <f ca="1">IF(OR(changes[[#This Row],[Type]]="Checklist",changes[[#This Row],[Type]]="checklist-flat"),1+IF(changes[[#This Row],[Type of change]] = "Edit",COUNTIFS($I$4:changes[[#This Row],[Name]],changes[[#This Row],[Name]], $E$4:changes[[#This Row],[Type of change]], "Edit")),B2682)</f>
        <v>1</v>
      </c>
      <c r="C2683" s="16">
        <v>44903</v>
      </c>
      <c r="D2683" s="1" t="s">
        <v>2393</v>
      </c>
      <c r="E2683" t="s">
        <v>27</v>
      </c>
      <c r="F2683" s="10" t="s">
        <v>52</v>
      </c>
      <c r="G2683" s="18" t="s">
        <v>2941</v>
      </c>
      <c r="H2683" s="2" t="s">
        <v>478</v>
      </c>
      <c r="I2683" s="18" t="s">
        <v>2941</v>
      </c>
      <c r="J2683" s="23"/>
      <c r="K2683" s="2"/>
      <c r="M2683" s="2"/>
    </row>
    <row r="2684" spans="1:13" ht="15.75">
      <c r="A2684" t="s">
        <v>20</v>
      </c>
      <c r="B2684">
        <f ca="1">IF(OR(changes[[#This Row],[Type]]="Checklist",changes[[#This Row],[Type]]="checklist-flat"),1+IF(changes[[#This Row],[Type of change]] = "Edit",COUNTIFS($I$4:changes[[#This Row],[Name]],changes[[#This Row],[Name]], $E$4:changes[[#This Row],[Type of change]], "Edit")),B2683)</f>
        <v>1</v>
      </c>
      <c r="C2684" s="16">
        <v>44903</v>
      </c>
      <c r="D2684" s="1" t="s">
        <v>2393</v>
      </c>
      <c r="E2684" t="s">
        <v>27</v>
      </c>
      <c r="F2684" s="10" t="s">
        <v>52</v>
      </c>
      <c r="G2684" s="18" t="s">
        <v>2941</v>
      </c>
      <c r="H2684" s="2" t="s">
        <v>55</v>
      </c>
      <c r="I2684" s="18" t="s">
        <v>2025</v>
      </c>
      <c r="J2684" s="23"/>
      <c r="K2684" s="2"/>
      <c r="M2684" s="2"/>
    </row>
    <row r="2685" spans="1:13" ht="15.75">
      <c r="A2685" t="s">
        <v>20</v>
      </c>
      <c r="B2685">
        <f ca="1">IF(OR(changes[[#This Row],[Type]]="Checklist",changes[[#This Row],[Type]]="checklist-flat"),1+IF(changes[[#This Row],[Type of change]] = "Edit",COUNTIFS($I$4:changes[[#This Row],[Name]],changes[[#This Row],[Name]], $E$4:changes[[#This Row],[Type of change]], "Edit")),B2684)</f>
        <v>1</v>
      </c>
      <c r="C2685" s="16">
        <v>44903</v>
      </c>
      <c r="D2685" s="1" t="s">
        <v>2393</v>
      </c>
      <c r="E2685" t="s">
        <v>27</v>
      </c>
      <c r="F2685" s="10" t="s">
        <v>52</v>
      </c>
      <c r="G2685" s="18" t="s">
        <v>2941</v>
      </c>
      <c r="H2685" s="2" t="s">
        <v>55</v>
      </c>
      <c r="I2685" s="18" t="s">
        <v>2942</v>
      </c>
      <c r="J2685" s="23"/>
      <c r="K2685" s="2"/>
      <c r="M2685" s="2"/>
    </row>
    <row r="2686" spans="1:13" ht="15.75">
      <c r="A2686" t="s">
        <v>20</v>
      </c>
      <c r="B2686">
        <f ca="1">IF(OR(changes[[#This Row],[Type]]="Checklist",changes[[#This Row],[Type]]="checklist-flat"),1+IF(changes[[#This Row],[Type of change]] = "Edit",COUNTIFS($I$4:changes[[#This Row],[Name]],changes[[#This Row],[Name]], $E$4:changes[[#This Row],[Type of change]], "Edit")),B2685)</f>
        <v>1</v>
      </c>
      <c r="C2686" s="16">
        <v>44903</v>
      </c>
      <c r="D2686" s="1" t="s">
        <v>2393</v>
      </c>
      <c r="E2686" t="s">
        <v>27</v>
      </c>
      <c r="F2686" s="10" t="s">
        <v>52</v>
      </c>
      <c r="G2686" s="18" t="s">
        <v>2941</v>
      </c>
      <c r="H2686" s="2" t="s">
        <v>437</v>
      </c>
      <c r="I2686" s="18" t="s">
        <v>2580</v>
      </c>
      <c r="J2686" s="23" t="s">
        <v>2040</v>
      </c>
      <c r="K2686" s="2"/>
      <c r="M2686" s="2"/>
    </row>
    <row r="2687" spans="1:13" ht="15.75">
      <c r="A2687" t="s">
        <v>20</v>
      </c>
      <c r="B2687">
        <f ca="1">IF(OR(changes[[#This Row],[Type]]="Checklist",changes[[#This Row],[Type]]="checklist-flat"),1+IF(changes[[#This Row],[Type of change]] = "Edit",COUNTIFS($I$4:changes[[#This Row],[Name]],changes[[#This Row],[Name]], $E$4:changes[[#This Row],[Type of change]], "Edit")),B2686)</f>
        <v>1</v>
      </c>
      <c r="C2687" s="16">
        <v>44903</v>
      </c>
      <c r="D2687" s="1" t="s">
        <v>2393</v>
      </c>
      <c r="E2687" t="s">
        <v>27</v>
      </c>
      <c r="F2687" s="10" t="s">
        <v>52</v>
      </c>
      <c r="G2687" s="18" t="s">
        <v>2941</v>
      </c>
      <c r="H2687" s="2" t="s">
        <v>437</v>
      </c>
      <c r="I2687" s="18" t="s">
        <v>2943</v>
      </c>
      <c r="J2687" s="23" t="s">
        <v>2040</v>
      </c>
      <c r="K2687" s="2"/>
      <c r="M2687" s="2"/>
    </row>
    <row r="2688" spans="1:13" ht="15.75">
      <c r="A2688" t="s">
        <v>20</v>
      </c>
      <c r="B2688">
        <f ca="1">IF(OR(changes[[#This Row],[Type]]="Checklist",changes[[#This Row],[Type]]="checklist-flat"),1+IF(changes[[#This Row],[Type of change]] = "Edit",COUNTIFS($I$4:changes[[#This Row],[Name]],changes[[#This Row],[Name]], $E$4:changes[[#This Row],[Type of change]], "Edit")),B2687)</f>
        <v>1</v>
      </c>
      <c r="C2688" s="16">
        <v>44903</v>
      </c>
      <c r="D2688" s="1" t="s">
        <v>2393</v>
      </c>
      <c r="E2688" t="s">
        <v>27</v>
      </c>
      <c r="F2688" s="10" t="s">
        <v>52</v>
      </c>
      <c r="G2688" s="18" t="s">
        <v>2941</v>
      </c>
      <c r="H2688" s="2" t="s">
        <v>437</v>
      </c>
      <c r="I2688" s="18" t="s">
        <v>2944</v>
      </c>
      <c r="J2688" s="23" t="s">
        <v>2040</v>
      </c>
      <c r="K2688" s="2"/>
      <c r="M2688" s="2"/>
    </row>
    <row r="2689" spans="1:13" ht="15.75">
      <c r="A2689" t="s">
        <v>20</v>
      </c>
      <c r="B2689">
        <f ca="1">IF(OR(changes[[#This Row],[Type]]="Checklist",changes[[#This Row],[Type]]="checklist-flat"),1+IF(changes[[#This Row],[Type of change]] = "Edit",COUNTIFS($I$4:changes[[#This Row],[Name]],changes[[#This Row],[Name]], $E$4:changes[[#This Row],[Type of change]], "Edit")),B2688)</f>
        <v>1</v>
      </c>
      <c r="C2689" s="16">
        <v>44903</v>
      </c>
      <c r="D2689" s="1" t="s">
        <v>2393</v>
      </c>
      <c r="E2689" t="s">
        <v>27</v>
      </c>
      <c r="F2689" s="10" t="s">
        <v>52</v>
      </c>
      <c r="G2689" s="18" t="s">
        <v>2941</v>
      </c>
      <c r="H2689" s="2" t="s">
        <v>437</v>
      </c>
      <c r="I2689" s="18" t="s">
        <v>2945</v>
      </c>
      <c r="J2689" s="23" t="s">
        <v>2040</v>
      </c>
      <c r="K2689" s="2"/>
      <c r="M2689" s="2"/>
    </row>
    <row r="2690" spans="1:13" ht="15.75">
      <c r="A2690" t="s">
        <v>20</v>
      </c>
      <c r="B2690">
        <f ca="1">IF(OR(changes[[#This Row],[Type]]="Checklist",changes[[#This Row],[Type]]="checklist-flat"),1+IF(changes[[#This Row],[Type of change]] = "Edit",COUNTIFS($I$4:changes[[#This Row],[Name]],changes[[#This Row],[Name]], $E$4:changes[[#This Row],[Type of change]], "Edit")),B2689)</f>
        <v>1</v>
      </c>
      <c r="C2690" s="16">
        <v>44903</v>
      </c>
      <c r="D2690" s="1" t="s">
        <v>2393</v>
      </c>
      <c r="E2690" t="s">
        <v>27</v>
      </c>
      <c r="F2690" s="10" t="s">
        <v>52</v>
      </c>
      <c r="G2690" s="18" t="s">
        <v>2941</v>
      </c>
      <c r="H2690" s="2" t="s">
        <v>437</v>
      </c>
      <c r="I2690" s="18" t="s">
        <v>2946</v>
      </c>
      <c r="J2690" s="23" t="s">
        <v>2040</v>
      </c>
      <c r="K2690" s="2"/>
      <c r="M2690" s="2"/>
    </row>
    <row r="2691" spans="1:13" ht="15.75">
      <c r="A2691" t="s">
        <v>20</v>
      </c>
      <c r="B2691">
        <f ca="1">IF(OR(changes[[#This Row],[Type]]="Checklist",changes[[#This Row],[Type]]="checklist-flat"),1+IF(changes[[#This Row],[Type of change]] = "Edit",COUNTIFS($I$4:changes[[#This Row],[Name]],changes[[#This Row],[Name]], $E$4:changes[[#This Row],[Type of change]], "Edit")),B2690)</f>
        <v>1</v>
      </c>
      <c r="C2691" s="16">
        <v>44903</v>
      </c>
      <c r="D2691" s="1" t="s">
        <v>2393</v>
      </c>
      <c r="E2691" t="s">
        <v>27</v>
      </c>
      <c r="F2691" s="10" t="s">
        <v>52</v>
      </c>
      <c r="G2691" s="18" t="s">
        <v>2941</v>
      </c>
      <c r="H2691" s="2" t="s">
        <v>437</v>
      </c>
      <c r="I2691" s="18" t="s">
        <v>2947</v>
      </c>
      <c r="J2691" s="23" t="s">
        <v>2040</v>
      </c>
      <c r="K2691" s="2"/>
      <c r="M2691" s="2"/>
    </row>
    <row r="2692" spans="1:13" ht="15.75">
      <c r="A2692" t="s">
        <v>20</v>
      </c>
      <c r="B2692">
        <f ca="1">IF(OR(changes[[#This Row],[Type]]="Checklist",changes[[#This Row],[Type]]="checklist-flat"),1+IF(changes[[#This Row],[Type of change]] = "Edit",COUNTIFS($I$4:changes[[#This Row],[Name]],changes[[#This Row],[Name]], $E$4:changes[[#This Row],[Type of change]], "Edit")),B2691)</f>
        <v>1</v>
      </c>
      <c r="C2692" s="16">
        <v>44903</v>
      </c>
      <c r="D2692" s="1" t="s">
        <v>2393</v>
      </c>
      <c r="E2692" t="s">
        <v>27</v>
      </c>
      <c r="F2692" s="10" t="s">
        <v>52</v>
      </c>
      <c r="G2692" s="18" t="s">
        <v>2941</v>
      </c>
      <c r="H2692" s="2" t="s">
        <v>437</v>
      </c>
      <c r="I2692" s="18" t="s">
        <v>2948</v>
      </c>
      <c r="J2692" s="23" t="s">
        <v>2040</v>
      </c>
      <c r="K2692" s="2"/>
      <c r="M2692" s="2"/>
    </row>
    <row r="2693" spans="1:13" ht="15.75">
      <c r="A2693" t="s">
        <v>20</v>
      </c>
      <c r="B2693">
        <f ca="1">IF(OR(changes[[#This Row],[Type]]="Checklist",changes[[#This Row],[Type]]="checklist-flat"),1+IF(changes[[#This Row],[Type of change]] = "Edit",COUNTIFS($I$4:changes[[#This Row],[Name]],changes[[#This Row],[Name]], $E$4:changes[[#This Row],[Type of change]], "Edit")),B2692)</f>
        <v>1</v>
      </c>
      <c r="C2693" s="16">
        <v>44903</v>
      </c>
      <c r="D2693" s="1" t="s">
        <v>2393</v>
      </c>
      <c r="E2693" t="s">
        <v>27</v>
      </c>
      <c r="F2693" s="10" t="s">
        <v>52</v>
      </c>
      <c r="G2693" s="18" t="s">
        <v>2941</v>
      </c>
      <c r="H2693" s="2" t="s">
        <v>214</v>
      </c>
      <c r="I2693" s="18" t="s">
        <v>2949</v>
      </c>
      <c r="J2693" s="23"/>
      <c r="K2693" s="2"/>
      <c r="M2693" s="2"/>
    </row>
    <row r="2694" spans="1:13" ht="15.75">
      <c r="A2694" t="s">
        <v>20</v>
      </c>
      <c r="B2694">
        <f ca="1">IF(OR(changes[[#This Row],[Type]]="Checklist",changes[[#This Row],[Type]]="checklist-flat"),1+IF(changes[[#This Row],[Type of change]] = "Edit",COUNTIFS($I$4:changes[[#This Row],[Name]],changes[[#This Row],[Name]], $E$4:changes[[#This Row],[Type of change]], "Edit")),B2693)</f>
        <v>1</v>
      </c>
      <c r="C2694" s="16">
        <v>44903</v>
      </c>
      <c r="D2694" s="1" t="s">
        <v>2393</v>
      </c>
      <c r="E2694" t="s">
        <v>27</v>
      </c>
      <c r="F2694" s="10" t="s">
        <v>52</v>
      </c>
      <c r="G2694" s="18" t="s">
        <v>2941</v>
      </c>
      <c r="H2694" s="2" t="s">
        <v>55</v>
      </c>
      <c r="I2694" s="18" t="s">
        <v>916</v>
      </c>
      <c r="J2694" s="23"/>
      <c r="K2694" s="2"/>
      <c r="M2694" s="2"/>
    </row>
    <row r="2695" spans="1:13" ht="15.75">
      <c r="A2695" t="s">
        <v>20</v>
      </c>
      <c r="B2695">
        <f ca="1">IF(OR(changes[[#This Row],[Type]]="Checklist",changes[[#This Row],[Type]]="checklist-flat"),1+IF(changes[[#This Row],[Type of change]] = "Edit",COUNTIFS($I$4:changes[[#This Row],[Name]],changes[[#This Row],[Name]], $E$4:changes[[#This Row],[Type of change]], "Edit")),B2694)</f>
        <v>1</v>
      </c>
      <c r="C2695" s="16">
        <v>44903</v>
      </c>
      <c r="D2695" s="1" t="s">
        <v>2393</v>
      </c>
      <c r="E2695" t="s">
        <v>27</v>
      </c>
      <c r="F2695" s="10" t="s">
        <v>52</v>
      </c>
      <c r="G2695" s="18" t="s">
        <v>2941</v>
      </c>
      <c r="H2695" s="2" t="s">
        <v>64</v>
      </c>
      <c r="I2695" s="18" t="s">
        <v>440</v>
      </c>
      <c r="J2695" s="23"/>
      <c r="K2695" s="2"/>
      <c r="M2695" s="2"/>
    </row>
    <row r="2696" spans="1:13" ht="15.75">
      <c r="A2696" t="s">
        <v>20</v>
      </c>
      <c r="B2696">
        <f ca="1">IF(OR(changes[[#This Row],[Type]]="Checklist",changes[[#This Row],[Type]]="checklist-flat"),1+IF(changes[[#This Row],[Type of change]] = "Edit",COUNTIFS($I$4:changes[[#This Row],[Name]],changes[[#This Row],[Name]], $E$4:changes[[#This Row],[Type of change]], "Edit")),B2695)</f>
        <v>1</v>
      </c>
      <c r="C2696" s="16">
        <v>44903</v>
      </c>
      <c r="D2696" s="1" t="s">
        <v>2393</v>
      </c>
      <c r="E2696" t="s">
        <v>27</v>
      </c>
      <c r="F2696" s="10" t="s">
        <v>52</v>
      </c>
      <c r="G2696" s="18" t="s">
        <v>2950</v>
      </c>
      <c r="H2696" s="2" t="s">
        <v>478</v>
      </c>
      <c r="I2696" s="18" t="s">
        <v>2950</v>
      </c>
      <c r="J2696" s="23"/>
      <c r="K2696" s="2"/>
      <c r="M2696" s="2"/>
    </row>
    <row r="2697" spans="1:13" ht="15.75">
      <c r="A2697" t="s">
        <v>20</v>
      </c>
      <c r="B2697">
        <f ca="1">IF(OR(changes[[#This Row],[Type]]="Checklist",changes[[#This Row],[Type]]="checklist-flat"),1+IF(changes[[#This Row],[Type of change]] = "Edit",COUNTIFS($I$4:changes[[#This Row],[Name]],changes[[#This Row],[Name]], $E$4:changes[[#This Row],[Type of change]], "Edit")),B2696)</f>
        <v>1</v>
      </c>
      <c r="C2697" s="16">
        <v>44903</v>
      </c>
      <c r="D2697" s="1" t="s">
        <v>2393</v>
      </c>
      <c r="E2697" t="s">
        <v>27</v>
      </c>
      <c r="F2697" s="10" t="s">
        <v>52</v>
      </c>
      <c r="G2697" s="18" t="s">
        <v>2950</v>
      </c>
      <c r="H2697" s="2" t="s">
        <v>55</v>
      </c>
      <c r="I2697" s="18" t="s">
        <v>2951</v>
      </c>
      <c r="J2697" s="23"/>
      <c r="K2697" s="2"/>
      <c r="M2697" s="2"/>
    </row>
    <row r="2698" spans="1:13" ht="15.75">
      <c r="A2698" t="s">
        <v>20</v>
      </c>
      <c r="B2698">
        <f ca="1">IF(OR(changes[[#This Row],[Type]]="Checklist",changes[[#This Row],[Type]]="checklist-flat"),1+IF(changes[[#This Row],[Type of change]] = "Edit",COUNTIFS($I$4:changes[[#This Row],[Name]],changes[[#This Row],[Name]], $E$4:changes[[#This Row],[Type of change]], "Edit")),B2697)</f>
        <v>1</v>
      </c>
      <c r="C2698" s="16">
        <v>44903</v>
      </c>
      <c r="D2698" s="1" t="s">
        <v>2393</v>
      </c>
      <c r="E2698" t="s">
        <v>27</v>
      </c>
      <c r="F2698" s="10" t="s">
        <v>52</v>
      </c>
      <c r="G2698" s="18" t="s">
        <v>2950</v>
      </c>
      <c r="H2698" s="2" t="s">
        <v>64</v>
      </c>
      <c r="I2698" s="18" t="s">
        <v>440</v>
      </c>
      <c r="J2698" s="23"/>
      <c r="K2698" s="2"/>
      <c r="M2698" s="2"/>
    </row>
    <row r="2699" spans="1:13" ht="15.75">
      <c r="A2699" t="s">
        <v>20</v>
      </c>
      <c r="B2699">
        <f ca="1">IF(OR(changes[[#This Row],[Type]]="Checklist",changes[[#This Row],[Type]]="checklist-flat"),1+IF(changes[[#This Row],[Type of change]] = "Edit",COUNTIFS($I$4:changes[[#This Row],[Name]],changes[[#This Row],[Name]], $E$4:changes[[#This Row],[Type of change]], "Edit")),B2698)</f>
        <v>1</v>
      </c>
      <c r="C2699" s="16">
        <v>44903</v>
      </c>
      <c r="D2699" s="1" t="s">
        <v>2393</v>
      </c>
      <c r="E2699" t="s">
        <v>27</v>
      </c>
      <c r="F2699" s="10" t="s">
        <v>52</v>
      </c>
      <c r="G2699" s="18" t="s">
        <v>2950</v>
      </c>
      <c r="H2699" s="2" t="s">
        <v>55</v>
      </c>
      <c r="I2699" s="18" t="s">
        <v>2952</v>
      </c>
      <c r="J2699" s="23"/>
      <c r="K2699" s="2"/>
      <c r="M2699" s="2"/>
    </row>
    <row r="2700" spans="1:13" ht="15.75">
      <c r="A2700" t="s">
        <v>20</v>
      </c>
      <c r="B2700">
        <f ca="1">IF(OR(changes[[#This Row],[Type]]="Checklist",changes[[#This Row],[Type]]="checklist-flat"),1+IF(changes[[#This Row],[Type of change]] = "Edit",COUNTIFS($I$4:changes[[#This Row],[Name]],changes[[#This Row],[Name]], $E$4:changes[[#This Row],[Type of change]], "Edit")),B2699)</f>
        <v>1</v>
      </c>
      <c r="C2700" s="16">
        <v>44903</v>
      </c>
      <c r="D2700" s="1" t="s">
        <v>2393</v>
      </c>
      <c r="E2700" t="s">
        <v>27</v>
      </c>
      <c r="F2700" s="10" t="s">
        <v>52</v>
      </c>
      <c r="G2700" s="18" t="s">
        <v>2950</v>
      </c>
      <c r="H2700" s="2" t="s">
        <v>55</v>
      </c>
      <c r="I2700" s="18" t="s">
        <v>2953</v>
      </c>
      <c r="J2700" s="23"/>
      <c r="K2700" s="2"/>
      <c r="M2700" s="2"/>
    </row>
    <row r="2701" spans="1:13" ht="15.75">
      <c r="A2701" t="s">
        <v>20</v>
      </c>
      <c r="B2701">
        <f ca="1">IF(OR(changes[[#This Row],[Type]]="Checklist",changes[[#This Row],[Type]]="checklist-flat"),1+IF(changes[[#This Row],[Type of change]] = "Edit",COUNTIFS($I$4:changes[[#This Row],[Name]],changes[[#This Row],[Name]], $E$4:changes[[#This Row],[Type of change]], "Edit")),B2700)</f>
        <v>1</v>
      </c>
      <c r="C2701" s="16">
        <v>44903</v>
      </c>
      <c r="D2701" s="1" t="s">
        <v>2393</v>
      </c>
      <c r="E2701" t="s">
        <v>27</v>
      </c>
      <c r="F2701" s="10" t="s">
        <v>52</v>
      </c>
      <c r="G2701" s="18" t="s">
        <v>2950</v>
      </c>
      <c r="H2701" s="2" t="s">
        <v>55</v>
      </c>
      <c r="I2701" s="18" t="s">
        <v>2954</v>
      </c>
      <c r="J2701" s="23"/>
      <c r="K2701" s="2"/>
      <c r="M2701" s="2"/>
    </row>
    <row r="2702" spans="1:13" ht="15.75">
      <c r="A2702" t="s">
        <v>20</v>
      </c>
      <c r="B2702">
        <f ca="1">IF(OR(changes[[#This Row],[Type]]="Checklist",changes[[#This Row],[Type]]="checklist-flat"),1+IF(changes[[#This Row],[Type of change]] = "Edit",COUNTIFS($I$4:changes[[#This Row],[Name]],changes[[#This Row],[Name]], $E$4:changes[[#This Row],[Type of change]], "Edit")),B2701)</f>
        <v>1</v>
      </c>
      <c r="C2702" s="16">
        <v>44903</v>
      </c>
      <c r="D2702" s="1" t="s">
        <v>2393</v>
      </c>
      <c r="E2702" t="s">
        <v>27</v>
      </c>
      <c r="F2702" s="10" t="s">
        <v>52</v>
      </c>
      <c r="G2702" s="18" t="s">
        <v>2950</v>
      </c>
      <c r="H2702" s="2" t="s">
        <v>55</v>
      </c>
      <c r="I2702" s="18" t="s">
        <v>2955</v>
      </c>
      <c r="J2702" s="23"/>
      <c r="K2702" s="2"/>
      <c r="M2702" s="2"/>
    </row>
    <row r="2703" spans="1:13" ht="15.75">
      <c r="A2703" t="s">
        <v>20</v>
      </c>
      <c r="B2703">
        <f ca="1">IF(OR(changes[[#This Row],[Type]]="Checklist",changes[[#This Row],[Type]]="checklist-flat"),1+IF(changes[[#This Row],[Type of change]] = "Edit",COUNTIFS($I$4:changes[[#This Row],[Name]],changes[[#This Row],[Name]], $E$4:changes[[#This Row],[Type of change]], "Edit")),B2702)</f>
        <v>1</v>
      </c>
      <c r="C2703" s="16">
        <v>44903</v>
      </c>
      <c r="D2703" s="1" t="s">
        <v>2393</v>
      </c>
      <c r="E2703" t="s">
        <v>27</v>
      </c>
      <c r="F2703" s="10" t="s">
        <v>52</v>
      </c>
      <c r="G2703" s="18" t="s">
        <v>2950</v>
      </c>
      <c r="H2703" s="2" t="s">
        <v>55</v>
      </c>
      <c r="I2703" s="18" t="s">
        <v>2956</v>
      </c>
      <c r="J2703" s="23"/>
      <c r="K2703" s="2"/>
      <c r="M2703" s="2"/>
    </row>
    <row r="2704" spans="1:13" ht="15.75">
      <c r="A2704" t="s">
        <v>20</v>
      </c>
      <c r="B2704">
        <f ca="1">IF(OR(changes[[#This Row],[Type]]="Checklist",changes[[#This Row],[Type]]="checklist-flat"),1+IF(changes[[#This Row],[Type of change]] = "Edit",COUNTIFS($I$4:changes[[#This Row],[Name]],changes[[#This Row],[Name]], $E$4:changes[[#This Row],[Type of change]], "Edit")),B2703)</f>
        <v>1</v>
      </c>
      <c r="C2704" s="16">
        <v>44903</v>
      </c>
      <c r="D2704" s="1" t="s">
        <v>2393</v>
      </c>
      <c r="E2704" t="s">
        <v>27</v>
      </c>
      <c r="F2704" s="10" t="s">
        <v>52</v>
      </c>
      <c r="G2704" s="18" t="s">
        <v>2957</v>
      </c>
      <c r="H2704" s="2" t="s">
        <v>478</v>
      </c>
      <c r="I2704" s="18" t="s">
        <v>2957</v>
      </c>
      <c r="J2704" s="23"/>
      <c r="K2704" s="2"/>
      <c r="M2704" s="2"/>
    </row>
    <row r="2705" spans="1:13" ht="15.75">
      <c r="A2705" t="s">
        <v>20</v>
      </c>
      <c r="B2705">
        <f ca="1">IF(OR(changes[[#This Row],[Type]]="Checklist",changes[[#This Row],[Type]]="checklist-flat"),1+IF(changes[[#This Row],[Type of change]] = "Edit",COUNTIFS($I$4:changes[[#This Row],[Name]],changes[[#This Row],[Name]], $E$4:changes[[#This Row],[Type of change]], "Edit")),B2704)</f>
        <v>1</v>
      </c>
      <c r="C2705" s="16">
        <v>44903</v>
      </c>
      <c r="D2705" s="1" t="s">
        <v>2393</v>
      </c>
      <c r="E2705" t="s">
        <v>27</v>
      </c>
      <c r="F2705" s="10" t="s">
        <v>52</v>
      </c>
      <c r="G2705" s="18" t="s">
        <v>2957</v>
      </c>
      <c r="H2705" s="2" t="s">
        <v>55</v>
      </c>
      <c r="I2705" s="18" t="s">
        <v>2958</v>
      </c>
      <c r="J2705" s="23"/>
      <c r="K2705" s="2"/>
      <c r="M2705" s="2"/>
    </row>
    <row r="2706" spans="1:13" ht="15.75">
      <c r="A2706" t="s">
        <v>20</v>
      </c>
      <c r="B2706">
        <f ca="1">IF(OR(changes[[#This Row],[Type]]="Checklist",changes[[#This Row],[Type]]="checklist-flat"),1+IF(changes[[#This Row],[Type of change]] = "Edit",COUNTIFS($I$4:changes[[#This Row],[Name]],changes[[#This Row],[Name]], $E$4:changes[[#This Row],[Type of change]], "Edit")),B2705)</f>
        <v>1</v>
      </c>
      <c r="C2706" s="16">
        <v>44903</v>
      </c>
      <c r="D2706" s="1" t="s">
        <v>2393</v>
      </c>
      <c r="E2706" t="s">
        <v>27</v>
      </c>
      <c r="F2706" s="10" t="s">
        <v>52</v>
      </c>
      <c r="G2706" s="18" t="s">
        <v>2957</v>
      </c>
      <c r="H2706" s="2" t="s">
        <v>437</v>
      </c>
      <c r="I2706" s="18" t="s">
        <v>2959</v>
      </c>
      <c r="J2706" s="23" t="s">
        <v>1272</v>
      </c>
      <c r="K2706" s="2"/>
      <c r="M2706" s="2"/>
    </row>
    <row r="2707" spans="1:13" ht="15.75">
      <c r="A2707" t="s">
        <v>20</v>
      </c>
      <c r="B2707">
        <f ca="1">IF(OR(changes[[#This Row],[Type]]="Checklist",changes[[#This Row],[Type]]="checklist-flat"),1+IF(changes[[#This Row],[Type of change]] = "Edit",COUNTIFS($I$4:changes[[#This Row],[Name]],changes[[#This Row],[Name]], $E$4:changes[[#This Row],[Type of change]], "Edit")),B2706)</f>
        <v>1</v>
      </c>
      <c r="C2707" s="16">
        <v>44903</v>
      </c>
      <c r="D2707" s="1" t="s">
        <v>2393</v>
      </c>
      <c r="E2707" t="s">
        <v>27</v>
      </c>
      <c r="F2707" s="10" t="s">
        <v>52</v>
      </c>
      <c r="G2707" s="18" t="s">
        <v>2957</v>
      </c>
      <c r="H2707" s="2" t="s">
        <v>437</v>
      </c>
      <c r="I2707" s="18" t="s">
        <v>2960</v>
      </c>
      <c r="J2707" s="23" t="s">
        <v>1272</v>
      </c>
      <c r="K2707" s="2"/>
      <c r="M2707" s="2"/>
    </row>
    <row r="2708" spans="1:13" ht="15.75">
      <c r="A2708" t="s">
        <v>20</v>
      </c>
      <c r="B2708">
        <f ca="1">IF(OR(changes[[#This Row],[Type]]="Checklist",changes[[#This Row],[Type]]="checklist-flat"),1+IF(changes[[#This Row],[Type of change]] = "Edit",COUNTIFS($I$4:changes[[#This Row],[Name]],changes[[#This Row],[Name]], $E$4:changes[[#This Row],[Type of change]], "Edit")),B2707)</f>
        <v>1</v>
      </c>
      <c r="C2708" s="16">
        <v>44903</v>
      </c>
      <c r="D2708" s="1" t="s">
        <v>2393</v>
      </c>
      <c r="E2708" t="s">
        <v>27</v>
      </c>
      <c r="F2708" s="10" t="s">
        <v>52</v>
      </c>
      <c r="G2708" s="18" t="s">
        <v>2957</v>
      </c>
      <c r="H2708" s="2" t="s">
        <v>437</v>
      </c>
      <c r="I2708" s="18" t="s">
        <v>2961</v>
      </c>
      <c r="J2708" s="23" t="s">
        <v>1272</v>
      </c>
      <c r="K2708" s="2"/>
      <c r="M2708" s="2"/>
    </row>
    <row r="2709" spans="1:13" ht="15.75">
      <c r="A2709" t="s">
        <v>20</v>
      </c>
      <c r="B2709">
        <f ca="1">IF(OR(changes[[#This Row],[Type]]="Checklist",changes[[#This Row],[Type]]="checklist-flat"),1+IF(changes[[#This Row],[Type of change]] = "Edit",COUNTIFS($I$4:changes[[#This Row],[Name]],changes[[#This Row],[Name]], $E$4:changes[[#This Row],[Type of change]], "Edit")),B2708)</f>
        <v>1</v>
      </c>
      <c r="C2709" s="16">
        <v>44903</v>
      </c>
      <c r="D2709" s="1" t="s">
        <v>2393</v>
      </c>
      <c r="E2709" t="s">
        <v>27</v>
      </c>
      <c r="F2709" s="10" t="s">
        <v>52</v>
      </c>
      <c r="G2709" s="18" t="s">
        <v>2957</v>
      </c>
      <c r="H2709" s="2" t="s">
        <v>437</v>
      </c>
      <c r="I2709" s="18" t="s">
        <v>2962</v>
      </c>
      <c r="J2709" s="23" t="s">
        <v>1272</v>
      </c>
      <c r="K2709" s="2"/>
      <c r="M2709" s="2"/>
    </row>
    <row r="2710" spans="1:13" ht="15.75">
      <c r="A2710" t="s">
        <v>20</v>
      </c>
      <c r="B2710">
        <f ca="1">IF(OR(changes[[#This Row],[Type]]="Checklist",changes[[#This Row],[Type]]="checklist-flat"),1+IF(changes[[#This Row],[Type of change]] = "Edit",COUNTIFS($I$4:changes[[#This Row],[Name]],changes[[#This Row],[Name]], $E$4:changes[[#This Row],[Type of change]], "Edit")),B2709)</f>
        <v>1</v>
      </c>
      <c r="C2710" s="16">
        <v>44903</v>
      </c>
      <c r="D2710" s="1" t="s">
        <v>2393</v>
      </c>
      <c r="E2710" t="s">
        <v>27</v>
      </c>
      <c r="F2710" s="10" t="s">
        <v>52</v>
      </c>
      <c r="G2710" s="18" t="s">
        <v>2957</v>
      </c>
      <c r="H2710" s="2" t="s">
        <v>214</v>
      </c>
      <c r="I2710" s="18" t="s">
        <v>2963</v>
      </c>
      <c r="J2710" s="23"/>
      <c r="K2710" s="2"/>
      <c r="M2710" s="2"/>
    </row>
    <row r="2711" spans="1:13" ht="15.75">
      <c r="A2711" t="s">
        <v>20</v>
      </c>
      <c r="B2711">
        <f ca="1">IF(OR(changes[[#This Row],[Type]]="Checklist",changes[[#This Row],[Type]]="checklist-flat"),1+IF(changes[[#This Row],[Type of change]] = "Edit",COUNTIFS($I$4:changes[[#This Row],[Name]],changes[[#This Row],[Name]], $E$4:changes[[#This Row],[Type of change]], "Edit")),B2710)</f>
        <v>1</v>
      </c>
      <c r="C2711" s="16">
        <v>44903</v>
      </c>
      <c r="D2711" s="1" t="s">
        <v>2393</v>
      </c>
      <c r="E2711" t="s">
        <v>27</v>
      </c>
      <c r="F2711" s="10" t="s">
        <v>52</v>
      </c>
      <c r="G2711" s="18" t="s">
        <v>2957</v>
      </c>
      <c r="H2711" s="2" t="s">
        <v>214</v>
      </c>
      <c r="I2711" s="18" t="s">
        <v>2964</v>
      </c>
      <c r="J2711" s="23"/>
      <c r="K2711" s="2"/>
      <c r="M2711" s="2"/>
    </row>
    <row r="2712" spans="1:13" ht="15.75">
      <c r="A2712" t="s">
        <v>20</v>
      </c>
      <c r="B2712">
        <f ca="1">IF(OR(changes[[#This Row],[Type]]="Checklist",changes[[#This Row],[Type]]="checklist-flat"),1+IF(changes[[#This Row],[Type of change]] = "Edit",COUNTIFS($I$4:changes[[#This Row],[Name]],changes[[#This Row],[Name]], $E$4:changes[[#This Row],[Type of change]], "Edit")),B2711)</f>
        <v>1</v>
      </c>
      <c r="C2712" s="16">
        <v>44903</v>
      </c>
      <c r="D2712" s="1" t="s">
        <v>2393</v>
      </c>
      <c r="E2712" t="s">
        <v>27</v>
      </c>
      <c r="F2712" s="10" t="s">
        <v>52</v>
      </c>
      <c r="G2712" s="18" t="s">
        <v>2117</v>
      </c>
      <c r="H2712" s="2" t="s">
        <v>478</v>
      </c>
      <c r="I2712" s="18" t="s">
        <v>2117</v>
      </c>
      <c r="J2712" s="23"/>
      <c r="K2712" s="2"/>
      <c r="M2712" s="2"/>
    </row>
    <row r="2713" spans="1:13" ht="15.75">
      <c r="A2713" t="s">
        <v>20</v>
      </c>
      <c r="B2713">
        <f ca="1">IF(OR(changes[[#This Row],[Type]]="Checklist",changes[[#This Row],[Type]]="checklist-flat"),1+IF(changes[[#This Row],[Type of change]] = "Edit",COUNTIFS($I$4:changes[[#This Row],[Name]],changes[[#This Row],[Name]], $E$4:changes[[#This Row],[Type of change]], "Edit")),B2712)</f>
        <v>1</v>
      </c>
      <c r="C2713" s="16">
        <v>44903</v>
      </c>
      <c r="D2713" s="1" t="s">
        <v>2393</v>
      </c>
      <c r="E2713" t="s">
        <v>27</v>
      </c>
      <c r="F2713" s="10" t="s">
        <v>52</v>
      </c>
      <c r="G2713" s="18" t="s">
        <v>2117</v>
      </c>
      <c r="H2713" s="2" t="s">
        <v>214</v>
      </c>
      <c r="I2713" s="18" t="s">
        <v>2119</v>
      </c>
      <c r="J2713" s="23"/>
      <c r="K2713" s="2"/>
      <c r="M2713" s="2"/>
    </row>
    <row r="2714" spans="1:13" ht="15.75">
      <c r="A2714" t="s">
        <v>20</v>
      </c>
      <c r="B2714">
        <f ca="1">IF(OR(changes[[#This Row],[Type]]="Checklist",changes[[#This Row],[Type]]="checklist-flat"),1+IF(changes[[#This Row],[Type of change]] = "Edit",COUNTIFS($I$4:changes[[#This Row],[Name]],changes[[#This Row],[Name]], $E$4:changes[[#This Row],[Type of change]], "Edit")),B2713)</f>
        <v>1</v>
      </c>
      <c r="C2714" s="16">
        <v>44903</v>
      </c>
      <c r="D2714" s="1" t="s">
        <v>2393</v>
      </c>
      <c r="E2714" t="s">
        <v>27</v>
      </c>
      <c r="F2714" s="10" t="s">
        <v>52</v>
      </c>
      <c r="G2714" s="18" t="s">
        <v>2117</v>
      </c>
      <c r="H2714" s="2" t="s">
        <v>214</v>
      </c>
      <c r="I2714" s="18" t="s">
        <v>2120</v>
      </c>
      <c r="J2714" s="23"/>
      <c r="K2714" s="2"/>
      <c r="M2714" s="2"/>
    </row>
    <row r="2715" spans="1:13" ht="15.75">
      <c r="A2715" t="s">
        <v>20</v>
      </c>
      <c r="B2715">
        <f ca="1">IF(OR(changes[[#This Row],[Type]]="Checklist",changes[[#This Row],[Type]]="checklist-flat"),1+IF(changes[[#This Row],[Type of change]] = "Edit",COUNTIFS($I$4:changes[[#This Row],[Name]],changes[[#This Row],[Name]], $E$4:changes[[#This Row],[Type of change]], "Edit")),B2714)</f>
        <v>1</v>
      </c>
      <c r="C2715" s="16">
        <v>44903</v>
      </c>
      <c r="D2715" s="1" t="s">
        <v>2393</v>
      </c>
      <c r="E2715" t="s">
        <v>27</v>
      </c>
      <c r="F2715" s="10" t="s">
        <v>52</v>
      </c>
      <c r="G2715" s="18" t="s">
        <v>2117</v>
      </c>
      <c r="H2715" s="2" t="s">
        <v>55</v>
      </c>
      <c r="I2715" s="18" t="s">
        <v>2121</v>
      </c>
      <c r="J2715" s="23"/>
      <c r="K2715" s="2"/>
      <c r="M2715" s="2"/>
    </row>
    <row r="2716" spans="1:13" ht="15.75">
      <c r="A2716" t="s">
        <v>20</v>
      </c>
      <c r="B2716">
        <f ca="1">IF(OR(changes[[#This Row],[Type]]="Checklist",changes[[#This Row],[Type]]="checklist-flat"),1+IF(changes[[#This Row],[Type of change]] = "Edit",COUNTIFS($I$4:changes[[#This Row],[Name]],changes[[#This Row],[Name]], $E$4:changes[[#This Row],[Type of change]], "Edit")),B2715)</f>
        <v>1</v>
      </c>
      <c r="C2716" s="16">
        <v>44903</v>
      </c>
      <c r="D2716" s="1" t="s">
        <v>2393</v>
      </c>
      <c r="E2716" t="s">
        <v>27</v>
      </c>
      <c r="F2716" s="10" t="s">
        <v>52</v>
      </c>
      <c r="G2716" s="18" t="s">
        <v>2117</v>
      </c>
      <c r="H2716" s="2" t="s">
        <v>55</v>
      </c>
      <c r="I2716" s="18" t="s">
        <v>2122</v>
      </c>
      <c r="J2716" s="23"/>
      <c r="K2716" s="2"/>
      <c r="M2716" s="2"/>
    </row>
    <row r="2717" spans="1:13" ht="15.75">
      <c r="A2717" t="s">
        <v>20</v>
      </c>
      <c r="B2717">
        <f ca="1">IF(OR(changes[[#This Row],[Type]]="Checklist",changes[[#This Row],[Type]]="checklist-flat"),1+IF(changes[[#This Row],[Type of change]] = "Edit",COUNTIFS($I$4:changes[[#This Row],[Name]],changes[[#This Row],[Name]], $E$4:changes[[#This Row],[Type of change]], "Edit")),B2716)</f>
        <v>1</v>
      </c>
      <c r="C2717" s="16">
        <v>44903</v>
      </c>
      <c r="D2717" s="1" t="s">
        <v>2393</v>
      </c>
      <c r="E2717" t="s">
        <v>27</v>
      </c>
      <c r="F2717" s="10" t="s">
        <v>52</v>
      </c>
      <c r="G2717" s="18" t="s">
        <v>2117</v>
      </c>
      <c r="H2717" s="2" t="s">
        <v>55</v>
      </c>
      <c r="I2717" s="18" t="s">
        <v>2123</v>
      </c>
      <c r="J2717" s="23"/>
      <c r="K2717" s="2"/>
      <c r="M2717" s="2"/>
    </row>
    <row r="2718" spans="1:13" ht="15.75">
      <c r="A2718" t="s">
        <v>20</v>
      </c>
      <c r="B2718">
        <f ca="1">IF(OR(changes[[#This Row],[Type]]="Checklist",changes[[#This Row],[Type]]="checklist-flat"),1+IF(changes[[#This Row],[Type of change]] = "Edit",COUNTIFS($I$4:changes[[#This Row],[Name]],changes[[#This Row],[Name]], $E$4:changes[[#This Row],[Type of change]], "Edit")),B2717)</f>
        <v>1</v>
      </c>
      <c r="C2718" s="16">
        <v>44903</v>
      </c>
      <c r="D2718" s="1" t="s">
        <v>2393</v>
      </c>
      <c r="E2718" t="s">
        <v>27</v>
      </c>
      <c r="F2718" s="10" t="s">
        <v>52</v>
      </c>
      <c r="G2718" s="18" t="s">
        <v>2117</v>
      </c>
      <c r="H2718" s="2" t="s">
        <v>55</v>
      </c>
      <c r="I2718" s="18" t="s">
        <v>2124</v>
      </c>
      <c r="J2718" s="23"/>
      <c r="K2718" s="2"/>
      <c r="M2718" s="2"/>
    </row>
    <row r="2719" spans="1:13" ht="15.75">
      <c r="A2719" t="s">
        <v>20</v>
      </c>
      <c r="B2719">
        <f ca="1">IF(OR(changes[[#This Row],[Type]]="Checklist",changes[[#This Row],[Type]]="checklist-flat"),1+IF(changes[[#This Row],[Type of change]] = "Edit",COUNTIFS($I$4:changes[[#This Row],[Name]],changes[[#This Row],[Name]], $E$4:changes[[#This Row],[Type of change]], "Edit")),B2718)</f>
        <v>1</v>
      </c>
      <c r="C2719" s="16">
        <v>44903</v>
      </c>
      <c r="D2719" s="1" t="s">
        <v>2393</v>
      </c>
      <c r="E2719" t="s">
        <v>27</v>
      </c>
      <c r="F2719" s="10" t="s">
        <v>52</v>
      </c>
      <c r="G2719" s="18" t="s">
        <v>2117</v>
      </c>
      <c r="H2719" s="2" t="s">
        <v>64</v>
      </c>
      <c r="I2719" s="18" t="s">
        <v>2125</v>
      </c>
      <c r="J2719" s="23"/>
      <c r="K2719" s="2"/>
      <c r="M2719" s="2"/>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4:A2087">
    <cfRule type="cellIs" dxfId="121" priority="361" operator="equal">
      <formula>"Processing"</formula>
    </cfRule>
    <cfRule type="cellIs" dxfId="120" priority="362" operator="equal">
      <formula>"Implemented"</formula>
    </cfRule>
    <cfRule type="cellIs" dxfId="119" priority="363" operator="equal">
      <formula>"Denied"</formula>
    </cfRule>
    <cfRule type="cellIs" dxfId="118" priority="364" operator="equal">
      <formula>"Approved"</formula>
    </cfRule>
  </conditionalFormatting>
  <conditionalFormatting sqref="A4:A2360">
    <cfRule type="containsText" dxfId="117" priority="52" operator="containsText" text="Updated in ConQA">
      <formula>NOT(ISERROR(SEARCH("Updated in ConQA",A4)))</formula>
    </cfRule>
  </conditionalFormatting>
  <conditionalFormatting sqref="A2088:A2167">
    <cfRule type="cellIs" dxfId="116" priority="329" operator="equal">
      <formula>"Processing"</formula>
    </cfRule>
    <cfRule type="cellIs" dxfId="115" priority="330" operator="equal">
      <formula>"Implemented"</formula>
    </cfRule>
    <cfRule type="cellIs" dxfId="114" priority="331" operator="equal">
      <formula>"Denied"</formula>
    </cfRule>
    <cfRule type="cellIs" dxfId="113" priority="332" operator="equal">
      <formula>"Approved"</formula>
    </cfRule>
  </conditionalFormatting>
  <conditionalFormatting sqref="A2178:A2242">
    <cfRule type="cellIs" dxfId="112" priority="193" operator="equal">
      <formula>"Processing"</formula>
    </cfRule>
    <cfRule type="cellIs" dxfId="111" priority="194" operator="equal">
      <formula>"Implemented"</formula>
    </cfRule>
    <cfRule type="cellIs" dxfId="110" priority="195" operator="equal">
      <formula>"Denied"</formula>
    </cfRule>
    <cfRule type="cellIs" dxfId="109" priority="196" operator="equal">
      <formula>"Approved"</formula>
    </cfRule>
  </conditionalFormatting>
  <conditionalFormatting sqref="A2400:A2510">
    <cfRule type="containsText" dxfId="108" priority="415" operator="containsText" text="Updated in ConQA">
      <formula>NOT(ISERROR(SEARCH("Updated in ConQA",A2400)))</formula>
    </cfRule>
  </conditionalFormatting>
  <conditionalFormatting sqref="A2520:A2544">
    <cfRule type="containsText" dxfId="107" priority="5" operator="containsText" text="Updated in ConQA">
      <formula>NOT(ISERROR(SEARCH("Updated in ConQA",A2520)))</formula>
    </cfRule>
  </conditionalFormatting>
  <conditionalFormatting sqref="A2564:A2587">
    <cfRule type="containsText" dxfId="106" priority="1" operator="containsText" text="Updated in ConQA">
      <formula>NOT(ISERROR(SEARCH("Updated in ConQA",A2564)))</formula>
    </cfRule>
  </conditionalFormatting>
  <conditionalFormatting sqref="A1:M2 A1:A3 A1973:A1048576">
    <cfRule type="cellIs" dxfId="105" priority="517" operator="equal">
      <formula>"Processing"</formula>
    </cfRule>
    <cfRule type="cellIs" dxfId="104" priority="518" operator="equal">
      <formula>"Implemented"</formula>
    </cfRule>
    <cfRule type="cellIs" dxfId="103" priority="519" operator="equal">
      <formula>"Denied"</formula>
    </cfRule>
    <cfRule type="cellIs" dxfId="102" priority="520" operator="equal">
      <formula>"Approved"</formula>
    </cfRule>
  </conditionalFormatting>
  <conditionalFormatting sqref="B6">
    <cfRule type="expression" dxfId="101" priority="404">
      <formula>$H6= "section"</formula>
    </cfRule>
    <cfRule type="expression" dxfId="100" priority="405">
      <formula>OR($H6 = "checklist",$H6= "checklist-flat")</formula>
    </cfRule>
  </conditionalFormatting>
  <conditionalFormatting sqref="B2114">
    <cfRule type="expression" dxfId="99" priority="386">
      <formula>$H2114= "section"</formula>
    </cfRule>
    <cfRule type="expression" dxfId="98" priority="387">
      <formula>OR($H2114 = "checklist",$H2114= "checklist-flat")</formula>
    </cfRule>
  </conditionalFormatting>
  <conditionalFormatting sqref="B2250:B2345">
    <cfRule type="expression" dxfId="97" priority="80">
      <formula>$H2250= "section"</formula>
    </cfRule>
    <cfRule type="expression" dxfId="96" priority="81">
      <formula>OR($H2250 = "checklist",$H2250= "checklist-flat")</formula>
    </cfRule>
  </conditionalFormatting>
  <conditionalFormatting sqref="B2361:B2442 B2400:J2402 L2400:M2456 B2403:G2404 J2403:J2405 B2405:I2405 B2406:J2407 B2408:G2409 J2408:J2410 B2410:I2410 B2412:G2413 J2412:J2414 B2414:I2414 B2415:J2416 B2417:G2418 J2417:J2419 B2419:I2419 B2420:J2421 B2422:G2423 J2422:J2424 B2424:I2424 B2425:J2426 B2427:G2428 J2427:J2429 B2429:I2429 B2430:J2431 B2432:G2433 J2432:J2434 B2434:I2434 B2435:J2436 B2437:G2438 J2437:J2439 B2439:I2439 B2440:J2441 B2442:G2443 J2442:J2444 B2444:I2444 B2446:G2447 J2446:J2448 B2448:I2448 B2449:J2450 B2451:G2452 J2451:J2453 B2453:I2453 B2455:I2455 B2459:G2460 J2459:J2461 B2461:I2461 B2462:J2464">
    <cfRule type="expression" dxfId="95" priority="103">
      <formula>$H2361= "section"</formula>
    </cfRule>
    <cfRule type="expression" dxfId="94" priority="104">
      <formula>OR($H2361 = "checklist",$H2361= "checklist-flat")</formula>
    </cfRule>
  </conditionalFormatting>
  <conditionalFormatting sqref="B1813:D1972 F1813:F1972">
    <cfRule type="expression" dxfId="93" priority="413">
      <formula>$H1813= "section"</formula>
    </cfRule>
    <cfRule type="expression" dxfId="92" priority="414">
      <formula>OR($H1813 = "checklist",$H1813= "checklist-flat")</formula>
    </cfRule>
  </conditionalFormatting>
  <conditionalFormatting sqref="B2113:G2113">
    <cfRule type="expression" dxfId="91" priority="393">
      <formula>$H2113= "section"</formula>
    </cfRule>
    <cfRule type="expression" dxfId="90" priority="394">
      <formula>OR($H2113 = "checklist",$H2113= "checklist-flat")</formula>
    </cfRule>
  </conditionalFormatting>
  <conditionalFormatting sqref="B1:M3 B1973:J2000 L1973:M2000 B2001:M2112 E2042:E2147 H2113:M2113 C2114:M2114 B2115:M2159 L2159:L2167 B2160:K2161 M2160:M2161 B2162:M2178 B2179:H2180 J2179:M2180 B2181:M2209 I2210:K2211 B2210:G2214 K2210:M2289 J2212:K2214 B2215:J2249 D2250:J2250 G2251:J2257 D2251:F2289 G2257:G2261 J2258:J2261 G2262:J2262 G2263:H2263 J2263 G2264:J2264 G2265:H2265 J2265 G2266:J2273 H2274:J2277 G2274:G2317 H2278:I2281 J2278:J2285 H2282 H2283:I2283 H2284 H2285:I2286 H2286:J2288 H2289 J2289 C2290:M2324 C2325:G2340 M2325:M2340 F2341:I2341 C2341:F2345 J2341:M2360 F2346:I2346 B2346:F2360 F2351:I2351 F2356:I2356 B2361:M2390 D2391:M2397 D2398:G2399 J2398:M2399 G2399:K2424 C2400:F2456 K2400:L2456 B2411:J2411 M2412:M2417 B2445:J2445 B2445:B2456 G2445:K2456 M2447:M2454 B2454:J2454 B2456:J2456 B2457:M2457 B2458:J2458 C2458:F2463 B2458:B2468 L2458:M2476 G2458:K2482 K2458:K2510 C2464:G2468 B2465:G2474 B2475:J2475 C2475:G2476 B2476:G2476 D2477:G2481 J2477:M2481 B2477:B2482 D2482 L2482:M2519 B2483:D2519 L2520 B2520:J2544 L2521:M2544 G2545:M2563 B2564:L2564 C2564:G2587 L2564:L2587 B2565:H2587 J2565:L2587 B2588:M1048576">
    <cfRule type="expression" dxfId="89" priority="1334">
      <formula>$H1= "section"</formula>
    </cfRule>
    <cfRule type="expression" dxfId="88" priority="1335">
      <formula>OR($H1 = "checklist",$H1= "checklist-flat")</formula>
    </cfRule>
  </conditionalFormatting>
  <conditionalFormatting sqref="B4:M5 C6:M6 B1730:H1731 J1730:M1731 B1732:M1812 H1813:J1829 K1813:M1972 G1830:J1972 K1973:K2021">
    <cfRule type="expression" dxfId="87" priority="434">
      <formula>$H4= "section"</formula>
    </cfRule>
    <cfRule type="expression" dxfId="86" priority="435">
      <formula>OR($H4 = "checklist",$H4= "checklist-flat")</formula>
    </cfRule>
  </conditionalFormatting>
  <conditionalFormatting sqref="B7:M1729">
    <cfRule type="expression" dxfId="85" priority="428">
      <formula>$H7= "section"</formula>
    </cfRule>
    <cfRule type="expression" dxfId="84" priority="429">
      <formula>OR($H7 = "checklist",$H7= "checklist-flat")</formula>
    </cfRule>
  </conditionalFormatting>
  <conditionalFormatting sqref="C2250:C2289">
    <cfRule type="expression" dxfId="83" priority="190">
      <formula>$H2250= "section"</formula>
    </cfRule>
    <cfRule type="expression" dxfId="82" priority="191">
      <formula>OR($H2250 = "checklist",$H2250= "checklist-flat")</formula>
    </cfRule>
  </conditionalFormatting>
  <conditionalFormatting sqref="C2391:C2399">
    <cfRule type="expression" dxfId="81" priority="15">
      <formula>$H2391= "section"</formula>
    </cfRule>
    <cfRule type="expression" dxfId="80" priority="16">
      <formula>OR($H2391 = "checklist",$H2391= "checklist-flat")</formula>
    </cfRule>
  </conditionalFormatting>
  <conditionalFormatting sqref="C2477:C2482">
    <cfRule type="expression" dxfId="79" priority="11">
      <formula>$H2477= "section"</formula>
    </cfRule>
    <cfRule type="expression" dxfId="78" priority="12">
      <formula>OR($H2477 = "checklist",$H2477= "checklist-flat")</formula>
    </cfRule>
  </conditionalFormatting>
  <conditionalFormatting sqref="C2545:C2563">
    <cfRule type="expression" dxfId="77" priority="20">
      <formula>$H2545= "section"</formula>
    </cfRule>
    <cfRule type="expression" dxfId="76" priority="21">
      <formula>OR($H2545 = "checklist",$H2545= "checklist-flat")</formula>
    </cfRule>
  </conditionalFormatting>
  <conditionalFormatting sqref="D2545:F2563 B2545:B2587">
    <cfRule type="expression" dxfId="75" priority="29">
      <formula>$H2545= "section"</formula>
    </cfRule>
    <cfRule type="expression" dxfId="74" priority="30">
      <formula>OR($H2545 = "checklist",$H2545= "checklist-flat")</formula>
    </cfRule>
  </conditionalFormatting>
  <conditionalFormatting sqref="E4:E2563">
    <cfRule type="containsText" dxfId="73" priority="22" operator="containsText" text="Deletion">
      <formula>NOT(ISERROR(SEARCH("Deletion",E4)))</formula>
    </cfRule>
  </conditionalFormatting>
  <conditionalFormatting sqref="E1813:E1972">
    <cfRule type="expression" dxfId="72" priority="384">
      <formula>$H1813= "section"</formula>
    </cfRule>
    <cfRule type="expression" dxfId="71" priority="385">
      <formula>OR($H1813 = "checklist",$H1813= "checklist-flat")</formula>
    </cfRule>
  </conditionalFormatting>
  <conditionalFormatting sqref="E2482:K2519 F2519:G2544">
    <cfRule type="expression" dxfId="70" priority="55">
      <formula>$H2482= "section"</formula>
    </cfRule>
    <cfRule type="expression" dxfId="69" priority="56">
      <formula>OR($H2482 = "checklist",$H2482= "checklist-flat")</formula>
    </cfRule>
  </conditionalFormatting>
  <conditionalFormatting sqref="F2545:F2563">
    <cfRule type="expression" dxfId="68" priority="23">
      <formula>$H2545= "section"</formula>
    </cfRule>
    <cfRule type="expression" dxfId="67" priority="24">
      <formula>OR($H2545 = "checklist",$H2545= "checklist-flat")</formula>
    </cfRule>
  </conditionalFormatting>
  <conditionalFormatting sqref="G1813:G1829">
    <cfRule type="expression" dxfId="66" priority="406">
      <formula>$H1813= "section"</formula>
    </cfRule>
    <cfRule type="expression" dxfId="65" priority="407">
      <formula>OR($H1813 = "checklist",$H1813= "checklist-flat")</formula>
    </cfRule>
  </conditionalFormatting>
  <conditionalFormatting sqref="G2400">
    <cfRule type="expression" dxfId="64" priority="107">
      <formula>OR($D2400 = "checklist",$D2400 ="checklist-flat")</formula>
    </cfRule>
    <cfRule type="expression" dxfId="63" priority="108">
      <formula>$D2400="Section"</formula>
    </cfRule>
  </conditionalFormatting>
  <conditionalFormatting sqref="G2405 G2410 G2414 G2419 G2424 G2429 G2434 G2439 G2444 G2448 G2453 G2455 G2461">
    <cfRule type="expression" dxfId="62" priority="90">
      <formula>OR($D2405 = "checklist",$D2405 ="checklist-flat")</formula>
    </cfRule>
    <cfRule type="expression" dxfId="61" priority="91">
      <formula>$D2405="Section"</formula>
    </cfRule>
  </conditionalFormatting>
  <conditionalFormatting sqref="G2400:I2400 G2405:I2405 G2410:I2410 G2414:I2414 G2419:I2419 G2424:I2424 G2448:I2448 G2453:I2453 G2455:I2455 G2461:I2461 G2429:I2429 G2434:I2434 G2439:I2439 G2444:I2444 H2258:I2258">
    <cfRule type="expression" dxfId="60" priority="2324">
      <formula>COUNTIFS($D$6:$D$2617,$D$6, $E$6:$E$2570,$E$6 )&gt;1</formula>
    </cfRule>
  </conditionalFormatting>
  <conditionalFormatting sqref="H2210:H2214">
    <cfRule type="expression" dxfId="59" priority="326">
      <formula>$H2210= "section"</formula>
    </cfRule>
    <cfRule type="expression" dxfId="58" priority="327">
      <formula>OR($H2210 = "checklist",$H2210= "checklist-flat")</formula>
    </cfRule>
  </conditionalFormatting>
  <conditionalFormatting sqref="H2258:I2258">
    <cfRule type="expression" dxfId="57" priority="73">
      <formula>OR($D2258 = "checklist",$D2258 ="checklist-flat")</formula>
    </cfRule>
    <cfRule type="expression" dxfId="56" priority="74">
      <formula>$D2258="Section"</formula>
    </cfRule>
  </conditionalFormatting>
  <conditionalFormatting sqref="H2258:I2260">
    <cfRule type="expression" dxfId="55" priority="78">
      <formula>$H2258= "section"</formula>
    </cfRule>
    <cfRule type="expression" dxfId="54" priority="79">
      <formula>OR($H2258 = "checklist",$H2258= "checklist-flat")</formula>
    </cfRule>
  </conditionalFormatting>
  <conditionalFormatting sqref="H2261:I2261">
    <cfRule type="expression" dxfId="53" priority="76">
      <formula>$B2261= "section"</formula>
    </cfRule>
    <cfRule type="expression" dxfId="52" priority="77">
      <formula>OR($B2261 = "checklist",$B2261= "checklist-flat")</formula>
    </cfRule>
  </conditionalFormatting>
  <conditionalFormatting sqref="H2342:I2345 H2347:I2350 H2352:I2355 H2357:I2360">
    <cfRule type="expression" dxfId="51" priority="2339">
      <formula>COUNTIFS($D$6:$D$2657,$D$6, $E$6:$E$2609,$E$6 )&gt;1</formula>
    </cfRule>
  </conditionalFormatting>
  <conditionalFormatting sqref="H2342:I2345">
    <cfRule type="expression" dxfId="50" priority="176">
      <formula>OR($D2342 = "checklist",$D2342 ="checklist-flat")</formula>
    </cfRule>
    <cfRule type="expression" dxfId="49" priority="177">
      <formula>$D2342="Section"</formula>
    </cfRule>
  </conditionalFormatting>
  <conditionalFormatting sqref="H2347:I2350">
    <cfRule type="expression" dxfId="48" priority="173">
      <formula>OR($D2347 = "checklist",$D2347 ="checklist-flat")</formula>
    </cfRule>
    <cfRule type="expression" dxfId="47" priority="174">
      <formula>$D2347="Section"</formula>
    </cfRule>
  </conditionalFormatting>
  <conditionalFormatting sqref="H2352:I2355">
    <cfRule type="expression" dxfId="46" priority="170">
      <formula>OR($D2352 = "checklist",$D2352 ="checklist-flat")</formula>
    </cfRule>
    <cfRule type="expression" dxfId="45" priority="171">
      <formula>$D2352="Section"</formula>
    </cfRule>
  </conditionalFormatting>
  <conditionalFormatting sqref="H2357:I2360">
    <cfRule type="expression" dxfId="44" priority="167">
      <formula>OR($D2357 = "checklist",$D2357 ="checklist-flat")</formula>
    </cfRule>
    <cfRule type="expression" dxfId="43" priority="168">
      <formula>$D2357="Section"</formula>
    </cfRule>
  </conditionalFormatting>
  <conditionalFormatting sqref="H2398:I2399">
    <cfRule type="expression" dxfId="42" priority="165">
      <formula>$B2398= "section"</formula>
    </cfRule>
    <cfRule type="expression" dxfId="41" priority="166">
      <formula>OR($B2398 = "checklist",$B2398= "checklist-flat")</formula>
    </cfRule>
  </conditionalFormatting>
  <conditionalFormatting sqref="H2400:I2400">
    <cfRule type="expression" dxfId="40" priority="150">
      <formula>OR($D2400 = "checklist",$D2400 ="checklist-flat")</formula>
    </cfRule>
    <cfRule type="expression" dxfId="39" priority="151">
      <formula>$D2400="Section"</formula>
    </cfRule>
  </conditionalFormatting>
  <conditionalFormatting sqref="H2403:I2404 H2408:I2409 H2412:I2413 H2417:I2418 H2422:I2423 H2427:I2428 H2433:I2433 H2437:I2437 H2442:I2442 H2446:I2447 H2451:I2452 H2459:I2459">
    <cfRule type="expression" dxfId="38" priority="96">
      <formula>$B2403= "section"</formula>
    </cfRule>
    <cfRule type="expression" dxfId="37"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36" priority="93">
      <formula>OR($D2405 = "checklist",$D2405 ="checklist-flat")</formula>
    </cfRule>
    <cfRule type="expression" dxfId="35" priority="94">
      <formula>$D2405="Section"</formula>
    </cfRule>
  </conditionalFormatting>
  <conditionalFormatting sqref="H2432:I2432">
    <cfRule type="expression" dxfId="34" priority="84">
      <formula>$H2432= "section"</formula>
    </cfRule>
    <cfRule type="expression" dxfId="33" priority="85">
      <formula>OR($H2432 = "checklist",$H2432= "checklist-flat")</formula>
    </cfRule>
  </conditionalFormatting>
  <conditionalFormatting sqref="H2438:I2438">
    <cfRule type="expression" dxfId="32" priority="88">
      <formula>$H2438= "section"</formula>
    </cfRule>
    <cfRule type="expression" dxfId="31" priority="89">
      <formula>OR($H2438 = "checklist",$H2438= "checklist-flat")</formula>
    </cfRule>
  </conditionalFormatting>
  <conditionalFormatting sqref="H2443:I2443">
    <cfRule type="expression" dxfId="30" priority="86">
      <formula>$H2443= "section"</formula>
    </cfRule>
    <cfRule type="expression" dxfId="29" priority="87">
      <formula>OR($H2443 = "checklist",$H2443= "checklist-flat")</formula>
    </cfRule>
  </conditionalFormatting>
  <conditionalFormatting sqref="H2460:I2460">
    <cfRule type="expression" dxfId="28" priority="82">
      <formula>$H2460= "section"</formula>
    </cfRule>
    <cfRule type="expression" dxfId="27" priority="83">
      <formula>OR($H2460 = "checklist",$H2460= "checklist-flat")</formula>
    </cfRule>
  </conditionalFormatting>
  <conditionalFormatting sqref="H2476:I2481">
    <cfRule type="expression" dxfId="26" priority="59">
      <formula>OR($D2476 = "checklist",$D2476 ="checklist-flat")</formula>
    </cfRule>
    <cfRule type="expression" dxfId="25" priority="60">
      <formula>$D2476="Section"</formula>
    </cfRule>
    <cfRule type="expression" dxfId="24" priority="2323">
      <formula>COUNTIFS($D$6:$D$2610,$D$6, $E$6:$E$2563,$E$6 )&gt;1</formula>
    </cfRule>
  </conditionalFormatting>
  <conditionalFormatting sqref="H2325:L2340 K2340:K2345">
    <cfRule type="expression" dxfId="23" priority="188">
      <formula>$H2325= "section"</formula>
    </cfRule>
    <cfRule type="expression" dxfId="22" priority="189">
      <formula>OR($H2325 = "checklist",$H2325= "checklist-flat")</formula>
    </cfRule>
  </conditionalFormatting>
  <conditionalFormatting sqref="I2179:I2180">
    <cfRule type="expression" dxfId="21" priority="355">
      <formula>OR($D2179 = "checklist",$D2179 ="checklist-flat")</formula>
    </cfRule>
    <cfRule type="expression" dxfId="20" priority="356">
      <formula>$D2179="Section"</formula>
    </cfRule>
  </conditionalFormatting>
  <conditionalFormatting sqref="I2468">
    <cfRule type="expression" dxfId="19" priority="69">
      <formula>$H2469= "section"</formula>
    </cfRule>
    <cfRule type="expression" dxfId="18" priority="70">
      <formula>OR($H2469 = "checklist",$H2469= "checklist-flat")</formula>
    </cfRule>
  </conditionalFormatting>
  <conditionalFormatting sqref="K2520:K2544">
    <cfRule type="expression" dxfId="17" priority="7">
      <formula>$H2520= "section"</formula>
    </cfRule>
    <cfRule type="expression" dxfId="16" priority="8">
      <formula>OR($H2520 = "checklist",$H2520= "checklist-flat")</formula>
    </cfRule>
  </conditionalFormatting>
  <conditionalFormatting sqref="M4:M2587">
    <cfRule type="notContainsBlanks" dxfId="15" priority="2">
      <formula>LEN(TRIM(M4))&gt;0</formula>
    </cfRule>
  </conditionalFormatting>
  <conditionalFormatting sqref="M2520">
    <cfRule type="expression" dxfId="14" priority="18">
      <formula>$H2520= "section"</formula>
    </cfRule>
    <cfRule type="expression" dxfId="13" priority="19">
      <formula>OR($H2520 = "checklist",$H2520= "checklist-flat")</formula>
    </cfRule>
  </conditionalFormatting>
  <conditionalFormatting sqref="M2564:M2587">
    <cfRule type="expression" dxfId="12" priority="3">
      <formula>$H2564= "section"</formula>
    </cfRule>
    <cfRule type="expression" dxfId="11" priority="4">
      <formula>OR($H2564 = "checklist",$H2564= "checklist-flat")</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42257764732D4D9696DB2056D41796" ma:contentTypeVersion="6" ma:contentTypeDescription="Create a new document." ma:contentTypeScope="" ma:versionID="b43d891bdbfc99a180f3c72e3e0654e7">
  <xsd:schema xmlns:xsd="http://www.w3.org/2001/XMLSchema" xmlns:xs="http://www.w3.org/2001/XMLSchema" xmlns:p="http://schemas.microsoft.com/office/2006/metadata/properties" xmlns:ns2="6a5c1a7a-6403-43ef-9822-c15a8e5b3d66" xmlns:ns3="e310972e-7cb2-42de-ad9d-57fae8644c14" targetNamespace="http://schemas.microsoft.com/office/2006/metadata/properties" ma:root="true" ma:fieldsID="6f2173373f45c2a0d0ac94230b2db0fa" ns2:_="" ns3:_="">
    <xsd:import namespace="6a5c1a7a-6403-43ef-9822-c15a8e5b3d66"/>
    <xsd:import namespace="e310972e-7cb2-42de-ad9d-57fae8644c1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1a7a-6403-43ef-9822-c15a8e5b3d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10972e-7cb2-42de-ad9d-57fae8644c1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DED8E8E-7DE3-4E2A-9A53-59D9A2B5708B}"/>
</file>

<file path=customXml/itemProps2.xml><?xml version="1.0" encoding="utf-8"?>
<ds:datastoreItem xmlns:ds="http://schemas.openxmlformats.org/officeDocument/2006/customXml" ds:itemID="{DC97F2A5-5974-4BB7-B081-D1CEDB8FAD60}"/>
</file>

<file path=customXml/itemProps3.xml><?xml version="1.0" encoding="utf-8"?>
<ds:datastoreItem xmlns:ds="http://schemas.openxmlformats.org/officeDocument/2006/customXml" ds:itemID="{810741DF-98C5-4CA7-8B19-9CF53098BE73}"/>
</file>

<file path=customXml/itemProps4.xml><?xml version="1.0" encoding="utf-8"?>
<ds:datastoreItem xmlns:ds="http://schemas.openxmlformats.org/officeDocument/2006/customXml" ds:itemID="{5066C9C3-944B-4E05-8F9C-481548721D5F}"/>
</file>

<file path=customXml/itemProps5.xml><?xml version="1.0" encoding="utf-8"?>
<ds:datastoreItem xmlns:ds="http://schemas.openxmlformats.org/officeDocument/2006/customXml" ds:itemID="{59AD40B2-FC22-4A1F-A61D-4203F896E7F1}"/>
</file>

<file path=customXml/itemProps6.xml><?xml version="1.0" encoding="utf-8"?>
<ds:datastoreItem xmlns:ds="http://schemas.openxmlformats.org/officeDocument/2006/customXml" ds:itemID="{4861D3DC-88ED-402E-9193-749243672E8E}"/>
</file>

<file path=customXml/itemProps7.xml><?xml version="1.0" encoding="utf-8"?>
<ds:datastoreItem xmlns:ds="http://schemas.openxmlformats.org/officeDocument/2006/customXml" ds:itemID="{1BE29FD9-8371-4DD1-9C1B-FC2CD74CA0F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Heather Swan</cp:lastModifiedBy>
  <cp:revision/>
  <dcterms:created xsi:type="dcterms:W3CDTF">2021-10-05T01:59:14Z</dcterms:created>
  <dcterms:modified xsi:type="dcterms:W3CDTF">2023-11-05T23:28:18Z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0x0101009442257764732D4D9696DB2056D41796</vt:lpwstr>
  </property>
  <property fmtid="{D5CDD505-2E9C-101B-9397-08002B2CF9AE}" pid="3" name="Site">
    <vt:lpwstr/>
  </property>
</Properties>
</file>